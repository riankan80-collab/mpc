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基金研究\"/>
    </mc:Choice>
  </mc:AlternateContent>
  <xr:revisionPtr revIDLastSave="0" documentId="13_ncr:1_{3FC4E893-D657-463A-BE6C-F8F2C76F2495}" xr6:coauthVersionLast="47" xr6:coauthVersionMax="47" xr10:uidLastSave="{00000000-0000-0000-0000-000000000000}"/>
  <bookViews>
    <workbookView xWindow="960" yWindow="2670" windowWidth="15998" windowHeight="11872" activeTab="6" xr2:uid="{394278FF-DCF9-4694-AE9D-04BC8E011FCB}"/>
  </bookViews>
  <sheets>
    <sheet name="一级 (3)" sheetId="3" r:id="rId1"/>
    <sheet name="Sheet1" sheetId="6" r:id="rId2"/>
    <sheet name="Sheet3" sheetId="4" r:id="rId3"/>
    <sheet name="一级" sheetId="1" r:id="rId4"/>
    <sheet name="一级 (2)" sheetId="2" r:id="rId5"/>
    <sheet name="Sheet3 (2)" sheetId="5" r:id="rId6"/>
    <sheet name="Sheet1 (2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5" i="3"/>
  <c r="I6" i="3"/>
  <c r="I15" i="3"/>
  <c r="I21" i="3"/>
  <c r="I26" i="3"/>
  <c r="I35" i="3"/>
  <c r="I41" i="3"/>
  <c r="I46" i="3"/>
  <c r="I55" i="3"/>
  <c r="I61" i="3"/>
  <c r="I66" i="3"/>
  <c r="I75" i="3"/>
  <c r="I81" i="3"/>
  <c r="I86" i="3"/>
  <c r="I95" i="3"/>
  <c r="I101" i="3"/>
  <c r="I106" i="3"/>
  <c r="I121" i="3"/>
  <c r="I126" i="3"/>
  <c r="I135" i="3"/>
  <c r="I141" i="3"/>
  <c r="I280" i="3"/>
  <c r="I293" i="3"/>
  <c r="I296" i="3"/>
  <c r="I307" i="3"/>
  <c r="G7" i="3"/>
  <c r="I7" i="3" s="1"/>
  <c r="G10" i="3"/>
  <c r="I10" i="3" s="1"/>
  <c r="G21" i="3"/>
  <c r="G22" i="3"/>
  <c r="I22" i="3" s="1"/>
  <c r="G27" i="3"/>
  <c r="I27" i="3" s="1"/>
  <c r="G29" i="3"/>
  <c r="I29" i="3" s="1"/>
  <c r="G41" i="3"/>
  <c r="G42" i="3"/>
  <c r="I42" i="3" s="1"/>
  <c r="G47" i="3"/>
  <c r="I47" i="3" s="1"/>
  <c r="G50" i="3"/>
  <c r="I50" i="3" s="1"/>
  <c r="G61" i="3"/>
  <c r="G62" i="3"/>
  <c r="I62" i="3" s="1"/>
  <c r="G67" i="3"/>
  <c r="I67" i="3" s="1"/>
  <c r="G69" i="3"/>
  <c r="I69" i="3" s="1"/>
  <c r="G81" i="3"/>
  <c r="G82" i="3"/>
  <c r="I82" i="3" s="1"/>
  <c r="G87" i="3"/>
  <c r="I87" i="3" s="1"/>
  <c r="G90" i="3"/>
  <c r="I90" i="3" s="1"/>
  <c r="G101" i="3"/>
  <c r="G102" i="3"/>
  <c r="I102" i="3" s="1"/>
  <c r="G107" i="3"/>
  <c r="I107" i="3" s="1"/>
  <c r="G109" i="3"/>
  <c r="I109" i="3" s="1"/>
  <c r="G121" i="3"/>
  <c r="G122" i="3"/>
  <c r="I122" i="3" s="1"/>
  <c r="G127" i="3"/>
  <c r="I127" i="3" s="1"/>
  <c r="G130" i="3"/>
  <c r="I130" i="3" s="1"/>
  <c r="G141" i="3"/>
  <c r="G142" i="3"/>
  <c r="I142" i="3" s="1"/>
  <c r="G145" i="3"/>
  <c r="I145" i="3" s="1"/>
  <c r="G148" i="3"/>
  <c r="I148" i="3" s="1"/>
  <c r="G154" i="3"/>
  <c r="I154" i="3" s="1"/>
  <c r="G163" i="3"/>
  <c r="I163" i="3" s="1"/>
  <c r="G168" i="3"/>
  <c r="I168" i="3" s="1"/>
  <c r="G182" i="3"/>
  <c r="I182" i="3" s="1"/>
  <c r="G183" i="3"/>
  <c r="I183" i="3" s="1"/>
  <c r="G188" i="3"/>
  <c r="I188" i="3" s="1"/>
  <c r="G190" i="3"/>
  <c r="I190" i="3" s="1"/>
  <c r="G192" i="3"/>
  <c r="I192" i="3" s="1"/>
  <c r="G194" i="3"/>
  <c r="I194" i="3" s="1"/>
  <c r="G203" i="3"/>
  <c r="I203" i="3" s="1"/>
  <c r="G208" i="3"/>
  <c r="I208" i="3" s="1"/>
  <c r="G219" i="3"/>
  <c r="I219" i="3" s="1"/>
  <c r="G222" i="3"/>
  <c r="I222" i="3" s="1"/>
  <c r="G223" i="3"/>
  <c r="I223" i="3" s="1"/>
  <c r="G228" i="3"/>
  <c r="I228" i="3" s="1"/>
  <c r="G239" i="3"/>
  <c r="I239" i="3" s="1"/>
  <c r="G242" i="3"/>
  <c r="I242" i="3" s="1"/>
  <c r="G243" i="3"/>
  <c r="I243" i="3" s="1"/>
  <c r="G248" i="3"/>
  <c r="I248" i="3" s="1"/>
  <c r="G254" i="3"/>
  <c r="I254" i="3" s="1"/>
  <c r="G263" i="3"/>
  <c r="I263" i="3" s="1"/>
  <c r="G268" i="3"/>
  <c r="I268" i="3" s="1"/>
  <c r="G282" i="3"/>
  <c r="I282" i="3" s="1"/>
  <c r="G283" i="3"/>
  <c r="I283" i="3" s="1"/>
  <c r="G288" i="3"/>
  <c r="I288" i="3" s="1"/>
  <c r="G290" i="3"/>
  <c r="I290" i="3" s="1"/>
  <c r="G292" i="3"/>
  <c r="I292" i="3" s="1"/>
  <c r="G294" i="3"/>
  <c r="I294" i="3" s="1"/>
  <c r="G303" i="3"/>
  <c r="I303" i="3" s="1"/>
  <c r="G308" i="3"/>
  <c r="I308" i="3" s="1"/>
  <c r="F5" i="3"/>
  <c r="G5" i="3" s="1"/>
  <c r="I5" i="3" s="1"/>
  <c r="F6" i="3"/>
  <c r="G6" i="3" s="1"/>
  <c r="F7" i="3"/>
  <c r="F8" i="3"/>
  <c r="G8" i="3" s="1"/>
  <c r="I8" i="3" s="1"/>
  <c r="F9" i="3"/>
  <c r="G9" i="3" s="1"/>
  <c r="I9" i="3" s="1"/>
  <c r="F10" i="3"/>
  <c r="F11" i="3"/>
  <c r="G11" i="3" s="1"/>
  <c r="I11" i="3" s="1"/>
  <c r="F12" i="3"/>
  <c r="G12" i="3" s="1"/>
  <c r="I12" i="3" s="1"/>
  <c r="F13" i="3"/>
  <c r="G13" i="3" s="1"/>
  <c r="I13" i="3" s="1"/>
  <c r="F14" i="3"/>
  <c r="G14" i="3" s="1"/>
  <c r="I14" i="3" s="1"/>
  <c r="F15" i="3"/>
  <c r="G15" i="3" s="1"/>
  <c r="F16" i="3"/>
  <c r="G16" i="3" s="1"/>
  <c r="I16" i="3" s="1"/>
  <c r="F17" i="3"/>
  <c r="G17" i="3" s="1"/>
  <c r="I17" i="3" s="1"/>
  <c r="F18" i="3"/>
  <c r="G18" i="3" s="1"/>
  <c r="I18" i="3" s="1"/>
  <c r="F19" i="3"/>
  <c r="G19" i="3" s="1"/>
  <c r="I19" i="3" s="1"/>
  <c r="F20" i="3"/>
  <c r="F21" i="3"/>
  <c r="F22" i="3"/>
  <c r="F23" i="3"/>
  <c r="G23" i="3" s="1"/>
  <c r="I23" i="3" s="1"/>
  <c r="F24" i="3"/>
  <c r="F25" i="3"/>
  <c r="G25" i="3" s="1"/>
  <c r="I25" i="3" s="1"/>
  <c r="F26" i="3"/>
  <c r="G26" i="3" s="1"/>
  <c r="F27" i="3"/>
  <c r="F28" i="3"/>
  <c r="G28" i="3" s="1"/>
  <c r="I28" i="3" s="1"/>
  <c r="F29" i="3"/>
  <c r="F30" i="3"/>
  <c r="G30" i="3" s="1"/>
  <c r="I30" i="3" s="1"/>
  <c r="F31" i="3"/>
  <c r="G31" i="3" s="1"/>
  <c r="I31" i="3" s="1"/>
  <c r="F32" i="3"/>
  <c r="G32" i="3" s="1"/>
  <c r="I32" i="3" s="1"/>
  <c r="F33" i="3"/>
  <c r="G33" i="3" s="1"/>
  <c r="I33" i="3" s="1"/>
  <c r="F34" i="3"/>
  <c r="G34" i="3" s="1"/>
  <c r="I34" i="3" s="1"/>
  <c r="F35" i="3"/>
  <c r="G35" i="3" s="1"/>
  <c r="F36" i="3"/>
  <c r="G36" i="3" s="1"/>
  <c r="I36" i="3" s="1"/>
  <c r="F37" i="3"/>
  <c r="G37" i="3" s="1"/>
  <c r="I37" i="3" s="1"/>
  <c r="F38" i="3"/>
  <c r="G38" i="3" s="1"/>
  <c r="I38" i="3" s="1"/>
  <c r="F39" i="3"/>
  <c r="G39" i="3" s="1"/>
  <c r="I39" i="3" s="1"/>
  <c r="F40" i="3"/>
  <c r="G40" i="3" s="1"/>
  <c r="I40" i="3" s="1"/>
  <c r="F41" i="3"/>
  <c r="F42" i="3"/>
  <c r="F43" i="3"/>
  <c r="G43" i="3" s="1"/>
  <c r="I43" i="3" s="1"/>
  <c r="F44" i="3"/>
  <c r="G44" i="3" s="1"/>
  <c r="I44" i="3" s="1"/>
  <c r="F45" i="3"/>
  <c r="G45" i="3" s="1"/>
  <c r="I45" i="3" s="1"/>
  <c r="F46" i="3"/>
  <c r="G46" i="3" s="1"/>
  <c r="F47" i="3"/>
  <c r="F48" i="3"/>
  <c r="G48" i="3" s="1"/>
  <c r="I48" i="3" s="1"/>
  <c r="F49" i="3"/>
  <c r="G49" i="3" s="1"/>
  <c r="I49" i="3" s="1"/>
  <c r="F50" i="3"/>
  <c r="F51" i="3"/>
  <c r="G51" i="3" s="1"/>
  <c r="I51" i="3" s="1"/>
  <c r="F52" i="3"/>
  <c r="G52" i="3" s="1"/>
  <c r="I52" i="3" s="1"/>
  <c r="F53" i="3"/>
  <c r="G53" i="3" s="1"/>
  <c r="I53" i="3" s="1"/>
  <c r="F54" i="3"/>
  <c r="G54" i="3" s="1"/>
  <c r="I54" i="3" s="1"/>
  <c r="F55" i="3"/>
  <c r="G55" i="3" s="1"/>
  <c r="F56" i="3"/>
  <c r="G56" i="3" s="1"/>
  <c r="I56" i="3" s="1"/>
  <c r="F57" i="3"/>
  <c r="G57" i="3" s="1"/>
  <c r="I57" i="3" s="1"/>
  <c r="F58" i="3"/>
  <c r="G58" i="3" s="1"/>
  <c r="I58" i="3" s="1"/>
  <c r="F59" i="3"/>
  <c r="G59" i="3" s="1"/>
  <c r="I59" i="3" s="1"/>
  <c r="F60" i="3"/>
  <c r="G60" i="3" s="1"/>
  <c r="I60" i="3" s="1"/>
  <c r="F61" i="3"/>
  <c r="F62" i="3"/>
  <c r="F63" i="3"/>
  <c r="G63" i="3" s="1"/>
  <c r="I63" i="3" s="1"/>
  <c r="F64" i="3"/>
  <c r="G64" i="3" s="1"/>
  <c r="I64" i="3" s="1"/>
  <c r="F65" i="3"/>
  <c r="F66" i="3"/>
  <c r="G66" i="3" s="1"/>
  <c r="F67" i="3"/>
  <c r="F68" i="3"/>
  <c r="G68" i="3" s="1"/>
  <c r="I68" i="3" s="1"/>
  <c r="F69" i="3"/>
  <c r="F70" i="3"/>
  <c r="G70" i="3" s="1"/>
  <c r="I70" i="3" s="1"/>
  <c r="F71" i="3"/>
  <c r="G71" i="3" s="1"/>
  <c r="I71" i="3" s="1"/>
  <c r="F72" i="3"/>
  <c r="G72" i="3" s="1"/>
  <c r="I72" i="3" s="1"/>
  <c r="F73" i="3"/>
  <c r="G73" i="3" s="1"/>
  <c r="I73" i="3" s="1"/>
  <c r="F74" i="3"/>
  <c r="G74" i="3" s="1"/>
  <c r="I74" i="3" s="1"/>
  <c r="F75" i="3"/>
  <c r="G75" i="3" s="1"/>
  <c r="F76" i="3"/>
  <c r="G76" i="3" s="1"/>
  <c r="I76" i="3" s="1"/>
  <c r="F77" i="3"/>
  <c r="G77" i="3" s="1"/>
  <c r="I77" i="3" s="1"/>
  <c r="F78" i="3"/>
  <c r="G78" i="3" s="1"/>
  <c r="I78" i="3" s="1"/>
  <c r="F79" i="3"/>
  <c r="G79" i="3" s="1"/>
  <c r="I79" i="3" s="1"/>
  <c r="F80" i="3"/>
  <c r="G80" i="3" s="1"/>
  <c r="I80" i="3" s="1"/>
  <c r="F81" i="3"/>
  <c r="F82" i="3"/>
  <c r="F83" i="3"/>
  <c r="G83" i="3" s="1"/>
  <c r="I83" i="3" s="1"/>
  <c r="F84" i="3"/>
  <c r="G84" i="3" s="1"/>
  <c r="I84" i="3" s="1"/>
  <c r="F85" i="3"/>
  <c r="F86" i="3"/>
  <c r="G86" i="3" s="1"/>
  <c r="F87" i="3"/>
  <c r="F88" i="3"/>
  <c r="G88" i="3" s="1"/>
  <c r="I88" i="3" s="1"/>
  <c r="F89" i="3"/>
  <c r="G89" i="3" s="1"/>
  <c r="I89" i="3" s="1"/>
  <c r="F90" i="3"/>
  <c r="F91" i="3"/>
  <c r="G91" i="3" s="1"/>
  <c r="I91" i="3" s="1"/>
  <c r="F92" i="3"/>
  <c r="G92" i="3" s="1"/>
  <c r="I92" i="3" s="1"/>
  <c r="F93" i="3"/>
  <c r="G93" i="3" s="1"/>
  <c r="I93" i="3" s="1"/>
  <c r="F94" i="3"/>
  <c r="G94" i="3" s="1"/>
  <c r="I94" i="3" s="1"/>
  <c r="F95" i="3"/>
  <c r="G95" i="3" s="1"/>
  <c r="F96" i="3"/>
  <c r="G96" i="3" s="1"/>
  <c r="I96" i="3" s="1"/>
  <c r="F97" i="3"/>
  <c r="G97" i="3" s="1"/>
  <c r="I97" i="3" s="1"/>
  <c r="F98" i="3"/>
  <c r="G98" i="3" s="1"/>
  <c r="I98" i="3" s="1"/>
  <c r="F99" i="3"/>
  <c r="G99" i="3" s="1"/>
  <c r="I99" i="3" s="1"/>
  <c r="F100" i="3"/>
  <c r="G100" i="3" s="1"/>
  <c r="I100" i="3" s="1"/>
  <c r="F101" i="3"/>
  <c r="F102" i="3"/>
  <c r="F103" i="3"/>
  <c r="G103" i="3" s="1"/>
  <c r="I103" i="3" s="1"/>
  <c r="F104" i="3"/>
  <c r="G104" i="3" s="1"/>
  <c r="I104" i="3" s="1"/>
  <c r="F105" i="3"/>
  <c r="G105" i="3" s="1"/>
  <c r="I105" i="3" s="1"/>
  <c r="F106" i="3"/>
  <c r="G106" i="3" s="1"/>
  <c r="F107" i="3"/>
  <c r="F108" i="3"/>
  <c r="G108" i="3" s="1"/>
  <c r="I108" i="3" s="1"/>
  <c r="F109" i="3"/>
  <c r="F110" i="3"/>
  <c r="G110" i="3" s="1"/>
  <c r="I110" i="3" s="1"/>
  <c r="F111" i="3"/>
  <c r="G111" i="3" s="1"/>
  <c r="I111" i="3" s="1"/>
  <c r="F112" i="3"/>
  <c r="G112" i="3" s="1"/>
  <c r="I112" i="3" s="1"/>
  <c r="F113" i="3"/>
  <c r="G113" i="3" s="1"/>
  <c r="I113" i="3" s="1"/>
  <c r="F114" i="3"/>
  <c r="G114" i="3" s="1"/>
  <c r="I114" i="3" s="1"/>
  <c r="F115" i="3"/>
  <c r="F116" i="3"/>
  <c r="G116" i="3" s="1"/>
  <c r="I116" i="3" s="1"/>
  <c r="F117" i="3"/>
  <c r="G117" i="3" s="1"/>
  <c r="I117" i="3" s="1"/>
  <c r="F118" i="3"/>
  <c r="G118" i="3" s="1"/>
  <c r="I118" i="3" s="1"/>
  <c r="F119" i="3"/>
  <c r="G119" i="3" s="1"/>
  <c r="I119" i="3" s="1"/>
  <c r="F120" i="3"/>
  <c r="G120" i="3" s="1"/>
  <c r="I120" i="3" s="1"/>
  <c r="F121" i="3"/>
  <c r="F122" i="3"/>
  <c r="F123" i="3"/>
  <c r="G123" i="3" s="1"/>
  <c r="I123" i="3" s="1"/>
  <c r="F124" i="3"/>
  <c r="F125" i="3"/>
  <c r="G125" i="3" s="1"/>
  <c r="I125" i="3" s="1"/>
  <c r="F126" i="3"/>
  <c r="G126" i="3" s="1"/>
  <c r="F127" i="3"/>
  <c r="F128" i="3"/>
  <c r="G128" i="3" s="1"/>
  <c r="I128" i="3" s="1"/>
  <c r="F129" i="3"/>
  <c r="G129" i="3" s="1"/>
  <c r="I129" i="3" s="1"/>
  <c r="F130" i="3"/>
  <c r="F131" i="3"/>
  <c r="G131" i="3" s="1"/>
  <c r="I131" i="3" s="1"/>
  <c r="F132" i="3"/>
  <c r="G132" i="3" s="1"/>
  <c r="I132" i="3" s="1"/>
  <c r="F133" i="3"/>
  <c r="G133" i="3" s="1"/>
  <c r="I133" i="3" s="1"/>
  <c r="F134" i="3"/>
  <c r="G134" i="3" s="1"/>
  <c r="I134" i="3" s="1"/>
  <c r="F135" i="3"/>
  <c r="G135" i="3" s="1"/>
  <c r="F136" i="3"/>
  <c r="G136" i="3" s="1"/>
  <c r="I136" i="3" s="1"/>
  <c r="F137" i="3"/>
  <c r="G137" i="3" s="1"/>
  <c r="I137" i="3" s="1"/>
  <c r="F138" i="3"/>
  <c r="G138" i="3" s="1"/>
  <c r="I138" i="3" s="1"/>
  <c r="F139" i="3"/>
  <c r="G139" i="3" s="1"/>
  <c r="I139" i="3" s="1"/>
  <c r="F140" i="3"/>
  <c r="G140" i="3" s="1"/>
  <c r="I140" i="3" s="1"/>
  <c r="F141" i="3"/>
  <c r="F142" i="3"/>
  <c r="F143" i="3"/>
  <c r="G143" i="3" s="1"/>
  <c r="I143" i="3" s="1"/>
  <c r="F144" i="3"/>
  <c r="G144" i="3" s="1"/>
  <c r="I144" i="3" s="1"/>
  <c r="F146" i="3"/>
  <c r="G146" i="3" s="1"/>
  <c r="I146" i="3" s="1"/>
  <c r="F147" i="3"/>
  <c r="G147" i="3" s="1"/>
  <c r="I147" i="3" s="1"/>
  <c r="F148" i="3"/>
  <c r="F149" i="3"/>
  <c r="G149" i="3" s="1"/>
  <c r="I149" i="3" s="1"/>
  <c r="F150" i="3"/>
  <c r="G150" i="3" s="1"/>
  <c r="I150" i="3" s="1"/>
  <c r="F151" i="3"/>
  <c r="G151" i="3" s="1"/>
  <c r="I151" i="3" s="1"/>
  <c r="F152" i="3"/>
  <c r="G152" i="3" s="1"/>
  <c r="I152" i="3" s="1"/>
  <c r="F153" i="3"/>
  <c r="G153" i="3" s="1"/>
  <c r="I153" i="3" s="1"/>
  <c r="F154" i="3"/>
  <c r="F155" i="3"/>
  <c r="G155" i="3" s="1"/>
  <c r="I155" i="3" s="1"/>
  <c r="F156" i="3"/>
  <c r="G156" i="3" s="1"/>
  <c r="I156" i="3" s="1"/>
  <c r="F157" i="3"/>
  <c r="G157" i="3" s="1"/>
  <c r="I157" i="3" s="1"/>
  <c r="F158" i="3"/>
  <c r="G158" i="3" s="1"/>
  <c r="I158" i="3" s="1"/>
  <c r="F159" i="3"/>
  <c r="G159" i="3" s="1"/>
  <c r="I159" i="3" s="1"/>
  <c r="F160" i="3"/>
  <c r="G160" i="3" s="1"/>
  <c r="I160" i="3" s="1"/>
  <c r="F161" i="3"/>
  <c r="G161" i="3" s="1"/>
  <c r="I161" i="3" s="1"/>
  <c r="F162" i="3"/>
  <c r="G162" i="3" s="1"/>
  <c r="I162" i="3" s="1"/>
  <c r="F163" i="3"/>
  <c r="F164" i="3"/>
  <c r="G164" i="3" s="1"/>
  <c r="I164" i="3" s="1"/>
  <c r="F165" i="3"/>
  <c r="G165" i="3" s="1"/>
  <c r="I165" i="3" s="1"/>
  <c r="F166" i="3"/>
  <c r="G166" i="3" s="1"/>
  <c r="I166" i="3" s="1"/>
  <c r="F167" i="3"/>
  <c r="G167" i="3" s="1"/>
  <c r="I167" i="3" s="1"/>
  <c r="F168" i="3"/>
  <c r="F169" i="3"/>
  <c r="G169" i="3" s="1"/>
  <c r="I169" i="3" s="1"/>
  <c r="F170" i="3"/>
  <c r="G170" i="3" s="1"/>
  <c r="I170" i="3" s="1"/>
  <c r="F171" i="3"/>
  <c r="G171" i="3" s="1"/>
  <c r="I171" i="3" s="1"/>
  <c r="F172" i="3"/>
  <c r="G172" i="3" s="1"/>
  <c r="I172" i="3" s="1"/>
  <c r="F173" i="3"/>
  <c r="G173" i="3" s="1"/>
  <c r="I173" i="3" s="1"/>
  <c r="F174" i="3"/>
  <c r="G174" i="3" s="1"/>
  <c r="I174" i="3" s="1"/>
  <c r="F175" i="3"/>
  <c r="G175" i="3" s="1"/>
  <c r="I175" i="3" s="1"/>
  <c r="F176" i="3"/>
  <c r="G176" i="3" s="1"/>
  <c r="I176" i="3" s="1"/>
  <c r="F177" i="3"/>
  <c r="G177" i="3" s="1"/>
  <c r="I177" i="3" s="1"/>
  <c r="F178" i="3"/>
  <c r="G178" i="3" s="1"/>
  <c r="I178" i="3" s="1"/>
  <c r="F179" i="3"/>
  <c r="G179" i="3" s="1"/>
  <c r="I179" i="3" s="1"/>
  <c r="F180" i="3"/>
  <c r="G180" i="3" s="1"/>
  <c r="I180" i="3" s="1"/>
  <c r="F181" i="3"/>
  <c r="G181" i="3" s="1"/>
  <c r="I181" i="3" s="1"/>
  <c r="F182" i="3"/>
  <c r="F183" i="3"/>
  <c r="F184" i="3"/>
  <c r="G184" i="3" s="1"/>
  <c r="I184" i="3" s="1"/>
  <c r="F185" i="3"/>
  <c r="G185" i="3" s="1"/>
  <c r="I185" i="3" s="1"/>
  <c r="F186" i="3"/>
  <c r="G186" i="3" s="1"/>
  <c r="I186" i="3" s="1"/>
  <c r="F187" i="3"/>
  <c r="G187" i="3" s="1"/>
  <c r="I187" i="3" s="1"/>
  <c r="F188" i="3"/>
  <c r="F189" i="3"/>
  <c r="G189" i="3" s="1"/>
  <c r="I189" i="3" s="1"/>
  <c r="F190" i="3"/>
  <c r="F191" i="3"/>
  <c r="G191" i="3" s="1"/>
  <c r="I191" i="3" s="1"/>
  <c r="F192" i="3"/>
  <c r="F193" i="3"/>
  <c r="G193" i="3" s="1"/>
  <c r="I193" i="3" s="1"/>
  <c r="F194" i="3"/>
  <c r="F195" i="3"/>
  <c r="G195" i="3" s="1"/>
  <c r="I195" i="3" s="1"/>
  <c r="F196" i="3"/>
  <c r="G196" i="3" s="1"/>
  <c r="I196" i="3" s="1"/>
  <c r="F197" i="3"/>
  <c r="G197" i="3" s="1"/>
  <c r="I197" i="3" s="1"/>
  <c r="F198" i="3"/>
  <c r="G198" i="3" s="1"/>
  <c r="I198" i="3" s="1"/>
  <c r="F199" i="3"/>
  <c r="G199" i="3" s="1"/>
  <c r="I199" i="3" s="1"/>
  <c r="F200" i="3"/>
  <c r="G200" i="3" s="1"/>
  <c r="I200" i="3" s="1"/>
  <c r="F201" i="3"/>
  <c r="G201" i="3" s="1"/>
  <c r="I201" i="3" s="1"/>
  <c r="F202" i="3"/>
  <c r="G202" i="3" s="1"/>
  <c r="I202" i="3" s="1"/>
  <c r="F203" i="3"/>
  <c r="F204" i="3"/>
  <c r="G204" i="3" s="1"/>
  <c r="I204" i="3" s="1"/>
  <c r="F205" i="3"/>
  <c r="G205" i="3" s="1"/>
  <c r="I205" i="3" s="1"/>
  <c r="F206" i="3"/>
  <c r="G206" i="3" s="1"/>
  <c r="I206" i="3" s="1"/>
  <c r="F207" i="3"/>
  <c r="G207" i="3" s="1"/>
  <c r="I207" i="3" s="1"/>
  <c r="F208" i="3"/>
  <c r="F209" i="3"/>
  <c r="G209" i="3" s="1"/>
  <c r="I209" i="3" s="1"/>
  <c r="F210" i="3"/>
  <c r="G210" i="3" s="1"/>
  <c r="I210" i="3" s="1"/>
  <c r="F211" i="3"/>
  <c r="G211" i="3" s="1"/>
  <c r="I211" i="3" s="1"/>
  <c r="F212" i="3"/>
  <c r="G212" i="3" s="1"/>
  <c r="I212" i="3" s="1"/>
  <c r="F213" i="3"/>
  <c r="G213" i="3" s="1"/>
  <c r="I213" i="3" s="1"/>
  <c r="F214" i="3"/>
  <c r="G214" i="3" s="1"/>
  <c r="I214" i="3" s="1"/>
  <c r="F215" i="3"/>
  <c r="G215" i="3" s="1"/>
  <c r="I215" i="3" s="1"/>
  <c r="F216" i="3"/>
  <c r="G216" i="3" s="1"/>
  <c r="I216" i="3" s="1"/>
  <c r="F217" i="3"/>
  <c r="G217" i="3" s="1"/>
  <c r="I217" i="3" s="1"/>
  <c r="F218" i="3"/>
  <c r="G218" i="3" s="1"/>
  <c r="I218" i="3" s="1"/>
  <c r="F219" i="3"/>
  <c r="F220" i="3"/>
  <c r="G220" i="3" s="1"/>
  <c r="I220" i="3" s="1"/>
  <c r="F221" i="3"/>
  <c r="G221" i="3" s="1"/>
  <c r="I221" i="3" s="1"/>
  <c r="F222" i="3"/>
  <c r="F223" i="3"/>
  <c r="F224" i="3"/>
  <c r="G224" i="3" s="1"/>
  <c r="I224" i="3" s="1"/>
  <c r="F225" i="3"/>
  <c r="G225" i="3" s="1"/>
  <c r="I225" i="3" s="1"/>
  <c r="F226" i="3"/>
  <c r="G226" i="3" s="1"/>
  <c r="I226" i="3" s="1"/>
  <c r="F227" i="3"/>
  <c r="G227" i="3" s="1"/>
  <c r="I227" i="3" s="1"/>
  <c r="F228" i="3"/>
  <c r="F229" i="3"/>
  <c r="G229" i="3" s="1"/>
  <c r="I229" i="3" s="1"/>
  <c r="F230" i="3"/>
  <c r="G230" i="3" s="1"/>
  <c r="I230" i="3" s="1"/>
  <c r="F231" i="3"/>
  <c r="G231" i="3" s="1"/>
  <c r="I231" i="3" s="1"/>
  <c r="F232" i="3"/>
  <c r="G232" i="3" s="1"/>
  <c r="I232" i="3" s="1"/>
  <c r="F233" i="3"/>
  <c r="G233" i="3" s="1"/>
  <c r="I233" i="3" s="1"/>
  <c r="F234" i="3"/>
  <c r="G234" i="3" s="1"/>
  <c r="I234" i="3" s="1"/>
  <c r="F235" i="3"/>
  <c r="G235" i="3" s="1"/>
  <c r="I235" i="3" s="1"/>
  <c r="F236" i="3"/>
  <c r="G236" i="3" s="1"/>
  <c r="I236" i="3" s="1"/>
  <c r="F237" i="3"/>
  <c r="G237" i="3" s="1"/>
  <c r="I237" i="3" s="1"/>
  <c r="F238" i="3"/>
  <c r="G238" i="3" s="1"/>
  <c r="I238" i="3" s="1"/>
  <c r="F239" i="3"/>
  <c r="F240" i="3"/>
  <c r="G240" i="3" s="1"/>
  <c r="I240" i="3" s="1"/>
  <c r="F241" i="3"/>
  <c r="G241" i="3" s="1"/>
  <c r="I241" i="3" s="1"/>
  <c r="F242" i="3"/>
  <c r="F243" i="3"/>
  <c r="F244" i="3"/>
  <c r="G244" i="3" s="1"/>
  <c r="I244" i="3" s="1"/>
  <c r="F245" i="3"/>
  <c r="F246" i="3"/>
  <c r="G246" i="3" s="1"/>
  <c r="I246" i="3" s="1"/>
  <c r="F247" i="3"/>
  <c r="G247" i="3" s="1"/>
  <c r="I247" i="3" s="1"/>
  <c r="F248" i="3"/>
  <c r="F249" i="3"/>
  <c r="G249" i="3" s="1"/>
  <c r="I249" i="3" s="1"/>
  <c r="F250" i="3"/>
  <c r="G250" i="3" s="1"/>
  <c r="I250" i="3" s="1"/>
  <c r="F251" i="3"/>
  <c r="G251" i="3" s="1"/>
  <c r="I251" i="3" s="1"/>
  <c r="F252" i="3"/>
  <c r="G252" i="3" s="1"/>
  <c r="I252" i="3" s="1"/>
  <c r="F253" i="3"/>
  <c r="G253" i="3" s="1"/>
  <c r="I253" i="3" s="1"/>
  <c r="F254" i="3"/>
  <c r="F255" i="3"/>
  <c r="G255" i="3" s="1"/>
  <c r="I255" i="3" s="1"/>
  <c r="F256" i="3"/>
  <c r="G256" i="3" s="1"/>
  <c r="I256" i="3" s="1"/>
  <c r="F257" i="3"/>
  <c r="G257" i="3" s="1"/>
  <c r="I257" i="3" s="1"/>
  <c r="F258" i="3"/>
  <c r="G258" i="3" s="1"/>
  <c r="I258" i="3" s="1"/>
  <c r="F259" i="3"/>
  <c r="G259" i="3" s="1"/>
  <c r="I259" i="3" s="1"/>
  <c r="F260" i="3"/>
  <c r="G260" i="3" s="1"/>
  <c r="I260" i="3" s="1"/>
  <c r="F261" i="3"/>
  <c r="G261" i="3" s="1"/>
  <c r="I261" i="3" s="1"/>
  <c r="F262" i="3"/>
  <c r="G262" i="3" s="1"/>
  <c r="I262" i="3" s="1"/>
  <c r="F263" i="3"/>
  <c r="F264" i="3"/>
  <c r="G264" i="3" s="1"/>
  <c r="I264" i="3" s="1"/>
  <c r="F265" i="3"/>
  <c r="G265" i="3" s="1"/>
  <c r="I265" i="3" s="1"/>
  <c r="F266" i="3"/>
  <c r="G266" i="3" s="1"/>
  <c r="I266" i="3" s="1"/>
  <c r="F267" i="3"/>
  <c r="G267" i="3" s="1"/>
  <c r="I267" i="3" s="1"/>
  <c r="F268" i="3"/>
  <c r="F269" i="3"/>
  <c r="G269" i="3" s="1"/>
  <c r="I269" i="3" s="1"/>
  <c r="F270" i="3"/>
  <c r="G270" i="3" s="1"/>
  <c r="I270" i="3" s="1"/>
  <c r="F271" i="3"/>
  <c r="G271" i="3" s="1"/>
  <c r="I271" i="3" s="1"/>
  <c r="F272" i="3"/>
  <c r="G272" i="3" s="1"/>
  <c r="I272" i="3" s="1"/>
  <c r="F273" i="3"/>
  <c r="G273" i="3" s="1"/>
  <c r="I273" i="3" s="1"/>
  <c r="F274" i="3"/>
  <c r="G274" i="3" s="1"/>
  <c r="I274" i="3" s="1"/>
  <c r="F275" i="3"/>
  <c r="G275" i="3" s="1"/>
  <c r="I275" i="3" s="1"/>
  <c r="F276" i="3"/>
  <c r="G276" i="3" s="1"/>
  <c r="I276" i="3" s="1"/>
  <c r="F277" i="3"/>
  <c r="G277" i="3" s="1"/>
  <c r="I277" i="3" s="1"/>
  <c r="F278" i="3"/>
  <c r="G278" i="3" s="1"/>
  <c r="I278" i="3" s="1"/>
  <c r="F279" i="3"/>
  <c r="G279" i="3" s="1"/>
  <c r="I279" i="3" s="1"/>
  <c r="F280" i="3"/>
  <c r="G280" i="3" s="1"/>
  <c r="F281" i="3"/>
  <c r="G281" i="3" s="1"/>
  <c r="I281" i="3" s="1"/>
  <c r="F282" i="3"/>
  <c r="F283" i="3"/>
  <c r="F284" i="3"/>
  <c r="G284" i="3" s="1"/>
  <c r="I284" i="3" s="1"/>
  <c r="F285" i="3"/>
  <c r="G285" i="3" s="1"/>
  <c r="I285" i="3" s="1"/>
  <c r="F286" i="3"/>
  <c r="G286" i="3" s="1"/>
  <c r="I286" i="3" s="1"/>
  <c r="F287" i="3"/>
  <c r="G287" i="3" s="1"/>
  <c r="I287" i="3" s="1"/>
  <c r="F288" i="3"/>
  <c r="F289" i="3"/>
  <c r="G289" i="3" s="1"/>
  <c r="I289" i="3" s="1"/>
  <c r="F290" i="3"/>
  <c r="F291" i="3"/>
  <c r="G291" i="3" s="1"/>
  <c r="I291" i="3" s="1"/>
  <c r="F292" i="3"/>
  <c r="F293" i="3"/>
  <c r="G293" i="3" s="1"/>
  <c r="F294" i="3"/>
  <c r="F295" i="3"/>
  <c r="G295" i="3" s="1"/>
  <c r="I295" i="3" s="1"/>
  <c r="F296" i="3"/>
  <c r="G296" i="3" s="1"/>
  <c r="F297" i="3"/>
  <c r="G297" i="3" s="1"/>
  <c r="I297" i="3" s="1"/>
  <c r="F298" i="3"/>
  <c r="G298" i="3" s="1"/>
  <c r="I298" i="3" s="1"/>
  <c r="F299" i="3"/>
  <c r="G299" i="3" s="1"/>
  <c r="I299" i="3" s="1"/>
  <c r="F300" i="3"/>
  <c r="G300" i="3" s="1"/>
  <c r="I300" i="3" s="1"/>
  <c r="F301" i="3"/>
  <c r="G301" i="3" s="1"/>
  <c r="I301" i="3" s="1"/>
  <c r="F302" i="3"/>
  <c r="G302" i="3" s="1"/>
  <c r="I302" i="3" s="1"/>
  <c r="F303" i="3"/>
  <c r="F304" i="3"/>
  <c r="G304" i="3" s="1"/>
  <c r="I304" i="3" s="1"/>
  <c r="F305" i="3"/>
  <c r="G305" i="3" s="1"/>
  <c r="I305" i="3" s="1"/>
  <c r="F306" i="3"/>
  <c r="G306" i="3" s="1"/>
  <c r="I306" i="3" s="1"/>
  <c r="F307" i="3"/>
  <c r="G307" i="3" s="1"/>
  <c r="F308" i="3"/>
  <c r="F309" i="3"/>
  <c r="G309" i="3" s="1"/>
  <c r="I309" i="3" s="1"/>
  <c r="F145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4" i="3"/>
  <c r="AC309" i="3"/>
  <c r="AB309" i="3"/>
  <c r="C309" i="3"/>
  <c r="H309" i="3" s="1"/>
  <c r="A309" i="3"/>
  <c r="AC308" i="3"/>
  <c r="AB308" i="3"/>
  <c r="C308" i="3"/>
  <c r="H308" i="3" s="1"/>
  <c r="A308" i="3"/>
  <c r="AC307" i="3"/>
  <c r="AB307" i="3"/>
  <c r="C307" i="3"/>
  <c r="A307" i="3"/>
  <c r="AC306" i="3"/>
  <c r="AB306" i="3"/>
  <c r="C306" i="3"/>
  <c r="A306" i="3"/>
  <c r="AC305" i="3"/>
  <c r="AB305" i="3"/>
  <c r="C305" i="3"/>
  <c r="H305" i="3" s="1"/>
  <c r="A305" i="3"/>
  <c r="AC304" i="3"/>
  <c r="AB304" i="3"/>
  <c r="C304" i="3"/>
  <c r="H304" i="3" s="1"/>
  <c r="A304" i="3"/>
  <c r="AC303" i="3"/>
  <c r="AB303" i="3"/>
  <c r="C303" i="3"/>
  <c r="H303" i="3" s="1"/>
  <c r="A303" i="3"/>
  <c r="AC302" i="3"/>
  <c r="AB302" i="3"/>
  <c r="C302" i="3"/>
  <c r="H302" i="3" s="1"/>
  <c r="A302" i="3"/>
  <c r="AC301" i="3"/>
  <c r="AB301" i="3"/>
  <c r="C301" i="3"/>
  <c r="A301" i="3"/>
  <c r="AC300" i="3"/>
  <c r="AB300" i="3"/>
  <c r="C300" i="3"/>
  <c r="H300" i="3" s="1"/>
  <c r="A300" i="3"/>
  <c r="AC299" i="3"/>
  <c r="AB299" i="3"/>
  <c r="C299" i="3"/>
  <c r="H299" i="3" s="1"/>
  <c r="A299" i="3"/>
  <c r="AC298" i="3"/>
  <c r="AB298" i="3"/>
  <c r="C298" i="3"/>
  <c r="A298" i="3"/>
  <c r="AC297" i="3"/>
  <c r="AB297" i="3"/>
  <c r="C297" i="3"/>
  <c r="H297" i="3" s="1"/>
  <c r="A297" i="3"/>
  <c r="AC296" i="3"/>
  <c r="AB296" i="3"/>
  <c r="C296" i="3"/>
  <c r="H296" i="3" s="1"/>
  <c r="A296" i="3"/>
  <c r="AC295" i="3"/>
  <c r="AB295" i="3"/>
  <c r="C295" i="3"/>
  <c r="H295" i="3" s="1"/>
  <c r="A295" i="3"/>
  <c r="AC294" i="3"/>
  <c r="AB294" i="3"/>
  <c r="C294" i="3"/>
  <c r="H294" i="3" s="1"/>
  <c r="A294" i="3"/>
  <c r="AC293" i="3"/>
  <c r="AB293" i="3"/>
  <c r="C293" i="3"/>
  <c r="H293" i="3" s="1"/>
  <c r="A293" i="3"/>
  <c r="AC292" i="3"/>
  <c r="AB292" i="3"/>
  <c r="C292" i="3"/>
  <c r="A292" i="3"/>
  <c r="AC291" i="3"/>
  <c r="AB291" i="3"/>
  <c r="C291" i="3"/>
  <c r="A291" i="3"/>
  <c r="AC290" i="3"/>
  <c r="AB290" i="3"/>
  <c r="C290" i="3"/>
  <c r="H290" i="3" s="1"/>
  <c r="A290" i="3"/>
  <c r="AC289" i="3"/>
  <c r="AB289" i="3"/>
  <c r="C289" i="3"/>
  <c r="H289" i="3" s="1"/>
  <c r="A289" i="3"/>
  <c r="AC288" i="3"/>
  <c r="AB288" i="3"/>
  <c r="C288" i="3"/>
  <c r="H288" i="3" s="1"/>
  <c r="A288" i="3"/>
  <c r="AC287" i="3"/>
  <c r="AB287" i="3"/>
  <c r="C287" i="3"/>
  <c r="A287" i="3"/>
  <c r="AC286" i="3"/>
  <c r="AB286" i="3"/>
  <c r="C286" i="3"/>
  <c r="A286" i="3"/>
  <c r="AC285" i="3"/>
  <c r="AB285" i="3"/>
  <c r="C285" i="3"/>
  <c r="H285" i="3" s="1"/>
  <c r="A285" i="3"/>
  <c r="AC284" i="3"/>
  <c r="AB284" i="3"/>
  <c r="C284" i="3"/>
  <c r="H284" i="3" s="1"/>
  <c r="A284" i="3"/>
  <c r="AC283" i="3"/>
  <c r="AB283" i="3"/>
  <c r="C283" i="3"/>
  <c r="H283" i="3" s="1"/>
  <c r="A283" i="3"/>
  <c r="AC282" i="3"/>
  <c r="AB282" i="3"/>
  <c r="C282" i="3"/>
  <c r="H282" i="3" s="1"/>
  <c r="A282" i="3"/>
  <c r="AC281" i="3"/>
  <c r="AB281" i="3"/>
  <c r="C281" i="3"/>
  <c r="A281" i="3"/>
  <c r="AC280" i="3"/>
  <c r="AB280" i="3"/>
  <c r="C280" i="3"/>
  <c r="H280" i="3" s="1"/>
  <c r="A280" i="3"/>
  <c r="AC279" i="3"/>
  <c r="AB279" i="3"/>
  <c r="C279" i="3"/>
  <c r="H279" i="3" s="1"/>
  <c r="A279" i="3"/>
  <c r="AC278" i="3"/>
  <c r="AB278" i="3"/>
  <c r="C278" i="3"/>
  <c r="A278" i="3"/>
  <c r="AC277" i="3"/>
  <c r="AB277" i="3"/>
  <c r="C277" i="3"/>
  <c r="H277" i="3" s="1"/>
  <c r="A277" i="3"/>
  <c r="AC276" i="3"/>
  <c r="AB276" i="3"/>
  <c r="C276" i="3"/>
  <c r="H276" i="3" s="1"/>
  <c r="A276" i="3"/>
  <c r="AC275" i="3"/>
  <c r="AB275" i="3"/>
  <c r="C275" i="3"/>
  <c r="H275" i="3" s="1"/>
  <c r="A275" i="3"/>
  <c r="AC274" i="3"/>
  <c r="AB274" i="3"/>
  <c r="C274" i="3"/>
  <c r="H274" i="3" s="1"/>
  <c r="A274" i="3"/>
  <c r="AC273" i="3"/>
  <c r="AB273" i="3"/>
  <c r="C273" i="3"/>
  <c r="H273" i="3" s="1"/>
  <c r="A273" i="3"/>
  <c r="AC272" i="3"/>
  <c r="AB272" i="3"/>
  <c r="C272" i="3"/>
  <c r="A272" i="3"/>
  <c r="AC271" i="3"/>
  <c r="AB271" i="3"/>
  <c r="C271" i="3"/>
  <c r="A271" i="3"/>
  <c r="AC270" i="3"/>
  <c r="AB270" i="3"/>
  <c r="C270" i="3"/>
  <c r="H270" i="3" s="1"/>
  <c r="A270" i="3"/>
  <c r="AC269" i="3"/>
  <c r="AB269" i="3"/>
  <c r="C269" i="3"/>
  <c r="H269" i="3" s="1"/>
  <c r="A269" i="3"/>
  <c r="AC268" i="3"/>
  <c r="AB268" i="3"/>
  <c r="C268" i="3"/>
  <c r="H268" i="3" s="1"/>
  <c r="A268" i="3"/>
  <c r="AC267" i="3"/>
  <c r="AB267" i="3"/>
  <c r="C267" i="3"/>
  <c r="A267" i="3"/>
  <c r="AC266" i="3"/>
  <c r="AB266" i="3"/>
  <c r="C266" i="3"/>
  <c r="A266" i="3"/>
  <c r="AC265" i="3"/>
  <c r="AB265" i="3"/>
  <c r="C265" i="3"/>
  <c r="H265" i="3" s="1"/>
  <c r="A265" i="3"/>
  <c r="AC264" i="3"/>
  <c r="AB264" i="3"/>
  <c r="C264" i="3"/>
  <c r="H264" i="3" s="1"/>
  <c r="A264" i="3"/>
  <c r="AC263" i="3"/>
  <c r="AB263" i="3"/>
  <c r="C263" i="3"/>
  <c r="H263" i="3" s="1"/>
  <c r="A263" i="3"/>
  <c r="AC262" i="3"/>
  <c r="AB262" i="3"/>
  <c r="C262" i="3"/>
  <c r="H262" i="3" s="1"/>
  <c r="A262" i="3"/>
  <c r="AC261" i="3"/>
  <c r="AB261" i="3"/>
  <c r="C261" i="3"/>
  <c r="A261" i="3"/>
  <c r="AC260" i="3"/>
  <c r="AB260" i="3"/>
  <c r="C260" i="3"/>
  <c r="H260" i="3" s="1"/>
  <c r="A260" i="3"/>
  <c r="AC259" i="3"/>
  <c r="AB259" i="3"/>
  <c r="C259" i="3"/>
  <c r="H259" i="3" s="1"/>
  <c r="A259" i="3"/>
  <c r="AC258" i="3"/>
  <c r="AB258" i="3"/>
  <c r="C258" i="3"/>
  <c r="A258" i="3"/>
  <c r="AC257" i="3"/>
  <c r="AB257" i="3"/>
  <c r="N257" i="3"/>
  <c r="C257" i="3"/>
  <c r="H257" i="3" s="1"/>
  <c r="A257" i="3"/>
  <c r="AC256" i="3"/>
  <c r="AB256" i="3"/>
  <c r="C256" i="3"/>
  <c r="H256" i="3" s="1"/>
  <c r="A256" i="3"/>
  <c r="AC255" i="3"/>
  <c r="AB255" i="3"/>
  <c r="C255" i="3"/>
  <c r="A255" i="3"/>
  <c r="AC254" i="3"/>
  <c r="AB254" i="3"/>
  <c r="C254" i="3"/>
  <c r="H254" i="3" s="1"/>
  <c r="A254" i="3"/>
  <c r="AC253" i="3"/>
  <c r="AB253" i="3"/>
  <c r="C253" i="3"/>
  <c r="A253" i="3"/>
  <c r="AC252" i="3"/>
  <c r="AB252" i="3"/>
  <c r="C252" i="3"/>
  <c r="A252" i="3"/>
  <c r="AC251" i="3"/>
  <c r="AB251" i="3"/>
  <c r="C251" i="3"/>
  <c r="H251" i="3" s="1"/>
  <c r="A251" i="3"/>
  <c r="AC250" i="3"/>
  <c r="AB250" i="3"/>
  <c r="C250" i="3"/>
  <c r="A250" i="3"/>
  <c r="AC249" i="3"/>
  <c r="AB249" i="3"/>
  <c r="C249" i="3"/>
  <c r="H249" i="3" s="1"/>
  <c r="A249" i="3"/>
  <c r="AC248" i="3"/>
  <c r="AB248" i="3"/>
  <c r="C248" i="3"/>
  <c r="H248" i="3" s="1"/>
  <c r="A248" i="3"/>
  <c r="AC247" i="3"/>
  <c r="AB247" i="3"/>
  <c r="C247" i="3"/>
  <c r="A247" i="3"/>
  <c r="AC246" i="3"/>
  <c r="AB246" i="3"/>
  <c r="C246" i="3"/>
  <c r="A246" i="3"/>
  <c r="AC245" i="3"/>
  <c r="AB245" i="3"/>
  <c r="N245" i="3"/>
  <c r="C245" i="3"/>
  <c r="A245" i="3"/>
  <c r="AC244" i="3"/>
  <c r="AB244" i="3"/>
  <c r="C244" i="3"/>
  <c r="H244" i="3" s="1"/>
  <c r="A244" i="3"/>
  <c r="AC243" i="3"/>
  <c r="AB243" i="3"/>
  <c r="C243" i="3"/>
  <c r="A243" i="3"/>
  <c r="AC242" i="3"/>
  <c r="AB242" i="3"/>
  <c r="C242" i="3"/>
  <c r="A242" i="3"/>
  <c r="AC241" i="3"/>
  <c r="AB241" i="3"/>
  <c r="C241" i="3"/>
  <c r="A241" i="3"/>
  <c r="AC240" i="3"/>
  <c r="AB240" i="3"/>
  <c r="C240" i="3"/>
  <c r="A240" i="3"/>
  <c r="AC239" i="3"/>
  <c r="AB239" i="3"/>
  <c r="C239" i="3"/>
  <c r="A239" i="3"/>
  <c r="AC238" i="3"/>
  <c r="AB238" i="3"/>
  <c r="C238" i="3"/>
  <c r="A238" i="3"/>
  <c r="AC237" i="3"/>
  <c r="AB237" i="3"/>
  <c r="C237" i="3"/>
  <c r="A237" i="3"/>
  <c r="AC236" i="3"/>
  <c r="AB236" i="3"/>
  <c r="C236" i="3"/>
  <c r="H236" i="3" s="1"/>
  <c r="A236" i="3"/>
  <c r="AC235" i="3"/>
  <c r="AB235" i="3"/>
  <c r="C235" i="3"/>
  <c r="A235" i="3"/>
  <c r="AC234" i="3"/>
  <c r="AB234" i="3"/>
  <c r="C234" i="3"/>
  <c r="A234" i="3"/>
  <c r="AC233" i="3"/>
  <c r="AB233" i="3"/>
  <c r="C233" i="3"/>
  <c r="A233" i="3"/>
  <c r="AC232" i="3"/>
  <c r="AB232" i="3"/>
  <c r="C232" i="3"/>
  <c r="A232" i="3"/>
  <c r="AC231" i="3"/>
  <c r="AB231" i="3"/>
  <c r="C231" i="3"/>
  <c r="H231" i="3" s="1"/>
  <c r="A231" i="3"/>
  <c r="AC230" i="3"/>
  <c r="AB230" i="3"/>
  <c r="C230" i="3"/>
  <c r="A230" i="3"/>
  <c r="AC229" i="3"/>
  <c r="AB229" i="3"/>
  <c r="C229" i="3"/>
  <c r="H229" i="3" s="1"/>
  <c r="A229" i="3"/>
  <c r="AC228" i="3"/>
  <c r="AB228" i="3"/>
  <c r="C228" i="3"/>
  <c r="H228" i="3" s="1"/>
  <c r="A228" i="3"/>
  <c r="AC227" i="3"/>
  <c r="AB227" i="3"/>
  <c r="N227" i="3"/>
  <c r="C227" i="3"/>
  <c r="A227" i="3"/>
  <c r="AC226" i="3"/>
  <c r="AB226" i="3"/>
  <c r="N226" i="3"/>
  <c r="C226" i="3"/>
  <c r="A226" i="3"/>
  <c r="AC225" i="3"/>
  <c r="AB225" i="3"/>
  <c r="N225" i="3"/>
  <c r="C225" i="3"/>
  <c r="H225" i="3" s="1"/>
  <c r="A225" i="3"/>
  <c r="AC224" i="3"/>
  <c r="AB224" i="3"/>
  <c r="N224" i="3"/>
  <c r="C224" i="3"/>
  <c r="A224" i="3"/>
  <c r="AC223" i="3"/>
  <c r="AB223" i="3"/>
  <c r="C223" i="3"/>
  <c r="A223" i="3"/>
  <c r="AC222" i="3"/>
  <c r="AB222" i="3"/>
  <c r="C222" i="3"/>
  <c r="H222" i="3" s="1"/>
  <c r="A222" i="3"/>
  <c r="AC221" i="3"/>
  <c r="AB221" i="3"/>
  <c r="C221" i="3"/>
  <c r="A221" i="3"/>
  <c r="AC220" i="3"/>
  <c r="AB220" i="3"/>
  <c r="C220" i="3"/>
  <c r="A220" i="3"/>
  <c r="AC219" i="3"/>
  <c r="AB219" i="3"/>
  <c r="C219" i="3"/>
  <c r="A219" i="3"/>
  <c r="AC218" i="3"/>
  <c r="AB218" i="3"/>
  <c r="C218" i="3"/>
  <c r="A218" i="3"/>
  <c r="AC217" i="3"/>
  <c r="AB217" i="3"/>
  <c r="C217" i="3"/>
  <c r="H217" i="3" s="1"/>
  <c r="A217" i="3"/>
  <c r="AC216" i="3"/>
  <c r="AB216" i="3"/>
  <c r="C216" i="3"/>
  <c r="A216" i="3"/>
  <c r="AC215" i="3"/>
  <c r="AB215" i="3"/>
  <c r="C215" i="3"/>
  <c r="A215" i="3"/>
  <c r="AC214" i="3"/>
  <c r="AB214" i="3"/>
  <c r="C214" i="3"/>
  <c r="A214" i="3"/>
  <c r="AC213" i="3"/>
  <c r="AB213" i="3"/>
  <c r="C213" i="3"/>
  <c r="A213" i="3"/>
  <c r="AC212" i="3"/>
  <c r="AB212" i="3"/>
  <c r="C212" i="3"/>
  <c r="A212" i="3"/>
  <c r="AC211" i="3"/>
  <c r="AB211" i="3"/>
  <c r="C211" i="3"/>
  <c r="A211" i="3"/>
  <c r="AC210" i="3"/>
  <c r="AB210" i="3"/>
  <c r="C210" i="3"/>
  <c r="A210" i="3"/>
  <c r="AC209" i="3"/>
  <c r="AB209" i="3"/>
  <c r="C209" i="3"/>
  <c r="A209" i="3"/>
  <c r="AC208" i="3"/>
  <c r="AB208" i="3"/>
  <c r="C208" i="3"/>
  <c r="H208" i="3" s="1"/>
  <c r="A208" i="3"/>
  <c r="AC207" i="3"/>
  <c r="AB207" i="3"/>
  <c r="C207" i="3"/>
  <c r="A207" i="3"/>
  <c r="AC206" i="3"/>
  <c r="AB206" i="3"/>
  <c r="C206" i="3"/>
  <c r="A206" i="3"/>
  <c r="AC205" i="3"/>
  <c r="AB205" i="3"/>
  <c r="C205" i="3"/>
  <c r="A205" i="3"/>
  <c r="AC204" i="3"/>
  <c r="AB204" i="3"/>
  <c r="C204" i="3"/>
  <c r="A204" i="3"/>
  <c r="AC203" i="3"/>
  <c r="AB203" i="3"/>
  <c r="C203" i="3"/>
  <c r="A203" i="3"/>
  <c r="AC202" i="3"/>
  <c r="AB202" i="3"/>
  <c r="C202" i="3"/>
  <c r="H202" i="3" s="1"/>
  <c r="A202" i="3"/>
  <c r="AC201" i="3"/>
  <c r="AB201" i="3"/>
  <c r="C201" i="3"/>
  <c r="A201" i="3"/>
  <c r="AC200" i="3"/>
  <c r="AB200" i="3"/>
  <c r="C200" i="3"/>
  <c r="A200" i="3"/>
  <c r="AC199" i="3"/>
  <c r="AB199" i="3"/>
  <c r="N199" i="3"/>
  <c r="C199" i="3"/>
  <c r="H199" i="3" s="1"/>
  <c r="A199" i="3"/>
  <c r="AC198" i="3"/>
  <c r="AB198" i="3"/>
  <c r="N198" i="3"/>
  <c r="C198" i="3"/>
  <c r="A198" i="3"/>
  <c r="AC197" i="3"/>
  <c r="AB197" i="3"/>
  <c r="N197" i="3"/>
  <c r="C197" i="3"/>
  <c r="A197" i="3"/>
  <c r="AC196" i="3"/>
  <c r="AB196" i="3"/>
  <c r="N196" i="3"/>
  <c r="C196" i="3"/>
  <c r="H196" i="3" s="1"/>
  <c r="A196" i="3"/>
  <c r="AC195" i="3"/>
  <c r="AB195" i="3"/>
  <c r="C195" i="3"/>
  <c r="H195" i="3" s="1"/>
  <c r="A195" i="3"/>
  <c r="AC194" i="3"/>
  <c r="AB194" i="3"/>
  <c r="C194" i="3"/>
  <c r="A194" i="3"/>
  <c r="AC193" i="3"/>
  <c r="AB193" i="3"/>
  <c r="C193" i="3"/>
  <c r="A193" i="3"/>
  <c r="AC192" i="3"/>
  <c r="AB192" i="3"/>
  <c r="C192" i="3"/>
  <c r="A192" i="3"/>
  <c r="AC191" i="3"/>
  <c r="AB191" i="3"/>
  <c r="C191" i="3"/>
  <c r="A191" i="3"/>
  <c r="AC190" i="3"/>
  <c r="AB190" i="3"/>
  <c r="C190" i="3"/>
  <c r="H190" i="3" s="1"/>
  <c r="A190" i="3"/>
  <c r="AC189" i="3"/>
  <c r="AB189" i="3"/>
  <c r="C189" i="3"/>
  <c r="A189" i="3"/>
  <c r="AC188" i="3"/>
  <c r="AB188" i="3"/>
  <c r="C188" i="3"/>
  <c r="H188" i="3" s="1"/>
  <c r="A188" i="3"/>
  <c r="AC187" i="3"/>
  <c r="AB187" i="3"/>
  <c r="C187" i="3"/>
  <c r="A187" i="3"/>
  <c r="AC186" i="3"/>
  <c r="AB186" i="3"/>
  <c r="C186" i="3"/>
  <c r="A186" i="3"/>
  <c r="AC185" i="3"/>
  <c r="AB185" i="3"/>
  <c r="C185" i="3"/>
  <c r="H185" i="3" s="1"/>
  <c r="A185" i="3"/>
  <c r="AC184" i="3"/>
  <c r="AB184" i="3"/>
  <c r="C184" i="3"/>
  <c r="A184" i="3"/>
  <c r="AC183" i="3"/>
  <c r="AB183" i="3"/>
  <c r="C183" i="3"/>
  <c r="H183" i="3" s="1"/>
  <c r="A183" i="3"/>
  <c r="AC182" i="3"/>
  <c r="AB182" i="3"/>
  <c r="C182" i="3"/>
  <c r="H182" i="3" s="1"/>
  <c r="A182" i="3"/>
  <c r="AC181" i="3"/>
  <c r="AB181" i="3"/>
  <c r="C181" i="3"/>
  <c r="A181" i="3"/>
  <c r="AC180" i="3"/>
  <c r="AB180" i="3"/>
  <c r="C180" i="3"/>
  <c r="A180" i="3"/>
  <c r="AC179" i="3"/>
  <c r="AB179" i="3"/>
  <c r="C179" i="3"/>
  <c r="A179" i="3"/>
  <c r="AC178" i="3"/>
  <c r="AB178" i="3"/>
  <c r="C178" i="3"/>
  <c r="A178" i="3"/>
  <c r="AC177" i="3"/>
  <c r="AB177" i="3"/>
  <c r="C177" i="3"/>
  <c r="A177" i="3"/>
  <c r="AC176" i="3"/>
  <c r="AB176" i="3"/>
  <c r="C176" i="3"/>
  <c r="H176" i="3" s="1"/>
  <c r="A176" i="3"/>
  <c r="AC175" i="3"/>
  <c r="AB175" i="3"/>
  <c r="C175" i="3"/>
  <c r="H175" i="3" s="1"/>
  <c r="A175" i="3"/>
  <c r="AC174" i="3"/>
  <c r="AB174" i="3"/>
  <c r="C174" i="3"/>
  <c r="A174" i="3"/>
  <c r="AC173" i="3"/>
  <c r="AB173" i="3"/>
  <c r="C173" i="3"/>
  <c r="A173" i="3"/>
  <c r="AC172" i="3"/>
  <c r="AB172" i="3"/>
  <c r="N172" i="3"/>
  <c r="C172" i="3"/>
  <c r="A172" i="3"/>
  <c r="AC171" i="3"/>
  <c r="AB171" i="3"/>
  <c r="N171" i="3"/>
  <c r="C171" i="3"/>
  <c r="A171" i="3"/>
  <c r="AC170" i="3"/>
  <c r="AB170" i="3"/>
  <c r="N170" i="3"/>
  <c r="C170" i="3"/>
  <c r="A170" i="3"/>
  <c r="AC169" i="3"/>
  <c r="AB169" i="3"/>
  <c r="N169" i="3"/>
  <c r="C169" i="3"/>
  <c r="A169" i="3"/>
  <c r="AC168" i="3"/>
  <c r="AB168" i="3"/>
  <c r="N168" i="3"/>
  <c r="C168" i="3"/>
  <c r="H168" i="3" s="1"/>
  <c r="A168" i="3"/>
  <c r="AC167" i="3"/>
  <c r="AB167" i="3"/>
  <c r="N167" i="3"/>
  <c r="C167" i="3"/>
  <c r="A167" i="3"/>
  <c r="AC166" i="3"/>
  <c r="AB166" i="3"/>
  <c r="N166" i="3"/>
  <c r="C166" i="3"/>
  <c r="A166" i="3"/>
  <c r="AC165" i="3"/>
  <c r="AB165" i="3"/>
  <c r="N165" i="3"/>
  <c r="C165" i="3"/>
  <c r="H165" i="3" s="1"/>
  <c r="A165" i="3"/>
  <c r="AC164" i="3"/>
  <c r="AB164" i="3"/>
  <c r="N164" i="3"/>
  <c r="C164" i="3"/>
  <c r="H164" i="3" s="1"/>
  <c r="A164" i="3"/>
  <c r="AC163" i="3"/>
  <c r="AB163" i="3"/>
  <c r="N163" i="3"/>
  <c r="C163" i="3"/>
  <c r="H163" i="3" s="1"/>
  <c r="A163" i="3"/>
  <c r="AC162" i="3"/>
  <c r="AB162" i="3"/>
  <c r="N162" i="3"/>
  <c r="C162" i="3"/>
  <c r="H162" i="3" s="1"/>
  <c r="A162" i="3"/>
  <c r="AC161" i="3"/>
  <c r="AB161" i="3"/>
  <c r="N161" i="3"/>
  <c r="C161" i="3"/>
  <c r="A161" i="3"/>
  <c r="AC160" i="3"/>
  <c r="AB160" i="3"/>
  <c r="C160" i="3"/>
  <c r="A160" i="3"/>
  <c r="AC159" i="3"/>
  <c r="AB159" i="3"/>
  <c r="C159" i="3"/>
  <c r="A159" i="3"/>
  <c r="AC158" i="3"/>
  <c r="AB158" i="3"/>
  <c r="C158" i="3"/>
  <c r="A158" i="3"/>
  <c r="AC157" i="3"/>
  <c r="AB157" i="3"/>
  <c r="C157" i="3"/>
  <c r="A157" i="3"/>
  <c r="AC156" i="3"/>
  <c r="AB156" i="3"/>
  <c r="C156" i="3"/>
  <c r="A156" i="3"/>
  <c r="AC155" i="3"/>
  <c r="AB155" i="3"/>
  <c r="C155" i="3"/>
  <c r="A155" i="3"/>
  <c r="AC154" i="3"/>
  <c r="AB154" i="3"/>
  <c r="C154" i="3"/>
  <c r="H154" i="3" s="1"/>
  <c r="A154" i="3"/>
  <c r="AC153" i="3"/>
  <c r="AB153" i="3"/>
  <c r="C153" i="3"/>
  <c r="A153" i="3"/>
  <c r="AC152" i="3"/>
  <c r="AB152" i="3"/>
  <c r="C152" i="3"/>
  <c r="A152" i="3"/>
  <c r="AC151" i="3"/>
  <c r="AB151" i="3"/>
  <c r="C151" i="3"/>
  <c r="H151" i="3" s="1"/>
  <c r="A151" i="3"/>
  <c r="AC150" i="3"/>
  <c r="AB150" i="3"/>
  <c r="C150" i="3"/>
  <c r="A150" i="3"/>
  <c r="AC149" i="3"/>
  <c r="AB149" i="3"/>
  <c r="C149" i="3"/>
  <c r="H149" i="3" s="1"/>
  <c r="A149" i="3"/>
  <c r="AC148" i="3"/>
  <c r="AB148" i="3"/>
  <c r="C148" i="3"/>
  <c r="H148" i="3" s="1"/>
  <c r="A148" i="3"/>
  <c r="AC147" i="3"/>
  <c r="AB147" i="3"/>
  <c r="C147" i="3"/>
  <c r="A147" i="3"/>
  <c r="AC146" i="3"/>
  <c r="AB146" i="3"/>
  <c r="C146" i="3"/>
  <c r="A146" i="3"/>
  <c r="AC145" i="3"/>
  <c r="AB145" i="3"/>
  <c r="C145" i="3"/>
  <c r="A145" i="3"/>
  <c r="AC144" i="3"/>
  <c r="AB144" i="3"/>
  <c r="C144" i="3"/>
  <c r="A144" i="3"/>
  <c r="AC143" i="3"/>
  <c r="AB143" i="3"/>
  <c r="C143" i="3"/>
  <c r="A143" i="3"/>
  <c r="AC142" i="3"/>
  <c r="AB142" i="3"/>
  <c r="C142" i="3"/>
  <c r="A142" i="3"/>
  <c r="AC141" i="3"/>
  <c r="AB141" i="3"/>
  <c r="C141" i="3"/>
  <c r="H141" i="3" s="1"/>
  <c r="A141" i="3"/>
  <c r="AC140" i="3"/>
  <c r="AB140" i="3"/>
  <c r="C140" i="3"/>
  <c r="A140" i="3"/>
  <c r="AC139" i="3"/>
  <c r="AB139" i="3"/>
  <c r="N139" i="3"/>
  <c r="C139" i="3"/>
  <c r="A139" i="3"/>
  <c r="AC138" i="3"/>
  <c r="AB138" i="3"/>
  <c r="N138" i="3"/>
  <c r="C138" i="3"/>
  <c r="A138" i="3"/>
  <c r="AC137" i="3"/>
  <c r="AB137" i="3"/>
  <c r="N137" i="3"/>
  <c r="C137" i="3"/>
  <c r="H137" i="3" s="1"/>
  <c r="A137" i="3"/>
  <c r="AC136" i="3"/>
  <c r="AB136" i="3"/>
  <c r="N136" i="3"/>
  <c r="C136" i="3"/>
  <c r="A136" i="3"/>
  <c r="AC135" i="3"/>
  <c r="AB135" i="3"/>
  <c r="N135" i="3"/>
  <c r="C135" i="3"/>
  <c r="A135" i="3"/>
  <c r="AC134" i="3"/>
  <c r="AB134" i="3"/>
  <c r="N134" i="3"/>
  <c r="C134" i="3"/>
  <c r="A134" i="3"/>
  <c r="AC133" i="3"/>
  <c r="AB133" i="3"/>
  <c r="N133" i="3"/>
  <c r="C133" i="3"/>
  <c r="H133" i="3" s="1"/>
  <c r="A133" i="3"/>
  <c r="AC132" i="3"/>
  <c r="AB132" i="3"/>
  <c r="N132" i="3"/>
  <c r="C132" i="3"/>
  <c r="A132" i="3"/>
  <c r="AC131" i="3"/>
  <c r="AB131" i="3"/>
  <c r="N131" i="3"/>
  <c r="C131" i="3"/>
  <c r="A131" i="3"/>
  <c r="AC130" i="3"/>
  <c r="AB130" i="3"/>
  <c r="N130" i="3"/>
  <c r="C130" i="3"/>
  <c r="A130" i="3"/>
  <c r="AC129" i="3"/>
  <c r="AB129" i="3"/>
  <c r="N129" i="3"/>
  <c r="C129" i="3"/>
  <c r="H129" i="3" s="1"/>
  <c r="A129" i="3"/>
  <c r="AC128" i="3"/>
  <c r="AB128" i="3"/>
  <c r="N128" i="3"/>
  <c r="C128" i="3"/>
  <c r="A128" i="3"/>
  <c r="AC127" i="3"/>
  <c r="AB127" i="3"/>
  <c r="N127" i="3"/>
  <c r="C127" i="3"/>
  <c r="H127" i="3" s="1"/>
  <c r="A127" i="3"/>
  <c r="AC126" i="3"/>
  <c r="AB126" i="3"/>
  <c r="N126" i="3"/>
  <c r="C126" i="3"/>
  <c r="A126" i="3"/>
  <c r="AC125" i="3"/>
  <c r="AB125" i="3"/>
  <c r="N125" i="3"/>
  <c r="C125" i="3"/>
  <c r="H125" i="3" s="1"/>
  <c r="A125" i="3"/>
  <c r="AC124" i="3"/>
  <c r="AB124" i="3"/>
  <c r="N124" i="3"/>
  <c r="C124" i="3"/>
  <c r="A124" i="3"/>
  <c r="AC123" i="3"/>
  <c r="AB123" i="3"/>
  <c r="N123" i="3"/>
  <c r="C123" i="3"/>
  <c r="A123" i="3"/>
  <c r="AC122" i="3"/>
  <c r="AB122" i="3"/>
  <c r="N122" i="3"/>
  <c r="C122" i="3"/>
  <c r="H122" i="3" s="1"/>
  <c r="A122" i="3"/>
  <c r="AC121" i="3"/>
  <c r="AB121" i="3"/>
  <c r="N121" i="3"/>
  <c r="C121" i="3"/>
  <c r="H121" i="3" s="1"/>
  <c r="A121" i="3"/>
  <c r="AC120" i="3"/>
  <c r="AB120" i="3"/>
  <c r="N120" i="3"/>
  <c r="C120" i="3"/>
  <c r="A120" i="3"/>
  <c r="AC119" i="3"/>
  <c r="AB119" i="3"/>
  <c r="C119" i="3"/>
  <c r="A119" i="3"/>
  <c r="AC118" i="3"/>
  <c r="AB118" i="3"/>
  <c r="C118" i="3"/>
  <c r="H118" i="3" s="1"/>
  <c r="A118" i="3"/>
  <c r="AC117" i="3"/>
  <c r="AB117" i="3"/>
  <c r="C117" i="3"/>
  <c r="A117" i="3"/>
  <c r="AC116" i="3"/>
  <c r="AB116" i="3"/>
  <c r="C116" i="3"/>
  <c r="A116" i="3"/>
  <c r="AC115" i="3"/>
  <c r="AB115" i="3"/>
  <c r="C115" i="3"/>
  <c r="A115" i="3"/>
  <c r="AC114" i="3"/>
  <c r="AB114" i="3"/>
  <c r="C114" i="3"/>
  <c r="A114" i="3"/>
  <c r="AC113" i="3"/>
  <c r="AB113" i="3"/>
  <c r="C113" i="3"/>
  <c r="A113" i="3"/>
  <c r="AC112" i="3"/>
  <c r="AB112" i="3"/>
  <c r="C112" i="3"/>
  <c r="A112" i="3"/>
  <c r="AC111" i="3"/>
  <c r="AB111" i="3"/>
  <c r="C111" i="3"/>
  <c r="H111" i="3" s="1"/>
  <c r="A111" i="3"/>
  <c r="AC110" i="3"/>
  <c r="AB110" i="3"/>
  <c r="C110" i="3"/>
  <c r="A110" i="3"/>
  <c r="AC109" i="3"/>
  <c r="AB109" i="3"/>
  <c r="C109" i="3"/>
  <c r="A109" i="3"/>
  <c r="AC108" i="3"/>
  <c r="AB108" i="3"/>
  <c r="C108" i="3"/>
  <c r="A108" i="3"/>
  <c r="AC107" i="3"/>
  <c r="AB107" i="3"/>
  <c r="C107" i="3"/>
  <c r="H107" i="3" s="1"/>
  <c r="A107" i="3"/>
  <c r="AC106" i="3"/>
  <c r="AB106" i="3"/>
  <c r="C106" i="3"/>
  <c r="A106" i="3"/>
  <c r="AC105" i="3"/>
  <c r="AB105" i="3"/>
  <c r="C105" i="3"/>
  <c r="A105" i="3"/>
  <c r="AC104" i="3"/>
  <c r="AB104" i="3"/>
  <c r="C104" i="3"/>
  <c r="A104" i="3"/>
  <c r="AC103" i="3"/>
  <c r="AB103" i="3"/>
  <c r="C103" i="3"/>
  <c r="A103" i="3"/>
  <c r="AC102" i="3"/>
  <c r="AB102" i="3"/>
  <c r="C102" i="3"/>
  <c r="H102" i="3" s="1"/>
  <c r="A102" i="3"/>
  <c r="AC101" i="3"/>
  <c r="AB101" i="3"/>
  <c r="C101" i="3"/>
  <c r="H101" i="3" s="1"/>
  <c r="A101" i="3"/>
  <c r="AC100" i="3"/>
  <c r="AB100" i="3"/>
  <c r="C100" i="3"/>
  <c r="A100" i="3"/>
  <c r="AC99" i="3"/>
  <c r="AB99" i="3"/>
  <c r="C99" i="3"/>
  <c r="A99" i="3"/>
  <c r="AC98" i="3"/>
  <c r="AB98" i="3"/>
  <c r="C98" i="3"/>
  <c r="H98" i="3" s="1"/>
  <c r="A98" i="3"/>
  <c r="AC97" i="3"/>
  <c r="AB97" i="3"/>
  <c r="C97" i="3"/>
  <c r="A97" i="3"/>
  <c r="AC96" i="3"/>
  <c r="AB96" i="3"/>
  <c r="C96" i="3"/>
  <c r="A96" i="3"/>
  <c r="AC95" i="3"/>
  <c r="AB95" i="3"/>
  <c r="C95" i="3"/>
  <c r="H95" i="3" s="1"/>
  <c r="A95" i="3"/>
  <c r="AC94" i="3"/>
  <c r="AB94" i="3"/>
  <c r="C94" i="3"/>
  <c r="A94" i="3"/>
  <c r="AC93" i="3"/>
  <c r="AB93" i="3"/>
  <c r="C93" i="3"/>
  <c r="A93" i="3"/>
  <c r="AC92" i="3"/>
  <c r="AB92" i="3"/>
  <c r="C92" i="3"/>
  <c r="A92" i="3"/>
  <c r="AC91" i="3"/>
  <c r="AB91" i="3"/>
  <c r="N91" i="3"/>
  <c r="C91" i="3"/>
  <c r="H91" i="3" s="1"/>
  <c r="A91" i="3"/>
  <c r="AC90" i="3"/>
  <c r="AB90" i="3"/>
  <c r="N90" i="3"/>
  <c r="C90" i="3"/>
  <c r="H90" i="3" s="1"/>
  <c r="A90" i="3"/>
  <c r="AC89" i="3"/>
  <c r="AB89" i="3"/>
  <c r="N89" i="3"/>
  <c r="C89" i="3"/>
  <c r="H89" i="3" s="1"/>
  <c r="A89" i="3"/>
  <c r="AC88" i="3"/>
  <c r="AB88" i="3"/>
  <c r="N88" i="3"/>
  <c r="C88" i="3"/>
  <c r="A88" i="3"/>
  <c r="AC87" i="3"/>
  <c r="AB87" i="3"/>
  <c r="N87" i="3"/>
  <c r="C87" i="3"/>
  <c r="H87" i="3" s="1"/>
  <c r="A87" i="3"/>
  <c r="AC86" i="3"/>
  <c r="AB86" i="3"/>
  <c r="N86" i="3"/>
  <c r="C86" i="3"/>
  <c r="A86" i="3"/>
  <c r="AC85" i="3"/>
  <c r="AB85" i="3"/>
  <c r="N85" i="3"/>
  <c r="C85" i="3"/>
  <c r="A85" i="3"/>
  <c r="AC84" i="3"/>
  <c r="AB84" i="3"/>
  <c r="N84" i="3"/>
  <c r="C84" i="3"/>
  <c r="A84" i="3"/>
  <c r="AC83" i="3"/>
  <c r="AB83" i="3"/>
  <c r="N83" i="3"/>
  <c r="C83" i="3"/>
  <c r="H83" i="3" s="1"/>
  <c r="A83" i="3"/>
  <c r="AC82" i="3"/>
  <c r="AB82" i="3"/>
  <c r="N82" i="3"/>
  <c r="C82" i="3"/>
  <c r="H82" i="3" s="1"/>
  <c r="A82" i="3"/>
  <c r="AC81" i="3"/>
  <c r="AB81" i="3"/>
  <c r="N81" i="3"/>
  <c r="C81" i="3"/>
  <c r="H81" i="3" s="1"/>
  <c r="A81" i="3"/>
  <c r="AC80" i="3"/>
  <c r="AB80" i="3"/>
  <c r="N80" i="3"/>
  <c r="C80" i="3"/>
  <c r="A80" i="3"/>
  <c r="AC79" i="3"/>
  <c r="AB79" i="3"/>
  <c r="N79" i="3"/>
  <c r="C79" i="3"/>
  <c r="H79" i="3" s="1"/>
  <c r="A79" i="3"/>
  <c r="AC78" i="3"/>
  <c r="AB78" i="3"/>
  <c r="N78" i="3"/>
  <c r="C78" i="3"/>
  <c r="H78" i="3" s="1"/>
  <c r="A78" i="3"/>
  <c r="AC77" i="3"/>
  <c r="AB77" i="3"/>
  <c r="N77" i="3"/>
  <c r="C77" i="3"/>
  <c r="A77" i="3"/>
  <c r="AC76" i="3"/>
  <c r="AB76" i="3"/>
  <c r="N76" i="3"/>
  <c r="C76" i="3"/>
  <c r="A76" i="3"/>
  <c r="AC75" i="3"/>
  <c r="AB75" i="3"/>
  <c r="N75" i="3"/>
  <c r="C75" i="3"/>
  <c r="H75" i="3" s="1"/>
  <c r="A75" i="3"/>
  <c r="AC74" i="3"/>
  <c r="AB74" i="3"/>
  <c r="N74" i="3"/>
  <c r="C74" i="3"/>
  <c r="H74" i="3" s="1"/>
  <c r="A74" i="3"/>
  <c r="AC73" i="3"/>
  <c r="AB73" i="3"/>
  <c r="N73" i="3"/>
  <c r="C73" i="3"/>
  <c r="A73" i="3"/>
  <c r="AC72" i="3"/>
  <c r="AB72" i="3"/>
  <c r="C72" i="3"/>
  <c r="H72" i="3" s="1"/>
  <c r="A72" i="3"/>
  <c r="AC71" i="3"/>
  <c r="AB71" i="3"/>
  <c r="C71" i="3"/>
  <c r="H71" i="3" s="1"/>
  <c r="A71" i="3"/>
  <c r="AC70" i="3"/>
  <c r="AB70" i="3"/>
  <c r="C70" i="3"/>
  <c r="A70" i="3"/>
  <c r="AC69" i="3"/>
  <c r="AB69" i="3"/>
  <c r="C69" i="3"/>
  <c r="H69" i="3" s="1"/>
  <c r="A69" i="3"/>
  <c r="AC68" i="3"/>
  <c r="AB68" i="3"/>
  <c r="C68" i="3"/>
  <c r="A68" i="3"/>
  <c r="AC67" i="3"/>
  <c r="AB67" i="3"/>
  <c r="C67" i="3"/>
  <c r="H67" i="3" s="1"/>
  <c r="A67" i="3"/>
  <c r="AC66" i="3"/>
  <c r="AB66" i="3"/>
  <c r="C66" i="3"/>
  <c r="A66" i="3"/>
  <c r="AC65" i="3"/>
  <c r="AB65" i="3"/>
  <c r="C65" i="3"/>
  <c r="A65" i="3"/>
  <c r="AC64" i="3"/>
  <c r="AB64" i="3"/>
  <c r="C64" i="3"/>
  <c r="H64" i="3" s="1"/>
  <c r="A64" i="3"/>
  <c r="AC63" i="3"/>
  <c r="AB63" i="3"/>
  <c r="C63" i="3"/>
  <c r="A63" i="3"/>
  <c r="AC62" i="3"/>
  <c r="AB62" i="3"/>
  <c r="C62" i="3"/>
  <c r="H62" i="3" s="1"/>
  <c r="A62" i="3"/>
  <c r="AC61" i="3"/>
  <c r="AB61" i="3"/>
  <c r="C61" i="3"/>
  <c r="H61" i="3" s="1"/>
  <c r="A61" i="3"/>
  <c r="AC60" i="3"/>
  <c r="AB60" i="3"/>
  <c r="C60" i="3"/>
  <c r="A60" i="3"/>
  <c r="AC59" i="3"/>
  <c r="AB59" i="3"/>
  <c r="C59" i="3"/>
  <c r="A59" i="3"/>
  <c r="AC58" i="3"/>
  <c r="AB58" i="3"/>
  <c r="C58" i="3"/>
  <c r="H58" i="3" s="1"/>
  <c r="A58" i="3"/>
  <c r="AC57" i="3"/>
  <c r="AB57" i="3"/>
  <c r="C57" i="3"/>
  <c r="A57" i="3"/>
  <c r="AC56" i="3"/>
  <c r="AB56" i="3"/>
  <c r="C56" i="3"/>
  <c r="H56" i="3" s="1"/>
  <c r="A56" i="3"/>
  <c r="AC55" i="3"/>
  <c r="AB55" i="3"/>
  <c r="C55" i="3"/>
  <c r="H55" i="3" s="1"/>
  <c r="A55" i="3"/>
  <c r="AC54" i="3"/>
  <c r="AB54" i="3"/>
  <c r="C54" i="3"/>
  <c r="H54" i="3" s="1"/>
  <c r="A54" i="3"/>
  <c r="AC53" i="3"/>
  <c r="AB53" i="3"/>
  <c r="C53" i="3"/>
  <c r="A53" i="3"/>
  <c r="AC52" i="3"/>
  <c r="AB52" i="3"/>
  <c r="C52" i="3"/>
  <c r="H52" i="3" s="1"/>
  <c r="A52" i="3"/>
  <c r="AC51" i="3"/>
  <c r="AB51" i="3"/>
  <c r="C51" i="3"/>
  <c r="H51" i="3" s="1"/>
  <c r="A51" i="3"/>
  <c r="AC50" i="3"/>
  <c r="AB50" i="3"/>
  <c r="C50" i="3"/>
  <c r="A50" i="3"/>
  <c r="AC49" i="3"/>
  <c r="AB49" i="3"/>
  <c r="N49" i="3"/>
  <c r="C49" i="3"/>
  <c r="A49" i="3"/>
  <c r="AC48" i="3"/>
  <c r="AB48" i="3"/>
  <c r="N48" i="3"/>
  <c r="C48" i="3"/>
  <c r="H48" i="3" s="1"/>
  <c r="A48" i="3"/>
  <c r="AC47" i="3"/>
  <c r="AB47" i="3"/>
  <c r="N47" i="3"/>
  <c r="C47" i="3"/>
  <c r="H47" i="3" s="1"/>
  <c r="A47" i="3"/>
  <c r="AC46" i="3"/>
  <c r="AB46" i="3"/>
  <c r="N46" i="3"/>
  <c r="C46" i="3"/>
  <c r="A46" i="3"/>
  <c r="AC45" i="3"/>
  <c r="AB45" i="3"/>
  <c r="N45" i="3"/>
  <c r="C45" i="3"/>
  <c r="H45" i="3" s="1"/>
  <c r="A45" i="3"/>
  <c r="AC44" i="3"/>
  <c r="AB44" i="3"/>
  <c r="N44" i="3"/>
  <c r="C44" i="3"/>
  <c r="H44" i="3" s="1"/>
  <c r="A44" i="3"/>
  <c r="AC43" i="3"/>
  <c r="AB43" i="3"/>
  <c r="N43" i="3"/>
  <c r="C43" i="3"/>
  <c r="H43" i="3" s="1"/>
  <c r="A43" i="3"/>
  <c r="AC42" i="3"/>
  <c r="AB42" i="3"/>
  <c r="N42" i="3"/>
  <c r="C42" i="3"/>
  <c r="H42" i="3" s="1"/>
  <c r="A42" i="3"/>
  <c r="AC41" i="3"/>
  <c r="AB41" i="3"/>
  <c r="N41" i="3"/>
  <c r="C41" i="3"/>
  <c r="H41" i="3" s="1"/>
  <c r="A41" i="3"/>
  <c r="AC40" i="3"/>
  <c r="AB40" i="3"/>
  <c r="N40" i="3"/>
  <c r="C40" i="3"/>
  <c r="A40" i="3"/>
  <c r="AC39" i="3"/>
  <c r="AB39" i="3"/>
  <c r="N39" i="3"/>
  <c r="C39" i="3"/>
  <c r="A39" i="3"/>
  <c r="AC38" i="3"/>
  <c r="AB38" i="3"/>
  <c r="N38" i="3"/>
  <c r="C38" i="3"/>
  <c r="A38" i="3"/>
  <c r="AC37" i="3"/>
  <c r="AB37" i="3"/>
  <c r="N37" i="3"/>
  <c r="C37" i="3"/>
  <c r="A37" i="3"/>
  <c r="AC36" i="3"/>
  <c r="AB36" i="3"/>
  <c r="N36" i="3"/>
  <c r="C36" i="3"/>
  <c r="H36" i="3" s="1"/>
  <c r="A36" i="3"/>
  <c r="AC35" i="3"/>
  <c r="AB35" i="3"/>
  <c r="N35" i="3"/>
  <c r="C35" i="3"/>
  <c r="H35" i="3" s="1"/>
  <c r="A35" i="3"/>
  <c r="AC34" i="3"/>
  <c r="AB34" i="3"/>
  <c r="N34" i="3"/>
  <c r="C34" i="3"/>
  <c r="A34" i="3"/>
  <c r="AC33" i="3"/>
  <c r="AB33" i="3"/>
  <c r="N33" i="3"/>
  <c r="C33" i="3"/>
  <c r="H33" i="3" s="1"/>
  <c r="A33" i="3"/>
  <c r="AC32" i="3"/>
  <c r="AB32" i="3"/>
  <c r="C32" i="3"/>
  <c r="A32" i="3"/>
  <c r="AC31" i="3"/>
  <c r="AB31" i="3"/>
  <c r="C31" i="3"/>
  <c r="A31" i="3"/>
  <c r="AC30" i="3"/>
  <c r="AB30" i="3"/>
  <c r="C30" i="3"/>
  <c r="H30" i="3" s="1"/>
  <c r="A30" i="3"/>
  <c r="AC29" i="3"/>
  <c r="AB29" i="3"/>
  <c r="C29" i="3"/>
  <c r="A29" i="3"/>
  <c r="AC28" i="3"/>
  <c r="AB28" i="3"/>
  <c r="C28" i="3"/>
  <c r="H28" i="3" s="1"/>
  <c r="A28" i="3"/>
  <c r="AC27" i="3"/>
  <c r="AB27" i="3"/>
  <c r="C27" i="3"/>
  <c r="H27" i="3" s="1"/>
  <c r="A27" i="3"/>
  <c r="AC26" i="3"/>
  <c r="AB26" i="3"/>
  <c r="C26" i="3"/>
  <c r="A26" i="3"/>
  <c r="AC25" i="3"/>
  <c r="AB25" i="3"/>
  <c r="C25" i="3"/>
  <c r="H25" i="3" s="1"/>
  <c r="A25" i="3"/>
  <c r="AC24" i="3"/>
  <c r="AB24" i="3"/>
  <c r="C24" i="3"/>
  <c r="A24" i="3"/>
  <c r="AC23" i="3"/>
  <c r="AB23" i="3"/>
  <c r="C23" i="3"/>
  <c r="H23" i="3" s="1"/>
  <c r="A23" i="3"/>
  <c r="AC22" i="3"/>
  <c r="AB22" i="3"/>
  <c r="C22" i="3"/>
  <c r="H22" i="3" s="1"/>
  <c r="A22" i="3"/>
  <c r="AC21" i="3"/>
  <c r="AB21" i="3"/>
  <c r="C21" i="3"/>
  <c r="H21" i="3" s="1"/>
  <c r="A21" i="3"/>
  <c r="AC20" i="3"/>
  <c r="AB20" i="3"/>
  <c r="N20" i="3"/>
  <c r="C20" i="3"/>
  <c r="A20" i="3"/>
  <c r="AC19" i="3"/>
  <c r="AB19" i="3"/>
  <c r="N19" i="3"/>
  <c r="C19" i="3"/>
  <c r="A19" i="3"/>
  <c r="AC18" i="3"/>
  <c r="AB18" i="3"/>
  <c r="N18" i="3"/>
  <c r="C18" i="3"/>
  <c r="H18" i="3" s="1"/>
  <c r="A18" i="3"/>
  <c r="AC17" i="3"/>
  <c r="AB17" i="3"/>
  <c r="N17" i="3"/>
  <c r="C17" i="3"/>
  <c r="A17" i="3"/>
  <c r="AC16" i="3"/>
  <c r="AB16" i="3"/>
  <c r="N16" i="3"/>
  <c r="C16" i="3"/>
  <c r="H16" i="3" s="1"/>
  <c r="A16" i="3"/>
  <c r="AC15" i="3"/>
  <c r="AB15" i="3"/>
  <c r="N15" i="3"/>
  <c r="C15" i="3"/>
  <c r="H15" i="3" s="1"/>
  <c r="A15" i="3"/>
  <c r="AC14" i="3"/>
  <c r="AB14" i="3"/>
  <c r="C14" i="3"/>
  <c r="A14" i="3"/>
  <c r="AC13" i="3"/>
  <c r="AB13" i="3"/>
  <c r="C13" i="3"/>
  <c r="H13" i="3" s="1"/>
  <c r="A13" i="3"/>
  <c r="AC12" i="3"/>
  <c r="AB12" i="3"/>
  <c r="C12" i="3"/>
  <c r="H12" i="3" s="1"/>
  <c r="A12" i="3"/>
  <c r="AC11" i="3"/>
  <c r="AB11" i="3"/>
  <c r="N11" i="3"/>
  <c r="C11" i="3"/>
  <c r="A11" i="3"/>
  <c r="AC10" i="3"/>
  <c r="AB10" i="3"/>
  <c r="C10" i="3"/>
  <c r="H10" i="3" s="1"/>
  <c r="A10" i="3"/>
  <c r="AC9" i="3"/>
  <c r="AB9" i="3"/>
  <c r="C9" i="3"/>
  <c r="H9" i="3" s="1"/>
  <c r="A9" i="3"/>
  <c r="AC8" i="3"/>
  <c r="AB8" i="3"/>
  <c r="C8" i="3"/>
  <c r="H8" i="3" s="1"/>
  <c r="A8" i="3"/>
  <c r="AC7" i="3"/>
  <c r="AB7" i="3"/>
  <c r="C7" i="3"/>
  <c r="H7" i="3" s="1"/>
  <c r="A7" i="3"/>
  <c r="AC6" i="3"/>
  <c r="AB6" i="3"/>
  <c r="N6" i="3"/>
  <c r="C6" i="3"/>
  <c r="A6" i="3"/>
  <c r="AC5" i="3"/>
  <c r="AB5" i="3"/>
  <c r="C5" i="3"/>
  <c r="H5" i="3" s="1"/>
  <c r="A5" i="3"/>
  <c r="AC4" i="3"/>
  <c r="AB4" i="3"/>
  <c r="N4" i="3"/>
  <c r="C4" i="3"/>
  <c r="A4" i="3"/>
  <c r="S315" i="2"/>
  <c r="R315" i="2"/>
  <c r="C315" i="2"/>
  <c r="A315" i="2"/>
  <c r="S314" i="2"/>
  <c r="R314" i="2"/>
  <c r="C314" i="2"/>
  <c r="A314" i="2"/>
  <c r="S313" i="2"/>
  <c r="R313" i="2"/>
  <c r="C313" i="2"/>
  <c r="A313" i="2"/>
  <c r="S312" i="2"/>
  <c r="R312" i="2"/>
  <c r="C312" i="2"/>
  <c r="A312" i="2"/>
  <c r="S311" i="2"/>
  <c r="R311" i="2"/>
  <c r="C311" i="2"/>
  <c r="A311" i="2"/>
  <c r="S310" i="2"/>
  <c r="R310" i="2"/>
  <c r="C310" i="2"/>
  <c r="A310" i="2"/>
  <c r="S309" i="2"/>
  <c r="R309" i="2"/>
  <c r="C309" i="2"/>
  <c r="A309" i="2"/>
  <c r="S308" i="2"/>
  <c r="R308" i="2"/>
  <c r="C308" i="2"/>
  <c r="A308" i="2"/>
  <c r="S307" i="2"/>
  <c r="R307" i="2"/>
  <c r="C307" i="2"/>
  <c r="A307" i="2"/>
  <c r="S306" i="2"/>
  <c r="R306" i="2"/>
  <c r="C306" i="2"/>
  <c r="A306" i="2"/>
  <c r="S305" i="2"/>
  <c r="R305" i="2"/>
  <c r="C305" i="2"/>
  <c r="A305" i="2"/>
  <c r="S304" i="2"/>
  <c r="R304" i="2"/>
  <c r="C304" i="2"/>
  <c r="A304" i="2"/>
  <c r="S303" i="2"/>
  <c r="R303" i="2"/>
  <c r="C303" i="2"/>
  <c r="A303" i="2"/>
  <c r="S302" i="2"/>
  <c r="R302" i="2"/>
  <c r="C302" i="2"/>
  <c r="A302" i="2"/>
  <c r="S301" i="2"/>
  <c r="R301" i="2"/>
  <c r="C301" i="2"/>
  <c r="A301" i="2"/>
  <c r="S300" i="2"/>
  <c r="R300" i="2"/>
  <c r="C300" i="2"/>
  <c r="A300" i="2"/>
  <c r="S299" i="2"/>
  <c r="R299" i="2"/>
  <c r="C299" i="2"/>
  <c r="A299" i="2"/>
  <c r="S298" i="2"/>
  <c r="R298" i="2"/>
  <c r="C298" i="2"/>
  <c r="A298" i="2"/>
  <c r="S297" i="2"/>
  <c r="R297" i="2"/>
  <c r="C297" i="2"/>
  <c r="A297" i="2"/>
  <c r="S296" i="2"/>
  <c r="R296" i="2"/>
  <c r="C296" i="2"/>
  <c r="A296" i="2"/>
  <c r="S295" i="2"/>
  <c r="R295" i="2"/>
  <c r="C295" i="2"/>
  <c r="A295" i="2"/>
  <c r="S294" i="2"/>
  <c r="R294" i="2"/>
  <c r="C294" i="2"/>
  <c r="A294" i="2"/>
  <c r="S293" i="2"/>
  <c r="R293" i="2"/>
  <c r="C293" i="2"/>
  <c r="A293" i="2"/>
  <c r="S292" i="2"/>
  <c r="R292" i="2"/>
  <c r="C292" i="2"/>
  <c r="A292" i="2"/>
  <c r="S291" i="2"/>
  <c r="R291" i="2"/>
  <c r="C291" i="2"/>
  <c r="A291" i="2"/>
  <c r="S290" i="2"/>
  <c r="R290" i="2"/>
  <c r="C290" i="2"/>
  <c r="A290" i="2"/>
  <c r="S289" i="2"/>
  <c r="R289" i="2"/>
  <c r="C289" i="2"/>
  <c r="A289" i="2"/>
  <c r="S288" i="2"/>
  <c r="R288" i="2"/>
  <c r="C288" i="2"/>
  <c r="A288" i="2"/>
  <c r="S287" i="2"/>
  <c r="R287" i="2"/>
  <c r="C287" i="2"/>
  <c r="A287" i="2"/>
  <c r="S286" i="2"/>
  <c r="R286" i="2"/>
  <c r="C286" i="2"/>
  <c r="A286" i="2"/>
  <c r="S285" i="2"/>
  <c r="R285" i="2"/>
  <c r="C285" i="2"/>
  <c r="A285" i="2"/>
  <c r="S284" i="2"/>
  <c r="R284" i="2"/>
  <c r="C284" i="2"/>
  <c r="A284" i="2"/>
  <c r="S283" i="2"/>
  <c r="R283" i="2"/>
  <c r="C283" i="2"/>
  <c r="A283" i="2"/>
  <c r="S282" i="2"/>
  <c r="R282" i="2"/>
  <c r="C282" i="2"/>
  <c r="A282" i="2"/>
  <c r="S281" i="2"/>
  <c r="R281" i="2"/>
  <c r="C281" i="2"/>
  <c r="A281" i="2"/>
  <c r="S280" i="2"/>
  <c r="R280" i="2"/>
  <c r="C280" i="2"/>
  <c r="A280" i="2"/>
  <c r="S279" i="2"/>
  <c r="R279" i="2"/>
  <c r="C279" i="2"/>
  <c r="A279" i="2"/>
  <c r="S278" i="2"/>
  <c r="R278" i="2"/>
  <c r="C278" i="2"/>
  <c r="A278" i="2"/>
  <c r="S277" i="2"/>
  <c r="R277" i="2"/>
  <c r="C277" i="2"/>
  <c r="A277" i="2"/>
  <c r="S276" i="2"/>
  <c r="R276" i="2"/>
  <c r="C276" i="2"/>
  <c r="A276" i="2"/>
  <c r="S275" i="2"/>
  <c r="R275" i="2"/>
  <c r="C275" i="2"/>
  <c r="A275" i="2"/>
  <c r="S274" i="2"/>
  <c r="R274" i="2"/>
  <c r="C274" i="2"/>
  <c r="A274" i="2"/>
  <c r="S273" i="2"/>
  <c r="R273" i="2"/>
  <c r="C273" i="2"/>
  <c r="A273" i="2"/>
  <c r="S272" i="2"/>
  <c r="R272" i="2"/>
  <c r="C272" i="2"/>
  <c r="A272" i="2"/>
  <c r="S271" i="2"/>
  <c r="R271" i="2"/>
  <c r="C271" i="2"/>
  <c r="A271" i="2"/>
  <c r="S270" i="2"/>
  <c r="R270" i="2"/>
  <c r="C270" i="2"/>
  <c r="A270" i="2"/>
  <c r="S269" i="2"/>
  <c r="R269" i="2"/>
  <c r="C269" i="2"/>
  <c r="A269" i="2"/>
  <c r="S268" i="2"/>
  <c r="R268" i="2"/>
  <c r="C268" i="2"/>
  <c r="A268" i="2"/>
  <c r="S267" i="2"/>
  <c r="R267" i="2"/>
  <c r="C267" i="2"/>
  <c r="A267" i="2"/>
  <c r="S266" i="2"/>
  <c r="R266" i="2"/>
  <c r="C266" i="2"/>
  <c r="A266" i="2"/>
  <c r="S265" i="2"/>
  <c r="R265" i="2"/>
  <c r="C265" i="2"/>
  <c r="A265" i="2"/>
  <c r="S264" i="2"/>
  <c r="R264" i="2"/>
  <c r="C264" i="2"/>
  <c r="A264" i="2"/>
  <c r="S263" i="2"/>
  <c r="R263" i="2"/>
  <c r="C263" i="2"/>
  <c r="A263" i="2"/>
  <c r="S262" i="2"/>
  <c r="R262" i="2"/>
  <c r="C262" i="2"/>
  <c r="A262" i="2"/>
  <c r="S261" i="2"/>
  <c r="R261" i="2"/>
  <c r="K261" i="2"/>
  <c r="C261" i="2"/>
  <c r="A261" i="2"/>
  <c r="S260" i="2"/>
  <c r="R260" i="2"/>
  <c r="C260" i="2"/>
  <c r="A260" i="2"/>
  <c r="S259" i="2"/>
  <c r="R259" i="2"/>
  <c r="C259" i="2"/>
  <c r="A259" i="2"/>
  <c r="S258" i="2"/>
  <c r="R258" i="2"/>
  <c r="C258" i="2"/>
  <c r="A258" i="2"/>
  <c r="S257" i="2"/>
  <c r="R257" i="2"/>
  <c r="C257" i="2"/>
  <c r="A257" i="2"/>
  <c r="S256" i="2"/>
  <c r="R256" i="2"/>
  <c r="C256" i="2"/>
  <c r="A256" i="2"/>
  <c r="S255" i="2"/>
  <c r="R255" i="2"/>
  <c r="C255" i="2"/>
  <c r="A255" i="2"/>
  <c r="S254" i="2"/>
  <c r="R254" i="2"/>
  <c r="C254" i="2"/>
  <c r="A254" i="2"/>
  <c r="S253" i="2"/>
  <c r="R253" i="2"/>
  <c r="C253" i="2"/>
  <c r="A253" i="2"/>
  <c r="S252" i="2"/>
  <c r="R252" i="2"/>
  <c r="C252" i="2"/>
  <c r="A252" i="2"/>
  <c r="S251" i="2"/>
  <c r="R251" i="2"/>
  <c r="C251" i="2"/>
  <c r="A251" i="2"/>
  <c r="S250" i="2"/>
  <c r="R250" i="2"/>
  <c r="C250" i="2"/>
  <c r="A250" i="2"/>
  <c r="S249" i="2"/>
  <c r="R249" i="2"/>
  <c r="K249" i="2"/>
  <c r="C249" i="2"/>
  <c r="A249" i="2"/>
  <c r="S248" i="2"/>
  <c r="R248" i="2"/>
  <c r="C248" i="2"/>
  <c r="A248" i="2"/>
  <c r="S247" i="2"/>
  <c r="R247" i="2"/>
  <c r="C247" i="2"/>
  <c r="A247" i="2"/>
  <c r="S246" i="2"/>
  <c r="R246" i="2"/>
  <c r="C246" i="2"/>
  <c r="A246" i="2"/>
  <c r="S245" i="2"/>
  <c r="R245" i="2"/>
  <c r="C245" i="2"/>
  <c r="A245" i="2"/>
  <c r="S244" i="2"/>
  <c r="R244" i="2"/>
  <c r="C244" i="2"/>
  <c r="A244" i="2"/>
  <c r="S243" i="2"/>
  <c r="R243" i="2"/>
  <c r="C243" i="2"/>
  <c r="A243" i="2"/>
  <c r="S242" i="2"/>
  <c r="R242" i="2"/>
  <c r="C242" i="2"/>
  <c r="A242" i="2"/>
  <c r="S241" i="2"/>
  <c r="R241" i="2"/>
  <c r="C241" i="2"/>
  <c r="A241" i="2"/>
  <c r="S240" i="2"/>
  <c r="R240" i="2"/>
  <c r="C240" i="2"/>
  <c r="A240" i="2"/>
  <c r="S239" i="2"/>
  <c r="R239" i="2"/>
  <c r="C239" i="2"/>
  <c r="A239" i="2"/>
  <c r="S238" i="2"/>
  <c r="R238" i="2"/>
  <c r="C238" i="2"/>
  <c r="A238" i="2"/>
  <c r="S237" i="2"/>
  <c r="R237" i="2"/>
  <c r="C237" i="2"/>
  <c r="A237" i="2"/>
  <c r="S236" i="2"/>
  <c r="R236" i="2"/>
  <c r="C236" i="2"/>
  <c r="A236" i="2"/>
  <c r="S235" i="2"/>
  <c r="R235" i="2"/>
  <c r="C235" i="2"/>
  <c r="A235" i="2"/>
  <c r="S234" i="2"/>
  <c r="R234" i="2"/>
  <c r="C234" i="2"/>
  <c r="A234" i="2"/>
  <c r="S233" i="2"/>
  <c r="R233" i="2"/>
  <c r="C233" i="2"/>
  <c r="A233" i="2"/>
  <c r="S232" i="2"/>
  <c r="R232" i="2"/>
  <c r="C232" i="2"/>
  <c r="A232" i="2"/>
  <c r="S231" i="2"/>
  <c r="R231" i="2"/>
  <c r="C231" i="2"/>
  <c r="A231" i="2"/>
  <c r="S230" i="2"/>
  <c r="R230" i="2"/>
  <c r="C230" i="2"/>
  <c r="A230" i="2"/>
  <c r="S229" i="2"/>
  <c r="R229" i="2"/>
  <c r="K229" i="2"/>
  <c r="C229" i="2"/>
  <c r="A229" i="2"/>
  <c r="S228" i="2"/>
  <c r="R228" i="2"/>
  <c r="K228" i="2"/>
  <c r="C228" i="2"/>
  <c r="A228" i="2"/>
  <c r="S227" i="2"/>
  <c r="R227" i="2"/>
  <c r="K227" i="2"/>
  <c r="C227" i="2"/>
  <c r="A227" i="2"/>
  <c r="S226" i="2"/>
  <c r="R226" i="2"/>
  <c r="K226" i="2"/>
  <c r="C226" i="2"/>
  <c r="A226" i="2"/>
  <c r="S225" i="2"/>
  <c r="R225" i="2"/>
  <c r="C225" i="2"/>
  <c r="A225" i="2"/>
  <c r="S224" i="2"/>
  <c r="R224" i="2"/>
  <c r="C224" i="2"/>
  <c r="A224" i="2"/>
  <c r="S223" i="2"/>
  <c r="R223" i="2"/>
  <c r="C223" i="2"/>
  <c r="A223" i="2"/>
  <c r="S222" i="2"/>
  <c r="R222" i="2"/>
  <c r="C222" i="2"/>
  <c r="A222" i="2"/>
  <c r="S221" i="2"/>
  <c r="R221" i="2"/>
  <c r="C221" i="2"/>
  <c r="A221" i="2"/>
  <c r="S220" i="2"/>
  <c r="R220" i="2"/>
  <c r="C220" i="2"/>
  <c r="A220" i="2"/>
  <c r="S219" i="2"/>
  <c r="R219" i="2"/>
  <c r="C219" i="2"/>
  <c r="A219" i="2"/>
  <c r="S218" i="2"/>
  <c r="R218" i="2"/>
  <c r="C218" i="2"/>
  <c r="A218" i="2"/>
  <c r="S217" i="2"/>
  <c r="R217" i="2"/>
  <c r="C217" i="2"/>
  <c r="A217" i="2"/>
  <c r="S216" i="2"/>
  <c r="R216" i="2"/>
  <c r="C216" i="2"/>
  <c r="A216" i="2"/>
  <c r="S215" i="2"/>
  <c r="R215" i="2"/>
  <c r="C215" i="2"/>
  <c r="A215" i="2"/>
  <c r="S214" i="2"/>
  <c r="R214" i="2"/>
  <c r="C214" i="2"/>
  <c r="A214" i="2"/>
  <c r="S213" i="2"/>
  <c r="R213" i="2"/>
  <c r="C213" i="2"/>
  <c r="A213" i="2"/>
  <c r="S212" i="2"/>
  <c r="R212" i="2"/>
  <c r="C212" i="2"/>
  <c r="A212" i="2"/>
  <c r="S211" i="2"/>
  <c r="R211" i="2"/>
  <c r="C211" i="2"/>
  <c r="A211" i="2"/>
  <c r="S210" i="2"/>
  <c r="R210" i="2"/>
  <c r="C210" i="2"/>
  <c r="A210" i="2"/>
  <c r="S209" i="2"/>
  <c r="R209" i="2"/>
  <c r="C209" i="2"/>
  <c r="A209" i="2"/>
  <c r="S208" i="2"/>
  <c r="R208" i="2"/>
  <c r="C208" i="2"/>
  <c r="A208" i="2"/>
  <c r="S207" i="2"/>
  <c r="R207" i="2"/>
  <c r="C207" i="2"/>
  <c r="A207" i="2"/>
  <c r="S206" i="2"/>
  <c r="R206" i="2"/>
  <c r="C206" i="2"/>
  <c r="A206" i="2"/>
  <c r="S205" i="2"/>
  <c r="R205" i="2"/>
  <c r="C205" i="2"/>
  <c r="A205" i="2"/>
  <c r="S204" i="2"/>
  <c r="R204" i="2"/>
  <c r="C204" i="2"/>
  <c r="A204" i="2"/>
  <c r="S203" i="2"/>
  <c r="R203" i="2"/>
  <c r="C203" i="2"/>
  <c r="A203" i="2"/>
  <c r="S202" i="2"/>
  <c r="R202" i="2"/>
  <c r="C202" i="2"/>
  <c r="A202" i="2"/>
  <c r="S201" i="2"/>
  <c r="R201" i="2"/>
  <c r="K201" i="2"/>
  <c r="C201" i="2"/>
  <c r="A201" i="2"/>
  <c r="S200" i="2"/>
  <c r="R200" i="2"/>
  <c r="K200" i="2"/>
  <c r="C200" i="2"/>
  <c r="A200" i="2"/>
  <c r="S199" i="2"/>
  <c r="R199" i="2"/>
  <c r="K199" i="2"/>
  <c r="C199" i="2"/>
  <c r="A199" i="2"/>
  <c r="S198" i="2"/>
  <c r="R198" i="2"/>
  <c r="K198" i="2"/>
  <c r="C198" i="2"/>
  <c r="A198" i="2"/>
  <c r="S197" i="2"/>
  <c r="R197" i="2"/>
  <c r="C197" i="2"/>
  <c r="A197" i="2"/>
  <c r="S196" i="2"/>
  <c r="R196" i="2"/>
  <c r="C196" i="2"/>
  <c r="A196" i="2"/>
  <c r="S195" i="2"/>
  <c r="R195" i="2"/>
  <c r="C195" i="2"/>
  <c r="A195" i="2"/>
  <c r="S194" i="2"/>
  <c r="R194" i="2"/>
  <c r="C194" i="2"/>
  <c r="A194" i="2"/>
  <c r="S193" i="2"/>
  <c r="R193" i="2"/>
  <c r="C193" i="2"/>
  <c r="A193" i="2"/>
  <c r="S192" i="2"/>
  <c r="R192" i="2"/>
  <c r="C192" i="2"/>
  <c r="A192" i="2"/>
  <c r="S191" i="2"/>
  <c r="R191" i="2"/>
  <c r="C191" i="2"/>
  <c r="A191" i="2"/>
  <c r="S190" i="2"/>
  <c r="R190" i="2"/>
  <c r="C190" i="2"/>
  <c r="A190" i="2"/>
  <c r="S189" i="2"/>
  <c r="R189" i="2"/>
  <c r="C189" i="2"/>
  <c r="A189" i="2"/>
  <c r="S188" i="2"/>
  <c r="R188" i="2"/>
  <c r="C188" i="2"/>
  <c r="A188" i="2"/>
  <c r="S187" i="2"/>
  <c r="R187" i="2"/>
  <c r="C187" i="2"/>
  <c r="A187" i="2"/>
  <c r="S186" i="2"/>
  <c r="R186" i="2"/>
  <c r="C186" i="2"/>
  <c r="A186" i="2"/>
  <c r="S185" i="2"/>
  <c r="R185" i="2"/>
  <c r="C185" i="2"/>
  <c r="A185" i="2"/>
  <c r="S184" i="2"/>
  <c r="R184" i="2"/>
  <c r="C184" i="2"/>
  <c r="A184" i="2"/>
  <c r="S183" i="2"/>
  <c r="R183" i="2"/>
  <c r="C183" i="2"/>
  <c r="A183" i="2"/>
  <c r="S182" i="2"/>
  <c r="R182" i="2"/>
  <c r="C182" i="2"/>
  <c r="A182" i="2"/>
  <c r="S181" i="2"/>
  <c r="R181" i="2"/>
  <c r="C181" i="2"/>
  <c r="A181" i="2"/>
  <c r="S180" i="2"/>
  <c r="R180" i="2"/>
  <c r="C180" i="2"/>
  <c r="A180" i="2"/>
  <c r="S179" i="2"/>
  <c r="R179" i="2"/>
  <c r="C179" i="2"/>
  <c r="A179" i="2"/>
  <c r="S178" i="2"/>
  <c r="R178" i="2"/>
  <c r="C178" i="2"/>
  <c r="A178" i="2"/>
  <c r="S177" i="2"/>
  <c r="R177" i="2"/>
  <c r="C177" i="2"/>
  <c r="A177" i="2"/>
  <c r="S176" i="2"/>
  <c r="R176" i="2"/>
  <c r="C176" i="2"/>
  <c r="A176" i="2"/>
  <c r="S175" i="2"/>
  <c r="R175" i="2"/>
  <c r="C175" i="2"/>
  <c r="A175" i="2"/>
  <c r="S174" i="2"/>
  <c r="R174" i="2"/>
  <c r="K174" i="2"/>
  <c r="C174" i="2"/>
  <c r="A174" i="2"/>
  <c r="S173" i="2"/>
  <c r="R173" i="2"/>
  <c r="K173" i="2"/>
  <c r="C173" i="2"/>
  <c r="A173" i="2"/>
  <c r="S172" i="2"/>
  <c r="R172" i="2"/>
  <c r="K172" i="2"/>
  <c r="C172" i="2"/>
  <c r="A172" i="2"/>
  <c r="S171" i="2"/>
  <c r="R171" i="2"/>
  <c r="K171" i="2"/>
  <c r="C171" i="2"/>
  <c r="A171" i="2"/>
  <c r="S170" i="2"/>
  <c r="R170" i="2"/>
  <c r="K170" i="2"/>
  <c r="C170" i="2"/>
  <c r="A170" i="2"/>
  <c r="S169" i="2"/>
  <c r="R169" i="2"/>
  <c r="K169" i="2"/>
  <c r="C169" i="2"/>
  <c r="A169" i="2"/>
  <c r="S168" i="2"/>
  <c r="R168" i="2"/>
  <c r="K168" i="2"/>
  <c r="C168" i="2"/>
  <c r="A168" i="2"/>
  <c r="S167" i="2"/>
  <c r="R167" i="2"/>
  <c r="K167" i="2"/>
  <c r="C167" i="2"/>
  <c r="A167" i="2"/>
  <c r="S166" i="2"/>
  <c r="R166" i="2"/>
  <c r="K166" i="2"/>
  <c r="C166" i="2"/>
  <c r="A166" i="2"/>
  <c r="S165" i="2"/>
  <c r="R165" i="2"/>
  <c r="K165" i="2"/>
  <c r="C165" i="2"/>
  <c r="A165" i="2"/>
  <c r="S164" i="2"/>
  <c r="R164" i="2"/>
  <c r="K164" i="2"/>
  <c r="C164" i="2"/>
  <c r="A164" i="2"/>
  <c r="S163" i="2"/>
  <c r="R163" i="2"/>
  <c r="K163" i="2"/>
  <c r="C163" i="2"/>
  <c r="A163" i="2"/>
  <c r="S162" i="2"/>
  <c r="R162" i="2"/>
  <c r="C162" i="2"/>
  <c r="A162" i="2"/>
  <c r="S161" i="2"/>
  <c r="R161" i="2"/>
  <c r="C161" i="2"/>
  <c r="A161" i="2"/>
  <c r="S160" i="2"/>
  <c r="R160" i="2"/>
  <c r="C160" i="2"/>
  <c r="A160" i="2"/>
  <c r="S159" i="2"/>
  <c r="R159" i="2"/>
  <c r="C159" i="2"/>
  <c r="A159" i="2"/>
  <c r="S158" i="2"/>
  <c r="R158" i="2"/>
  <c r="C158" i="2"/>
  <c r="A158" i="2"/>
  <c r="S157" i="2"/>
  <c r="R157" i="2"/>
  <c r="C157" i="2"/>
  <c r="A157" i="2"/>
  <c r="S156" i="2"/>
  <c r="R156" i="2"/>
  <c r="C156" i="2"/>
  <c r="A156" i="2"/>
  <c r="S155" i="2"/>
  <c r="R155" i="2"/>
  <c r="C155" i="2"/>
  <c r="A155" i="2"/>
  <c r="S154" i="2"/>
  <c r="R154" i="2"/>
  <c r="C154" i="2"/>
  <c r="A154" i="2"/>
  <c r="S153" i="2"/>
  <c r="R153" i="2"/>
  <c r="C153" i="2"/>
  <c r="A153" i="2"/>
  <c r="S152" i="2"/>
  <c r="R152" i="2"/>
  <c r="C152" i="2"/>
  <c r="A152" i="2"/>
  <c r="S151" i="2"/>
  <c r="R151" i="2"/>
  <c r="C151" i="2"/>
  <c r="A151" i="2"/>
  <c r="S150" i="2"/>
  <c r="R150" i="2"/>
  <c r="C150" i="2"/>
  <c r="A150" i="2"/>
  <c r="S149" i="2"/>
  <c r="R149" i="2"/>
  <c r="C149" i="2"/>
  <c r="A149" i="2"/>
  <c r="S148" i="2"/>
  <c r="R148" i="2"/>
  <c r="C148" i="2"/>
  <c r="A148" i="2"/>
  <c r="S147" i="2"/>
  <c r="R147" i="2"/>
  <c r="C147" i="2"/>
  <c r="A147" i="2"/>
  <c r="S146" i="2"/>
  <c r="R146" i="2"/>
  <c r="C146" i="2"/>
  <c r="A146" i="2"/>
  <c r="S145" i="2"/>
  <c r="R145" i="2"/>
  <c r="C145" i="2"/>
  <c r="A145" i="2"/>
  <c r="S144" i="2"/>
  <c r="R144" i="2"/>
  <c r="C144" i="2"/>
  <c r="A144" i="2"/>
  <c r="S143" i="2"/>
  <c r="R143" i="2"/>
  <c r="C143" i="2"/>
  <c r="A143" i="2"/>
  <c r="S142" i="2"/>
  <c r="R142" i="2"/>
  <c r="C142" i="2"/>
  <c r="A142" i="2"/>
  <c r="S141" i="2"/>
  <c r="R141" i="2"/>
  <c r="K141" i="2"/>
  <c r="C141" i="2"/>
  <c r="A141" i="2"/>
  <c r="S140" i="2"/>
  <c r="R140" i="2"/>
  <c r="K140" i="2"/>
  <c r="C140" i="2"/>
  <c r="A140" i="2"/>
  <c r="S139" i="2"/>
  <c r="R139" i="2"/>
  <c r="K139" i="2"/>
  <c r="C139" i="2"/>
  <c r="A139" i="2"/>
  <c r="S138" i="2"/>
  <c r="R138" i="2"/>
  <c r="K138" i="2"/>
  <c r="C138" i="2"/>
  <c r="A138" i="2"/>
  <c r="S137" i="2"/>
  <c r="R137" i="2"/>
  <c r="K137" i="2"/>
  <c r="C137" i="2"/>
  <c r="A137" i="2"/>
  <c r="S136" i="2"/>
  <c r="R136" i="2"/>
  <c r="K136" i="2"/>
  <c r="C136" i="2"/>
  <c r="A136" i="2"/>
  <c r="S135" i="2"/>
  <c r="R135" i="2"/>
  <c r="K135" i="2"/>
  <c r="C135" i="2"/>
  <c r="A135" i="2"/>
  <c r="S134" i="2"/>
  <c r="R134" i="2"/>
  <c r="K134" i="2"/>
  <c r="C134" i="2"/>
  <c r="A134" i="2"/>
  <c r="S133" i="2"/>
  <c r="R133" i="2"/>
  <c r="K133" i="2"/>
  <c r="C133" i="2"/>
  <c r="A133" i="2"/>
  <c r="S132" i="2"/>
  <c r="R132" i="2"/>
  <c r="K132" i="2"/>
  <c r="C132" i="2"/>
  <c r="A132" i="2"/>
  <c r="S131" i="2"/>
  <c r="R131" i="2"/>
  <c r="K131" i="2"/>
  <c r="C131" i="2"/>
  <c r="A131" i="2"/>
  <c r="S130" i="2"/>
  <c r="R130" i="2"/>
  <c r="K130" i="2"/>
  <c r="C130" i="2"/>
  <c r="A130" i="2"/>
  <c r="S129" i="2"/>
  <c r="R129" i="2"/>
  <c r="K129" i="2"/>
  <c r="C129" i="2"/>
  <c r="A129" i="2"/>
  <c r="S128" i="2"/>
  <c r="R128" i="2"/>
  <c r="K128" i="2"/>
  <c r="C128" i="2"/>
  <c r="A128" i="2"/>
  <c r="S127" i="2"/>
  <c r="R127" i="2"/>
  <c r="K127" i="2"/>
  <c r="C127" i="2"/>
  <c r="A127" i="2"/>
  <c r="S126" i="2"/>
  <c r="R126" i="2"/>
  <c r="K126" i="2"/>
  <c r="C126" i="2"/>
  <c r="A126" i="2"/>
  <c r="S125" i="2"/>
  <c r="R125" i="2"/>
  <c r="K125" i="2"/>
  <c r="C125" i="2"/>
  <c r="A125" i="2"/>
  <c r="S124" i="2"/>
  <c r="R124" i="2"/>
  <c r="K124" i="2"/>
  <c r="C124" i="2"/>
  <c r="A124" i="2"/>
  <c r="S123" i="2"/>
  <c r="R123" i="2"/>
  <c r="K123" i="2"/>
  <c r="C123" i="2"/>
  <c r="A123" i="2"/>
  <c r="S122" i="2"/>
  <c r="R122" i="2"/>
  <c r="K122" i="2"/>
  <c r="C122" i="2"/>
  <c r="A122" i="2"/>
  <c r="S121" i="2"/>
  <c r="R121" i="2"/>
  <c r="C121" i="2"/>
  <c r="A121" i="2"/>
  <c r="S120" i="2"/>
  <c r="R120" i="2"/>
  <c r="C120" i="2"/>
  <c r="A120" i="2"/>
  <c r="S119" i="2"/>
  <c r="R119" i="2"/>
  <c r="C119" i="2"/>
  <c r="A119" i="2"/>
  <c r="S118" i="2"/>
  <c r="R118" i="2"/>
  <c r="C118" i="2"/>
  <c r="A118" i="2"/>
  <c r="S117" i="2"/>
  <c r="R117" i="2"/>
  <c r="C117" i="2"/>
  <c r="A117" i="2"/>
  <c r="S116" i="2"/>
  <c r="R116" i="2"/>
  <c r="C116" i="2"/>
  <c r="A116" i="2"/>
  <c r="S115" i="2"/>
  <c r="R115" i="2"/>
  <c r="C115" i="2"/>
  <c r="A115" i="2"/>
  <c r="S114" i="2"/>
  <c r="R114" i="2"/>
  <c r="C114" i="2"/>
  <c r="A114" i="2"/>
  <c r="S113" i="2"/>
  <c r="R113" i="2"/>
  <c r="C113" i="2"/>
  <c r="A113" i="2"/>
  <c r="S112" i="2"/>
  <c r="R112" i="2"/>
  <c r="C112" i="2"/>
  <c r="A112" i="2"/>
  <c r="S111" i="2"/>
  <c r="R111" i="2"/>
  <c r="C111" i="2"/>
  <c r="A111" i="2"/>
  <c r="S110" i="2"/>
  <c r="R110" i="2"/>
  <c r="C110" i="2"/>
  <c r="A110" i="2"/>
  <c r="S109" i="2"/>
  <c r="R109" i="2"/>
  <c r="C109" i="2"/>
  <c r="A109" i="2"/>
  <c r="S108" i="2"/>
  <c r="R108" i="2"/>
  <c r="C108" i="2"/>
  <c r="A108" i="2"/>
  <c r="S107" i="2"/>
  <c r="R107" i="2"/>
  <c r="C107" i="2"/>
  <c r="A107" i="2"/>
  <c r="S106" i="2"/>
  <c r="R106" i="2"/>
  <c r="C106" i="2"/>
  <c r="A106" i="2"/>
  <c r="S105" i="2"/>
  <c r="R105" i="2"/>
  <c r="C105" i="2"/>
  <c r="A105" i="2"/>
  <c r="S104" i="2"/>
  <c r="R104" i="2"/>
  <c r="C104" i="2"/>
  <c r="A104" i="2"/>
  <c r="S103" i="2"/>
  <c r="R103" i="2"/>
  <c r="C103" i="2"/>
  <c r="A103" i="2"/>
  <c r="S102" i="2"/>
  <c r="R102" i="2"/>
  <c r="C102" i="2"/>
  <c r="A102" i="2"/>
  <c r="S101" i="2"/>
  <c r="R101" i="2"/>
  <c r="C101" i="2"/>
  <c r="A101" i="2"/>
  <c r="S100" i="2"/>
  <c r="R100" i="2"/>
  <c r="C100" i="2"/>
  <c r="A100" i="2"/>
  <c r="S99" i="2"/>
  <c r="R99" i="2"/>
  <c r="C99" i="2"/>
  <c r="A99" i="2"/>
  <c r="S98" i="2"/>
  <c r="R98" i="2"/>
  <c r="C98" i="2"/>
  <c r="A98" i="2"/>
  <c r="S97" i="2"/>
  <c r="R97" i="2"/>
  <c r="C97" i="2"/>
  <c r="A97" i="2"/>
  <c r="S96" i="2"/>
  <c r="R96" i="2"/>
  <c r="C96" i="2"/>
  <c r="A96" i="2"/>
  <c r="S95" i="2"/>
  <c r="R95" i="2"/>
  <c r="C95" i="2"/>
  <c r="A95" i="2"/>
  <c r="S94" i="2"/>
  <c r="R94" i="2"/>
  <c r="C94" i="2"/>
  <c r="A94" i="2"/>
  <c r="S93" i="2"/>
  <c r="R93" i="2"/>
  <c r="K93" i="2"/>
  <c r="C93" i="2"/>
  <c r="A93" i="2"/>
  <c r="S92" i="2"/>
  <c r="R92" i="2"/>
  <c r="K92" i="2"/>
  <c r="C92" i="2"/>
  <c r="A92" i="2"/>
  <c r="S91" i="2"/>
  <c r="R91" i="2"/>
  <c r="K91" i="2"/>
  <c r="C91" i="2"/>
  <c r="A91" i="2"/>
  <c r="S90" i="2"/>
  <c r="R90" i="2"/>
  <c r="K90" i="2"/>
  <c r="C90" i="2"/>
  <c r="A90" i="2"/>
  <c r="S89" i="2"/>
  <c r="R89" i="2"/>
  <c r="K89" i="2"/>
  <c r="C89" i="2"/>
  <c r="A89" i="2"/>
  <c r="S88" i="2"/>
  <c r="R88" i="2"/>
  <c r="K88" i="2"/>
  <c r="C88" i="2"/>
  <c r="A88" i="2"/>
  <c r="S87" i="2"/>
  <c r="R87" i="2"/>
  <c r="K87" i="2"/>
  <c r="C87" i="2"/>
  <c r="A87" i="2"/>
  <c r="S86" i="2"/>
  <c r="R86" i="2"/>
  <c r="K86" i="2"/>
  <c r="C86" i="2"/>
  <c r="A86" i="2"/>
  <c r="S85" i="2"/>
  <c r="R85" i="2"/>
  <c r="K85" i="2"/>
  <c r="C85" i="2"/>
  <c r="A85" i="2"/>
  <c r="S84" i="2"/>
  <c r="R84" i="2"/>
  <c r="K84" i="2"/>
  <c r="C84" i="2"/>
  <c r="A84" i="2"/>
  <c r="S83" i="2"/>
  <c r="R83" i="2"/>
  <c r="K83" i="2"/>
  <c r="C83" i="2"/>
  <c r="A83" i="2"/>
  <c r="S82" i="2"/>
  <c r="R82" i="2"/>
  <c r="K82" i="2"/>
  <c r="C82" i="2"/>
  <c r="A82" i="2"/>
  <c r="S81" i="2"/>
  <c r="R81" i="2"/>
  <c r="K81" i="2"/>
  <c r="C81" i="2"/>
  <c r="A81" i="2"/>
  <c r="S80" i="2"/>
  <c r="R80" i="2"/>
  <c r="K80" i="2"/>
  <c r="C80" i="2"/>
  <c r="A80" i="2"/>
  <c r="S79" i="2"/>
  <c r="R79" i="2"/>
  <c r="K79" i="2"/>
  <c r="C79" i="2"/>
  <c r="A79" i="2"/>
  <c r="S78" i="2"/>
  <c r="R78" i="2"/>
  <c r="K78" i="2"/>
  <c r="C78" i="2"/>
  <c r="A78" i="2"/>
  <c r="S77" i="2"/>
  <c r="R77" i="2"/>
  <c r="K77" i="2"/>
  <c r="C77" i="2"/>
  <c r="A77" i="2"/>
  <c r="S76" i="2"/>
  <c r="R76" i="2"/>
  <c r="K76" i="2"/>
  <c r="C76" i="2"/>
  <c r="A76" i="2"/>
  <c r="S75" i="2"/>
  <c r="R75" i="2"/>
  <c r="K75" i="2"/>
  <c r="C75" i="2"/>
  <c r="A75" i="2"/>
  <c r="S74" i="2"/>
  <c r="R74" i="2"/>
  <c r="C74" i="2"/>
  <c r="A74" i="2"/>
  <c r="S73" i="2"/>
  <c r="R73" i="2"/>
  <c r="C73" i="2"/>
  <c r="A73" i="2"/>
  <c r="S72" i="2"/>
  <c r="R72" i="2"/>
  <c r="C72" i="2"/>
  <c r="A72" i="2"/>
  <c r="S71" i="2"/>
  <c r="R71" i="2"/>
  <c r="C71" i="2"/>
  <c r="A71" i="2"/>
  <c r="S70" i="2"/>
  <c r="R70" i="2"/>
  <c r="C70" i="2"/>
  <c r="A70" i="2"/>
  <c r="S69" i="2"/>
  <c r="R69" i="2"/>
  <c r="C69" i="2"/>
  <c r="A69" i="2"/>
  <c r="S68" i="2"/>
  <c r="R68" i="2"/>
  <c r="C68" i="2"/>
  <c r="A68" i="2"/>
  <c r="S67" i="2"/>
  <c r="R67" i="2"/>
  <c r="C67" i="2"/>
  <c r="A67" i="2"/>
  <c r="S66" i="2"/>
  <c r="R66" i="2"/>
  <c r="C66" i="2"/>
  <c r="A66" i="2"/>
  <c r="S65" i="2"/>
  <c r="R65" i="2"/>
  <c r="C65" i="2"/>
  <c r="A65" i="2"/>
  <c r="S64" i="2"/>
  <c r="R64" i="2"/>
  <c r="C64" i="2"/>
  <c r="A64" i="2"/>
  <c r="S63" i="2"/>
  <c r="R63" i="2"/>
  <c r="C63" i="2"/>
  <c r="A63" i="2"/>
  <c r="S62" i="2"/>
  <c r="R62" i="2"/>
  <c r="C62" i="2"/>
  <c r="A62" i="2"/>
  <c r="S61" i="2"/>
  <c r="R61" i="2"/>
  <c r="C61" i="2"/>
  <c r="A61" i="2"/>
  <c r="S60" i="2"/>
  <c r="R60" i="2"/>
  <c r="C60" i="2"/>
  <c r="A60" i="2"/>
  <c r="S59" i="2"/>
  <c r="R59" i="2"/>
  <c r="C59" i="2"/>
  <c r="A59" i="2"/>
  <c r="S58" i="2"/>
  <c r="R58" i="2"/>
  <c r="C58" i="2"/>
  <c r="A58" i="2"/>
  <c r="S57" i="2"/>
  <c r="R57" i="2"/>
  <c r="C57" i="2"/>
  <c r="A57" i="2"/>
  <c r="S56" i="2"/>
  <c r="R56" i="2"/>
  <c r="C56" i="2"/>
  <c r="A56" i="2"/>
  <c r="S55" i="2"/>
  <c r="R55" i="2"/>
  <c r="C55" i="2"/>
  <c r="A55" i="2"/>
  <c r="S54" i="2"/>
  <c r="R54" i="2"/>
  <c r="C54" i="2"/>
  <c r="A54" i="2"/>
  <c r="S53" i="2"/>
  <c r="R53" i="2"/>
  <c r="C53" i="2"/>
  <c r="A53" i="2"/>
  <c r="S52" i="2"/>
  <c r="R52" i="2"/>
  <c r="C52" i="2"/>
  <c r="A52" i="2"/>
  <c r="S51" i="2"/>
  <c r="R51" i="2"/>
  <c r="K51" i="2"/>
  <c r="C51" i="2"/>
  <c r="A51" i="2"/>
  <c r="S50" i="2"/>
  <c r="R50" i="2"/>
  <c r="K50" i="2"/>
  <c r="C50" i="2"/>
  <c r="A50" i="2"/>
  <c r="S49" i="2"/>
  <c r="R49" i="2"/>
  <c r="K49" i="2"/>
  <c r="C49" i="2"/>
  <c r="A49" i="2"/>
  <c r="S48" i="2"/>
  <c r="R48" i="2"/>
  <c r="K48" i="2"/>
  <c r="C48" i="2"/>
  <c r="A48" i="2"/>
  <c r="S47" i="2"/>
  <c r="R47" i="2"/>
  <c r="K47" i="2"/>
  <c r="C47" i="2"/>
  <c r="A47" i="2"/>
  <c r="S46" i="2"/>
  <c r="R46" i="2"/>
  <c r="K46" i="2"/>
  <c r="C46" i="2"/>
  <c r="A46" i="2"/>
  <c r="S45" i="2"/>
  <c r="R45" i="2"/>
  <c r="K45" i="2"/>
  <c r="C45" i="2"/>
  <c r="A45" i="2"/>
  <c r="S44" i="2"/>
  <c r="R44" i="2"/>
  <c r="K44" i="2"/>
  <c r="C44" i="2"/>
  <c r="A44" i="2"/>
  <c r="S43" i="2"/>
  <c r="R43" i="2"/>
  <c r="K43" i="2"/>
  <c r="C43" i="2"/>
  <c r="A43" i="2"/>
  <c r="S42" i="2"/>
  <c r="R42" i="2"/>
  <c r="K42" i="2"/>
  <c r="C42" i="2"/>
  <c r="A42" i="2"/>
  <c r="S41" i="2"/>
  <c r="R41" i="2"/>
  <c r="K41" i="2"/>
  <c r="C41" i="2"/>
  <c r="A41" i="2"/>
  <c r="S40" i="2"/>
  <c r="R40" i="2"/>
  <c r="K40" i="2"/>
  <c r="C40" i="2"/>
  <c r="A40" i="2"/>
  <c r="S39" i="2"/>
  <c r="R39" i="2"/>
  <c r="K39" i="2"/>
  <c r="C39" i="2"/>
  <c r="A39" i="2"/>
  <c r="S38" i="2"/>
  <c r="R38" i="2"/>
  <c r="K38" i="2"/>
  <c r="C38" i="2"/>
  <c r="A38" i="2"/>
  <c r="S37" i="2"/>
  <c r="R37" i="2"/>
  <c r="K37" i="2"/>
  <c r="C37" i="2"/>
  <c r="A37" i="2"/>
  <c r="S36" i="2"/>
  <c r="R36" i="2"/>
  <c r="K36" i="2"/>
  <c r="C36" i="2"/>
  <c r="A36" i="2"/>
  <c r="S35" i="2"/>
  <c r="R35" i="2"/>
  <c r="K35" i="2"/>
  <c r="C35" i="2"/>
  <c r="A35" i="2"/>
  <c r="S34" i="2"/>
  <c r="R34" i="2"/>
  <c r="C34" i="2"/>
  <c r="A34" i="2"/>
  <c r="S33" i="2"/>
  <c r="R33" i="2"/>
  <c r="C33" i="2"/>
  <c r="A33" i="2"/>
  <c r="S32" i="2"/>
  <c r="R32" i="2"/>
  <c r="C32" i="2"/>
  <c r="A32" i="2"/>
  <c r="S31" i="2"/>
  <c r="R31" i="2"/>
  <c r="C31" i="2"/>
  <c r="A31" i="2"/>
  <c r="S30" i="2"/>
  <c r="R30" i="2"/>
  <c r="C30" i="2"/>
  <c r="A30" i="2"/>
  <c r="S29" i="2"/>
  <c r="R29" i="2"/>
  <c r="C29" i="2"/>
  <c r="A29" i="2"/>
  <c r="S28" i="2"/>
  <c r="R28" i="2"/>
  <c r="C28" i="2"/>
  <c r="A28" i="2"/>
  <c r="S27" i="2"/>
  <c r="R27" i="2"/>
  <c r="C27" i="2"/>
  <c r="A27" i="2"/>
  <c r="S26" i="2"/>
  <c r="R26" i="2"/>
  <c r="C26" i="2"/>
  <c r="A26" i="2"/>
  <c r="S25" i="2"/>
  <c r="R25" i="2"/>
  <c r="C25" i="2"/>
  <c r="A25" i="2"/>
  <c r="S24" i="2"/>
  <c r="R24" i="2"/>
  <c r="C24" i="2"/>
  <c r="A24" i="2"/>
  <c r="S23" i="2"/>
  <c r="R23" i="2"/>
  <c r="C23" i="2"/>
  <c r="A23" i="2"/>
  <c r="S22" i="2"/>
  <c r="R22" i="2"/>
  <c r="K22" i="2"/>
  <c r="C22" i="2"/>
  <c r="A22" i="2"/>
  <c r="S21" i="2"/>
  <c r="R21" i="2"/>
  <c r="K21" i="2"/>
  <c r="C21" i="2"/>
  <c r="A21" i="2"/>
  <c r="S20" i="2"/>
  <c r="R20" i="2"/>
  <c r="K20" i="2"/>
  <c r="C20" i="2"/>
  <c r="A20" i="2"/>
  <c r="S19" i="2"/>
  <c r="R19" i="2"/>
  <c r="K19" i="2"/>
  <c r="C19" i="2"/>
  <c r="A19" i="2"/>
  <c r="S18" i="2"/>
  <c r="R18" i="2"/>
  <c r="K18" i="2"/>
  <c r="C18" i="2"/>
  <c r="A18" i="2"/>
  <c r="S17" i="2"/>
  <c r="R17" i="2"/>
  <c r="K17" i="2"/>
  <c r="C17" i="2"/>
  <c r="A17" i="2"/>
  <c r="S16" i="2"/>
  <c r="R16" i="2"/>
  <c r="C16" i="2"/>
  <c r="A16" i="2"/>
  <c r="S15" i="2"/>
  <c r="R15" i="2"/>
  <c r="C15" i="2"/>
  <c r="A15" i="2"/>
  <c r="S14" i="2"/>
  <c r="R14" i="2"/>
  <c r="C14" i="2"/>
  <c r="A14" i="2"/>
  <c r="S13" i="2"/>
  <c r="R13" i="2"/>
  <c r="C13" i="2"/>
  <c r="A13" i="2"/>
  <c r="S12" i="2"/>
  <c r="R12" i="2"/>
  <c r="K12" i="2"/>
  <c r="C12" i="2"/>
  <c r="A12" i="2"/>
  <c r="S11" i="2"/>
  <c r="R11" i="2"/>
  <c r="C11" i="2"/>
  <c r="A11" i="2"/>
  <c r="S10" i="2"/>
  <c r="R10" i="2"/>
  <c r="C10" i="2"/>
  <c r="A10" i="2"/>
  <c r="S9" i="2"/>
  <c r="R9" i="2"/>
  <c r="C9" i="2"/>
  <c r="A9" i="2"/>
  <c r="S8" i="2"/>
  <c r="R8" i="2"/>
  <c r="C8" i="2"/>
  <c r="A8" i="2"/>
  <c r="S7" i="2"/>
  <c r="R7" i="2"/>
  <c r="C7" i="2"/>
  <c r="A7" i="2"/>
  <c r="S6" i="2"/>
  <c r="R6" i="2"/>
  <c r="K6" i="2"/>
  <c r="C6" i="2"/>
  <c r="A6" i="2"/>
  <c r="S5" i="2"/>
  <c r="R5" i="2"/>
  <c r="C5" i="2"/>
  <c r="A5" i="2"/>
  <c r="S4" i="2"/>
  <c r="R4" i="2"/>
  <c r="K4" i="2"/>
  <c r="C4" i="2"/>
  <c r="A4" i="2"/>
  <c r="K4" i="1"/>
  <c r="K122" i="1"/>
  <c r="K12" i="1"/>
  <c r="K163" i="1"/>
  <c r="K226" i="1"/>
  <c r="K227" i="1"/>
  <c r="K261" i="1"/>
  <c r="K75" i="1"/>
  <c r="K123" i="1"/>
  <c r="K164" i="1"/>
  <c r="K165" i="1"/>
  <c r="K228" i="1"/>
  <c r="K6" i="1"/>
  <c r="K249" i="1"/>
  <c r="K76" i="1"/>
  <c r="K166" i="1"/>
  <c r="K124" i="1"/>
  <c r="K125" i="1"/>
  <c r="K167" i="1"/>
  <c r="K198" i="1"/>
  <c r="K77" i="1"/>
  <c r="K199" i="1"/>
  <c r="K35" i="1"/>
  <c r="K78" i="1"/>
  <c r="K126" i="1"/>
  <c r="K36" i="1"/>
  <c r="K79" i="1"/>
  <c r="K127" i="1"/>
  <c r="K37" i="1"/>
  <c r="K80" i="1"/>
  <c r="K38" i="1"/>
  <c r="K39" i="1"/>
  <c r="K81" i="1"/>
  <c r="K229" i="1"/>
  <c r="K82" i="1"/>
  <c r="K200" i="1"/>
  <c r="K128" i="1"/>
  <c r="K40" i="1"/>
  <c r="K41" i="1"/>
  <c r="K83" i="1"/>
  <c r="K129" i="1"/>
  <c r="K168" i="1"/>
  <c r="K169" i="1"/>
  <c r="K84" i="1"/>
  <c r="K130" i="1"/>
  <c r="K131" i="1"/>
  <c r="K132" i="1"/>
  <c r="K133" i="1"/>
  <c r="K201" i="1"/>
  <c r="K170" i="1"/>
  <c r="K85" i="1"/>
  <c r="K171" i="1"/>
  <c r="K134" i="1"/>
  <c r="K86" i="1"/>
  <c r="K135" i="1"/>
  <c r="K87" i="1"/>
  <c r="K172" i="1"/>
  <c r="K173" i="1"/>
  <c r="K88" i="1"/>
  <c r="K136" i="1"/>
  <c r="K137" i="1"/>
  <c r="K42" i="1"/>
  <c r="K43" i="1"/>
  <c r="K89" i="1"/>
  <c r="K17" i="1"/>
  <c r="K90" i="1"/>
  <c r="K91" i="1"/>
  <c r="K138" i="1"/>
  <c r="K44" i="1"/>
  <c r="K45" i="1"/>
  <c r="K46" i="1"/>
  <c r="K47" i="1"/>
  <c r="K139" i="1"/>
  <c r="K48" i="1"/>
  <c r="K140" i="1"/>
  <c r="K18" i="1"/>
  <c r="K92" i="1"/>
  <c r="K174" i="1"/>
  <c r="K49" i="1"/>
  <c r="K141" i="1"/>
  <c r="K93" i="1"/>
  <c r="K50" i="1"/>
  <c r="K51" i="1"/>
  <c r="K19" i="1"/>
  <c r="K20" i="1"/>
  <c r="K21" i="1"/>
  <c r="K22" i="1"/>
  <c r="S22" i="1"/>
  <c r="R22" i="1"/>
  <c r="C22" i="1"/>
  <c r="A22" i="1"/>
  <c r="S21" i="1"/>
  <c r="R21" i="1"/>
  <c r="C21" i="1"/>
  <c r="A21" i="1"/>
  <c r="S20" i="1"/>
  <c r="R20" i="1"/>
  <c r="C20" i="1"/>
  <c r="A20" i="1"/>
  <c r="S19" i="1"/>
  <c r="R19" i="1"/>
  <c r="C19" i="1"/>
  <c r="A19" i="1"/>
  <c r="S51" i="1"/>
  <c r="R51" i="1"/>
  <c r="C51" i="1"/>
  <c r="A51" i="1"/>
  <c r="S50" i="1"/>
  <c r="R50" i="1"/>
  <c r="C50" i="1"/>
  <c r="A50" i="1"/>
  <c r="S93" i="1"/>
  <c r="R93" i="1"/>
  <c r="C93" i="1"/>
  <c r="A93" i="1"/>
  <c r="S141" i="1"/>
  <c r="R141" i="1"/>
  <c r="C141" i="1"/>
  <c r="A141" i="1"/>
  <c r="S49" i="1"/>
  <c r="R49" i="1"/>
  <c r="C49" i="1"/>
  <c r="A49" i="1"/>
  <c r="S174" i="1"/>
  <c r="R174" i="1"/>
  <c r="C174" i="1"/>
  <c r="A174" i="1"/>
  <c r="S92" i="1"/>
  <c r="R92" i="1"/>
  <c r="C92" i="1"/>
  <c r="A92" i="1"/>
  <c r="S18" i="1"/>
  <c r="R18" i="1"/>
  <c r="C18" i="1"/>
  <c r="A18" i="1"/>
  <c r="S140" i="1"/>
  <c r="R140" i="1"/>
  <c r="C140" i="1"/>
  <c r="A140" i="1"/>
  <c r="S48" i="1"/>
  <c r="R48" i="1"/>
  <c r="C48" i="1"/>
  <c r="A48" i="1"/>
  <c r="S139" i="1"/>
  <c r="R139" i="1"/>
  <c r="C139" i="1"/>
  <c r="A139" i="1"/>
  <c r="S47" i="1"/>
  <c r="R47" i="1"/>
  <c r="C47" i="1"/>
  <c r="A47" i="1"/>
  <c r="S46" i="1"/>
  <c r="R46" i="1"/>
  <c r="C46" i="1"/>
  <c r="A46" i="1"/>
  <c r="S45" i="1"/>
  <c r="R45" i="1"/>
  <c r="C45" i="1"/>
  <c r="A45" i="1"/>
  <c r="S44" i="1"/>
  <c r="R44" i="1"/>
  <c r="C44" i="1"/>
  <c r="A44" i="1"/>
  <c r="S138" i="1"/>
  <c r="R138" i="1"/>
  <c r="C138" i="1"/>
  <c r="A138" i="1"/>
  <c r="S91" i="1"/>
  <c r="R91" i="1"/>
  <c r="C91" i="1"/>
  <c r="A91" i="1"/>
  <c r="S90" i="1"/>
  <c r="R90" i="1"/>
  <c r="C90" i="1"/>
  <c r="A90" i="1"/>
  <c r="S17" i="1"/>
  <c r="R17" i="1"/>
  <c r="C17" i="1"/>
  <c r="A17" i="1"/>
  <c r="S89" i="1"/>
  <c r="R89" i="1"/>
  <c r="C89" i="1"/>
  <c r="A89" i="1"/>
  <c r="S43" i="1"/>
  <c r="R43" i="1"/>
  <c r="C43" i="1"/>
  <c r="A43" i="1"/>
  <c r="S42" i="1"/>
  <c r="R42" i="1"/>
  <c r="C42" i="1"/>
  <c r="A42" i="1"/>
  <c r="S137" i="1"/>
  <c r="R137" i="1"/>
  <c r="C137" i="1"/>
  <c r="A137" i="1"/>
  <c r="S136" i="1"/>
  <c r="R136" i="1"/>
  <c r="C136" i="1"/>
  <c r="A136" i="1"/>
  <c r="S88" i="1"/>
  <c r="R88" i="1"/>
  <c r="C88" i="1"/>
  <c r="A88" i="1"/>
  <c r="S173" i="1"/>
  <c r="R173" i="1"/>
  <c r="C173" i="1"/>
  <c r="A173" i="1"/>
  <c r="S172" i="1"/>
  <c r="R172" i="1"/>
  <c r="C172" i="1"/>
  <c r="A172" i="1"/>
  <c r="S87" i="1"/>
  <c r="R87" i="1"/>
  <c r="C87" i="1"/>
  <c r="A87" i="1"/>
  <c r="S135" i="1"/>
  <c r="R135" i="1"/>
  <c r="C135" i="1"/>
  <c r="A135" i="1"/>
  <c r="S86" i="1"/>
  <c r="R86" i="1"/>
  <c r="C86" i="1"/>
  <c r="A86" i="1"/>
  <c r="S134" i="1"/>
  <c r="R134" i="1"/>
  <c r="C134" i="1"/>
  <c r="A134" i="1"/>
  <c r="S171" i="1"/>
  <c r="R171" i="1"/>
  <c r="C171" i="1"/>
  <c r="A171" i="1"/>
  <c r="S85" i="1"/>
  <c r="R85" i="1"/>
  <c r="C85" i="1"/>
  <c r="A85" i="1"/>
  <c r="S170" i="1"/>
  <c r="R170" i="1"/>
  <c r="C170" i="1"/>
  <c r="A170" i="1"/>
  <c r="S201" i="1"/>
  <c r="R201" i="1"/>
  <c r="C201" i="1"/>
  <c r="A201" i="1"/>
  <c r="S133" i="1"/>
  <c r="R133" i="1"/>
  <c r="C133" i="1"/>
  <c r="A133" i="1"/>
  <c r="S132" i="1"/>
  <c r="R132" i="1"/>
  <c r="C132" i="1"/>
  <c r="A132" i="1"/>
  <c r="S131" i="1"/>
  <c r="R131" i="1"/>
  <c r="C131" i="1"/>
  <c r="A131" i="1"/>
  <c r="S130" i="1"/>
  <c r="R130" i="1"/>
  <c r="C130" i="1"/>
  <c r="A130" i="1"/>
  <c r="S84" i="1"/>
  <c r="R84" i="1"/>
  <c r="C84" i="1"/>
  <c r="A84" i="1"/>
  <c r="S169" i="1"/>
  <c r="R169" i="1"/>
  <c r="C169" i="1"/>
  <c r="A169" i="1"/>
  <c r="S168" i="1"/>
  <c r="R168" i="1"/>
  <c r="C168" i="1"/>
  <c r="A168" i="1"/>
  <c r="S129" i="1"/>
  <c r="R129" i="1"/>
  <c r="C129" i="1"/>
  <c r="A129" i="1"/>
  <c r="S83" i="1"/>
  <c r="R83" i="1"/>
  <c r="C83" i="1"/>
  <c r="A83" i="1"/>
  <c r="S41" i="1"/>
  <c r="R41" i="1"/>
  <c r="C41" i="1"/>
  <c r="A41" i="1"/>
  <c r="S40" i="1"/>
  <c r="R40" i="1"/>
  <c r="C40" i="1"/>
  <c r="A40" i="1"/>
  <c r="S128" i="1"/>
  <c r="R128" i="1"/>
  <c r="C128" i="1"/>
  <c r="A128" i="1"/>
  <c r="S200" i="1"/>
  <c r="R200" i="1"/>
  <c r="C200" i="1"/>
  <c r="A200" i="1"/>
  <c r="S82" i="1"/>
  <c r="R82" i="1"/>
  <c r="C82" i="1"/>
  <c r="A82" i="1"/>
  <c r="S229" i="1"/>
  <c r="R229" i="1"/>
  <c r="C229" i="1"/>
  <c r="A229" i="1"/>
  <c r="S81" i="1"/>
  <c r="R81" i="1"/>
  <c r="C81" i="1"/>
  <c r="A81" i="1"/>
  <c r="S39" i="1"/>
  <c r="R39" i="1"/>
  <c r="C39" i="1"/>
  <c r="A39" i="1"/>
  <c r="S38" i="1"/>
  <c r="R38" i="1"/>
  <c r="C38" i="1"/>
  <c r="A38" i="1"/>
  <c r="S80" i="1"/>
  <c r="R80" i="1"/>
  <c r="C80" i="1"/>
  <c r="A80" i="1"/>
  <c r="S37" i="1"/>
  <c r="R37" i="1"/>
  <c r="C37" i="1"/>
  <c r="A37" i="1"/>
  <c r="S127" i="1"/>
  <c r="R127" i="1"/>
  <c r="C127" i="1"/>
  <c r="A127" i="1"/>
  <c r="S79" i="1"/>
  <c r="R79" i="1"/>
  <c r="C79" i="1"/>
  <c r="A79" i="1"/>
  <c r="S36" i="1"/>
  <c r="R36" i="1"/>
  <c r="C36" i="1"/>
  <c r="A36" i="1"/>
  <c r="S126" i="1"/>
  <c r="R126" i="1"/>
  <c r="C126" i="1"/>
  <c r="A126" i="1"/>
  <c r="S78" i="1"/>
  <c r="R78" i="1"/>
  <c r="C78" i="1"/>
  <c r="A78" i="1"/>
  <c r="S35" i="1"/>
  <c r="R35" i="1"/>
  <c r="C35" i="1"/>
  <c r="A35" i="1"/>
  <c r="S199" i="1"/>
  <c r="R199" i="1"/>
  <c r="C199" i="1"/>
  <c r="A199" i="1"/>
  <c r="S77" i="1"/>
  <c r="R77" i="1"/>
  <c r="C77" i="1"/>
  <c r="A77" i="1"/>
  <c r="S198" i="1"/>
  <c r="R198" i="1"/>
  <c r="C198" i="1"/>
  <c r="A198" i="1"/>
  <c r="S167" i="1"/>
  <c r="R167" i="1"/>
  <c r="C167" i="1"/>
  <c r="A167" i="1"/>
  <c r="S125" i="1"/>
  <c r="R125" i="1"/>
  <c r="C125" i="1"/>
  <c r="A125" i="1"/>
  <c r="S124" i="1"/>
  <c r="R124" i="1"/>
  <c r="C124" i="1"/>
  <c r="A124" i="1"/>
  <c r="S166" i="1"/>
  <c r="R166" i="1"/>
  <c r="C166" i="1"/>
  <c r="A166" i="1"/>
  <c r="S76" i="1"/>
  <c r="R76" i="1"/>
  <c r="C76" i="1"/>
  <c r="A76" i="1"/>
  <c r="S249" i="1"/>
  <c r="R249" i="1"/>
  <c r="C249" i="1"/>
  <c r="A249" i="1"/>
  <c r="S6" i="1"/>
  <c r="R6" i="1"/>
  <c r="C6" i="1"/>
  <c r="A6" i="1"/>
  <c r="S228" i="1"/>
  <c r="R228" i="1"/>
  <c r="C228" i="1"/>
  <c r="A228" i="1"/>
  <c r="S165" i="1"/>
  <c r="R165" i="1"/>
  <c r="C165" i="1"/>
  <c r="A165" i="1"/>
  <c r="S164" i="1"/>
  <c r="R164" i="1"/>
  <c r="C164" i="1"/>
  <c r="A164" i="1"/>
  <c r="S123" i="1"/>
  <c r="R123" i="1"/>
  <c r="C123" i="1"/>
  <c r="A123" i="1"/>
  <c r="S75" i="1"/>
  <c r="R75" i="1"/>
  <c r="C75" i="1"/>
  <c r="A75" i="1"/>
  <c r="S261" i="1"/>
  <c r="R261" i="1"/>
  <c r="C261" i="1"/>
  <c r="A261" i="1"/>
  <c r="S227" i="1"/>
  <c r="R227" i="1"/>
  <c r="C227" i="1"/>
  <c r="A227" i="1"/>
  <c r="S226" i="1"/>
  <c r="R226" i="1"/>
  <c r="C226" i="1"/>
  <c r="A226" i="1"/>
  <c r="S163" i="1"/>
  <c r="R163" i="1"/>
  <c r="C163" i="1"/>
  <c r="A163" i="1"/>
  <c r="S12" i="1"/>
  <c r="R12" i="1"/>
  <c r="C12" i="1"/>
  <c r="A12" i="1"/>
  <c r="S122" i="1"/>
  <c r="R122" i="1"/>
  <c r="C122" i="1"/>
  <c r="A122" i="1"/>
  <c r="S4" i="1"/>
  <c r="R4" i="1"/>
  <c r="C4" i="1"/>
  <c r="A4" i="1"/>
  <c r="S121" i="1"/>
  <c r="R121" i="1"/>
  <c r="C121" i="1"/>
  <c r="A121" i="1"/>
  <c r="S162" i="1"/>
  <c r="R162" i="1"/>
  <c r="C162" i="1"/>
  <c r="A162" i="1"/>
  <c r="S74" i="1"/>
  <c r="R74" i="1"/>
  <c r="C74" i="1"/>
  <c r="A74" i="1"/>
  <c r="S120" i="1"/>
  <c r="R120" i="1"/>
  <c r="C120" i="1"/>
  <c r="A120" i="1"/>
  <c r="S119" i="1"/>
  <c r="R119" i="1"/>
  <c r="C119" i="1"/>
  <c r="A119" i="1"/>
  <c r="S73" i="1"/>
  <c r="R73" i="1"/>
  <c r="C73" i="1"/>
  <c r="A73" i="1"/>
  <c r="S34" i="1"/>
  <c r="R34" i="1"/>
  <c r="C34" i="1"/>
  <c r="A34" i="1"/>
  <c r="S118" i="1"/>
  <c r="R118" i="1"/>
  <c r="C118" i="1"/>
  <c r="A118" i="1"/>
  <c r="S117" i="1"/>
  <c r="R117" i="1"/>
  <c r="C117" i="1"/>
  <c r="A117" i="1"/>
  <c r="S248" i="1"/>
  <c r="R248" i="1"/>
  <c r="C248" i="1"/>
  <c r="A248" i="1"/>
  <c r="S161" i="1"/>
  <c r="R161" i="1"/>
  <c r="C161" i="1"/>
  <c r="A161" i="1"/>
  <c r="S283" i="1"/>
  <c r="R283" i="1"/>
  <c r="C283" i="1"/>
  <c r="A283" i="1"/>
  <c r="S225" i="1"/>
  <c r="R225" i="1"/>
  <c r="C225" i="1"/>
  <c r="A225" i="1"/>
  <c r="S247" i="1"/>
  <c r="R247" i="1"/>
  <c r="C247" i="1"/>
  <c r="A247" i="1"/>
  <c r="S224" i="1"/>
  <c r="R224" i="1"/>
  <c r="C224" i="1"/>
  <c r="A224" i="1"/>
  <c r="S282" i="1"/>
  <c r="R282" i="1"/>
  <c r="C282" i="1"/>
  <c r="A282" i="1"/>
  <c r="S223" i="1"/>
  <c r="R223" i="1"/>
  <c r="C223" i="1"/>
  <c r="A223" i="1"/>
  <c r="S260" i="1"/>
  <c r="R260" i="1"/>
  <c r="C260" i="1"/>
  <c r="A260" i="1"/>
  <c r="S222" i="1"/>
  <c r="R222" i="1"/>
  <c r="C222" i="1"/>
  <c r="A222" i="1"/>
  <c r="S197" i="1"/>
  <c r="R197" i="1"/>
  <c r="C197" i="1"/>
  <c r="A197" i="1"/>
  <c r="S196" i="1"/>
  <c r="R196" i="1"/>
  <c r="C196" i="1"/>
  <c r="A196" i="1"/>
  <c r="S160" i="1"/>
  <c r="R160" i="1"/>
  <c r="C160" i="1"/>
  <c r="A160" i="1"/>
  <c r="S14" i="1"/>
  <c r="R14" i="1"/>
  <c r="C14" i="1"/>
  <c r="A14" i="1"/>
  <c r="S72" i="1"/>
  <c r="R72" i="1"/>
  <c r="C72" i="1"/>
  <c r="A72" i="1"/>
  <c r="S246" i="1"/>
  <c r="R246" i="1"/>
  <c r="C246" i="1"/>
  <c r="A246" i="1"/>
  <c r="S195" i="1"/>
  <c r="R195" i="1"/>
  <c r="C195" i="1"/>
  <c r="A195" i="1"/>
  <c r="S116" i="1"/>
  <c r="R116" i="1"/>
  <c r="C116" i="1"/>
  <c r="A116" i="1"/>
  <c r="S194" i="1"/>
  <c r="R194" i="1"/>
  <c r="C194" i="1"/>
  <c r="A194" i="1"/>
  <c r="S115" i="1"/>
  <c r="R115" i="1"/>
  <c r="C115" i="1"/>
  <c r="A115" i="1"/>
  <c r="S193" i="1"/>
  <c r="R193" i="1"/>
  <c r="C193" i="1"/>
  <c r="A193" i="1"/>
  <c r="S192" i="1"/>
  <c r="R192" i="1"/>
  <c r="C192" i="1"/>
  <c r="A192" i="1"/>
  <c r="S221" i="1"/>
  <c r="R221" i="1"/>
  <c r="C221" i="1"/>
  <c r="A221" i="1"/>
  <c r="S114" i="1"/>
  <c r="R114" i="1"/>
  <c r="C114" i="1"/>
  <c r="A114" i="1"/>
  <c r="S71" i="1"/>
  <c r="R71" i="1"/>
  <c r="C71" i="1"/>
  <c r="A71" i="1"/>
  <c r="S245" i="1"/>
  <c r="R245" i="1"/>
  <c r="C245" i="1"/>
  <c r="A245" i="1"/>
  <c r="S220" i="1"/>
  <c r="R220" i="1"/>
  <c r="C220" i="1"/>
  <c r="A220" i="1"/>
  <c r="S219" i="1"/>
  <c r="R219" i="1"/>
  <c r="C219" i="1"/>
  <c r="A219" i="1"/>
  <c r="S259" i="1"/>
  <c r="R259" i="1"/>
  <c r="C259" i="1"/>
  <c r="A259" i="1"/>
  <c r="S218" i="1"/>
  <c r="R218" i="1"/>
  <c r="C218" i="1"/>
  <c r="A218" i="1"/>
  <c r="S191" i="1"/>
  <c r="R191" i="1"/>
  <c r="C191" i="1"/>
  <c r="A191" i="1"/>
  <c r="S190" i="1"/>
  <c r="R190" i="1"/>
  <c r="C190" i="1"/>
  <c r="A190" i="1"/>
  <c r="S70" i="1"/>
  <c r="R70" i="1"/>
  <c r="C70" i="1"/>
  <c r="A70" i="1"/>
  <c r="S281" i="1"/>
  <c r="R281" i="1"/>
  <c r="C281" i="1"/>
  <c r="A281" i="1"/>
  <c r="S300" i="1"/>
  <c r="R300" i="1"/>
  <c r="C300" i="1"/>
  <c r="A300" i="1"/>
  <c r="S311" i="1"/>
  <c r="R311" i="1"/>
  <c r="C311" i="1"/>
  <c r="A311" i="1"/>
  <c r="S299" i="1"/>
  <c r="R299" i="1"/>
  <c r="C299" i="1"/>
  <c r="A299" i="1"/>
  <c r="S304" i="1"/>
  <c r="R304" i="1"/>
  <c r="C304" i="1"/>
  <c r="A304" i="1"/>
  <c r="S310" i="1"/>
  <c r="R310" i="1"/>
  <c r="C310" i="1"/>
  <c r="A310" i="1"/>
  <c r="S217" i="1"/>
  <c r="R217" i="1"/>
  <c r="C217" i="1"/>
  <c r="A217" i="1"/>
  <c r="S280" i="1"/>
  <c r="R280" i="1"/>
  <c r="C280" i="1"/>
  <c r="A280" i="1"/>
  <c r="S189" i="1"/>
  <c r="R189" i="1"/>
  <c r="C189" i="1"/>
  <c r="A189" i="1"/>
  <c r="S244" i="1"/>
  <c r="R244" i="1"/>
  <c r="C244" i="1"/>
  <c r="A244" i="1"/>
  <c r="S274" i="1"/>
  <c r="R274" i="1"/>
  <c r="C274" i="1"/>
  <c r="A274" i="1"/>
  <c r="S69" i="1"/>
  <c r="R69" i="1"/>
  <c r="C69" i="1"/>
  <c r="A69" i="1"/>
  <c r="S273" i="1"/>
  <c r="R273" i="1"/>
  <c r="C273" i="1"/>
  <c r="A273" i="1"/>
  <c r="S159" i="1"/>
  <c r="R159" i="1"/>
  <c r="C159" i="1"/>
  <c r="A159" i="1"/>
  <c r="S298" i="1"/>
  <c r="R298" i="1"/>
  <c r="C298" i="1"/>
  <c r="A298" i="1"/>
  <c r="S308" i="1"/>
  <c r="R308" i="1"/>
  <c r="C308" i="1"/>
  <c r="A308" i="1"/>
  <c r="S309" i="1"/>
  <c r="R309" i="1"/>
  <c r="C309" i="1"/>
  <c r="A309" i="1"/>
  <c r="S288" i="1"/>
  <c r="R288" i="1"/>
  <c r="C288" i="1"/>
  <c r="A288" i="1"/>
  <c r="S297" i="1"/>
  <c r="R297" i="1"/>
  <c r="C297" i="1"/>
  <c r="A297" i="1"/>
  <c r="S188" i="1"/>
  <c r="R188" i="1"/>
  <c r="C188" i="1"/>
  <c r="A188" i="1"/>
  <c r="S113" i="1"/>
  <c r="R113" i="1"/>
  <c r="C113" i="1"/>
  <c r="A113" i="1"/>
  <c r="S158" i="1"/>
  <c r="R158" i="1"/>
  <c r="C158" i="1"/>
  <c r="A158" i="1"/>
  <c r="S33" i="1"/>
  <c r="R33" i="1"/>
  <c r="C33" i="1"/>
  <c r="A33" i="1"/>
  <c r="S112" i="1"/>
  <c r="R112" i="1"/>
  <c r="C112" i="1"/>
  <c r="A112" i="1"/>
  <c r="S111" i="1"/>
  <c r="R111" i="1"/>
  <c r="C111" i="1"/>
  <c r="A111" i="1"/>
  <c r="S216" i="1"/>
  <c r="R216" i="1"/>
  <c r="C216" i="1"/>
  <c r="A216" i="1"/>
  <c r="S215" i="1"/>
  <c r="R215" i="1"/>
  <c r="C215" i="1"/>
  <c r="A215" i="1"/>
  <c r="S157" i="1"/>
  <c r="R157" i="1"/>
  <c r="C157" i="1"/>
  <c r="A157" i="1"/>
  <c r="S156" i="1"/>
  <c r="R156" i="1"/>
  <c r="C156" i="1"/>
  <c r="A156" i="1"/>
  <c r="S110" i="1"/>
  <c r="R110" i="1"/>
  <c r="C110" i="1"/>
  <c r="A110" i="1"/>
  <c r="S187" i="1"/>
  <c r="R187" i="1"/>
  <c r="C187" i="1"/>
  <c r="A187" i="1"/>
  <c r="S32" i="1"/>
  <c r="R32" i="1"/>
  <c r="C32" i="1"/>
  <c r="A32" i="1"/>
  <c r="S109" i="1"/>
  <c r="R109" i="1"/>
  <c r="C109" i="1"/>
  <c r="A109" i="1"/>
  <c r="S186" i="1"/>
  <c r="R186" i="1"/>
  <c r="C186" i="1"/>
  <c r="A186" i="1"/>
  <c r="S185" i="1"/>
  <c r="R185" i="1"/>
  <c r="C185" i="1"/>
  <c r="A185" i="1"/>
  <c r="S184" i="1"/>
  <c r="R184" i="1"/>
  <c r="C184" i="1"/>
  <c r="A184" i="1"/>
  <c r="S243" i="1"/>
  <c r="R243" i="1"/>
  <c r="C243" i="1"/>
  <c r="A243" i="1"/>
  <c r="S108" i="1"/>
  <c r="R108" i="1"/>
  <c r="C108" i="1"/>
  <c r="A108" i="1"/>
  <c r="S183" i="1"/>
  <c r="R183" i="1"/>
  <c r="C183" i="1"/>
  <c r="A183" i="1"/>
  <c r="S214" i="1"/>
  <c r="R214" i="1"/>
  <c r="C214" i="1"/>
  <c r="A214" i="1"/>
  <c r="S68" i="1"/>
  <c r="R68" i="1"/>
  <c r="C68" i="1"/>
  <c r="A68" i="1"/>
  <c r="S67" i="1"/>
  <c r="R67" i="1"/>
  <c r="C67" i="1"/>
  <c r="A67" i="1"/>
  <c r="S155" i="1"/>
  <c r="R155" i="1"/>
  <c r="C155" i="1"/>
  <c r="A155" i="1"/>
  <c r="S242" i="1"/>
  <c r="R242" i="1"/>
  <c r="C242" i="1"/>
  <c r="A242" i="1"/>
  <c r="S272" i="1"/>
  <c r="R272" i="1"/>
  <c r="C272" i="1"/>
  <c r="A272" i="1"/>
  <c r="S213" i="1"/>
  <c r="R213" i="1"/>
  <c r="C213" i="1"/>
  <c r="A213" i="1"/>
  <c r="S66" i="1"/>
  <c r="R66" i="1"/>
  <c r="C66" i="1"/>
  <c r="A66" i="1"/>
  <c r="S241" i="1"/>
  <c r="R241" i="1"/>
  <c r="C241" i="1"/>
  <c r="A241" i="1"/>
  <c r="S212" i="1"/>
  <c r="R212" i="1"/>
  <c r="C212" i="1"/>
  <c r="A212" i="1"/>
  <c r="S211" i="1"/>
  <c r="R211" i="1"/>
  <c r="C211" i="1"/>
  <c r="A211" i="1"/>
  <c r="S182" i="1"/>
  <c r="R182" i="1"/>
  <c r="C182" i="1"/>
  <c r="A182" i="1"/>
  <c r="S154" i="1"/>
  <c r="R154" i="1"/>
  <c r="C154" i="1"/>
  <c r="A154" i="1"/>
  <c r="S107" i="1"/>
  <c r="R107" i="1"/>
  <c r="C107" i="1"/>
  <c r="A107" i="1"/>
  <c r="S210" i="1"/>
  <c r="R210" i="1"/>
  <c r="C210" i="1"/>
  <c r="A210" i="1"/>
  <c r="S153" i="1"/>
  <c r="R153" i="1"/>
  <c r="C153" i="1"/>
  <c r="A153" i="1"/>
  <c r="S279" i="1"/>
  <c r="R279" i="1"/>
  <c r="C279" i="1"/>
  <c r="A279" i="1"/>
  <c r="S152" i="1"/>
  <c r="R152" i="1"/>
  <c r="C152" i="1"/>
  <c r="A152" i="1"/>
  <c r="S106" i="1"/>
  <c r="R106" i="1"/>
  <c r="C106" i="1"/>
  <c r="A106" i="1"/>
  <c r="S105" i="1"/>
  <c r="R105" i="1"/>
  <c r="C105" i="1"/>
  <c r="A105" i="1"/>
  <c r="S240" i="1"/>
  <c r="R240" i="1"/>
  <c r="C240" i="1"/>
  <c r="A240" i="1"/>
  <c r="S151" i="1"/>
  <c r="R151" i="1"/>
  <c r="C151" i="1"/>
  <c r="A151" i="1"/>
  <c r="S104" i="1"/>
  <c r="R104" i="1"/>
  <c r="C104" i="1"/>
  <c r="A104" i="1"/>
  <c r="S181" i="1"/>
  <c r="R181" i="1"/>
  <c r="C181" i="1"/>
  <c r="A181" i="1"/>
  <c r="S103" i="1"/>
  <c r="R103" i="1"/>
  <c r="C103" i="1"/>
  <c r="A103" i="1"/>
  <c r="S271" i="1"/>
  <c r="R271" i="1"/>
  <c r="C271" i="1"/>
  <c r="A271" i="1"/>
  <c r="S209" i="1"/>
  <c r="R209" i="1"/>
  <c r="C209" i="1"/>
  <c r="A209" i="1"/>
  <c r="S11" i="1"/>
  <c r="R11" i="1"/>
  <c r="C11" i="1"/>
  <c r="A11" i="1"/>
  <c r="S65" i="1"/>
  <c r="R65" i="1"/>
  <c r="C65" i="1"/>
  <c r="A65" i="1"/>
  <c r="S31" i="1"/>
  <c r="R31" i="1"/>
  <c r="C31" i="1"/>
  <c r="A31" i="1"/>
  <c r="S64" i="1"/>
  <c r="R64" i="1"/>
  <c r="C64" i="1"/>
  <c r="A64" i="1"/>
  <c r="S258" i="1"/>
  <c r="R258" i="1"/>
  <c r="C258" i="1"/>
  <c r="A258" i="1"/>
  <c r="S257" i="1"/>
  <c r="R257" i="1"/>
  <c r="C257" i="1"/>
  <c r="A257" i="1"/>
  <c r="S295" i="1"/>
  <c r="R295" i="1"/>
  <c r="C295" i="1"/>
  <c r="A295" i="1"/>
  <c r="S270" i="1"/>
  <c r="R270" i="1"/>
  <c r="C270" i="1"/>
  <c r="A270" i="1"/>
  <c r="S278" i="1"/>
  <c r="R278" i="1"/>
  <c r="C278" i="1"/>
  <c r="A278" i="1"/>
  <c r="S269" i="1"/>
  <c r="R269" i="1"/>
  <c r="C269" i="1"/>
  <c r="A269" i="1"/>
  <c r="S305" i="1"/>
  <c r="R305" i="1"/>
  <c r="C305" i="1"/>
  <c r="A305" i="1"/>
  <c r="S287" i="1"/>
  <c r="R287" i="1"/>
  <c r="C287" i="1"/>
  <c r="A287" i="1"/>
  <c r="S239" i="1"/>
  <c r="R239" i="1"/>
  <c r="C239" i="1"/>
  <c r="A239" i="1"/>
  <c r="S256" i="1"/>
  <c r="R256" i="1"/>
  <c r="C256" i="1"/>
  <c r="A256" i="1"/>
  <c r="S150" i="1"/>
  <c r="R150" i="1"/>
  <c r="C150" i="1"/>
  <c r="A150" i="1"/>
  <c r="S208" i="1"/>
  <c r="R208" i="1"/>
  <c r="C208" i="1"/>
  <c r="A208" i="1"/>
  <c r="S102" i="1"/>
  <c r="R102" i="1"/>
  <c r="C102" i="1"/>
  <c r="A102" i="1"/>
  <c r="S63" i="1"/>
  <c r="R63" i="1"/>
  <c r="C63" i="1"/>
  <c r="A63" i="1"/>
  <c r="S238" i="1"/>
  <c r="R238" i="1"/>
  <c r="C238" i="1"/>
  <c r="A238" i="1"/>
  <c r="S180" i="1"/>
  <c r="R180" i="1"/>
  <c r="C180" i="1"/>
  <c r="A180" i="1"/>
  <c r="S62" i="1"/>
  <c r="R62" i="1"/>
  <c r="C62" i="1"/>
  <c r="A62" i="1"/>
  <c r="S61" i="1"/>
  <c r="R61" i="1"/>
  <c r="C61" i="1"/>
  <c r="A61" i="1"/>
  <c r="S149" i="1"/>
  <c r="R149" i="1"/>
  <c r="C149" i="1"/>
  <c r="A149" i="1"/>
  <c r="S101" i="1"/>
  <c r="R101" i="1"/>
  <c r="C101" i="1"/>
  <c r="A101" i="1"/>
  <c r="S237" i="1"/>
  <c r="R237" i="1"/>
  <c r="C237" i="1"/>
  <c r="A237" i="1"/>
  <c r="S207" i="1"/>
  <c r="R207" i="1"/>
  <c r="C207" i="1"/>
  <c r="A207" i="1"/>
  <c r="S60" i="1"/>
  <c r="R60" i="1"/>
  <c r="C60" i="1"/>
  <c r="A60" i="1"/>
  <c r="S59" i="1"/>
  <c r="R59" i="1"/>
  <c r="C59" i="1"/>
  <c r="A59" i="1"/>
  <c r="S148" i="1"/>
  <c r="R148" i="1"/>
  <c r="C148" i="1"/>
  <c r="A148" i="1"/>
  <c r="S179" i="1"/>
  <c r="R179" i="1"/>
  <c r="C179" i="1"/>
  <c r="A179" i="1"/>
  <c r="S147" i="1"/>
  <c r="R147" i="1"/>
  <c r="C147" i="1"/>
  <c r="A147" i="1"/>
  <c r="S30" i="1"/>
  <c r="R30" i="1"/>
  <c r="C30" i="1"/>
  <c r="A30" i="1"/>
  <c r="S29" i="1"/>
  <c r="R29" i="1"/>
  <c r="C29" i="1"/>
  <c r="A29" i="1"/>
  <c r="S236" i="1"/>
  <c r="R236" i="1"/>
  <c r="C236" i="1"/>
  <c r="A236" i="1"/>
  <c r="S146" i="1"/>
  <c r="R146" i="1"/>
  <c r="C146" i="1"/>
  <c r="A146" i="1"/>
  <c r="S58" i="1"/>
  <c r="R58" i="1"/>
  <c r="C58" i="1"/>
  <c r="A58" i="1"/>
  <c r="S268" i="1"/>
  <c r="R268" i="1"/>
  <c r="C268" i="1"/>
  <c r="A268" i="1"/>
  <c r="S28" i="1"/>
  <c r="R28" i="1"/>
  <c r="C28" i="1"/>
  <c r="A28" i="1"/>
  <c r="S100" i="1"/>
  <c r="R100" i="1"/>
  <c r="C100" i="1"/>
  <c r="A100" i="1"/>
  <c r="S206" i="1"/>
  <c r="R206" i="1"/>
  <c r="C206" i="1"/>
  <c r="A206" i="1"/>
  <c r="S303" i="1"/>
  <c r="R303" i="1"/>
  <c r="C303" i="1"/>
  <c r="A303" i="1"/>
  <c r="S255" i="1"/>
  <c r="R255" i="1"/>
  <c r="C255" i="1"/>
  <c r="A255" i="1"/>
  <c r="S235" i="1"/>
  <c r="R235" i="1"/>
  <c r="C235" i="1"/>
  <c r="A235" i="1"/>
  <c r="S9" i="1"/>
  <c r="R9" i="1"/>
  <c r="C9" i="1"/>
  <c r="A9" i="1"/>
  <c r="S27" i="1"/>
  <c r="R27" i="1"/>
  <c r="C27" i="1"/>
  <c r="A27" i="1"/>
  <c r="S99" i="1"/>
  <c r="R99" i="1"/>
  <c r="C99" i="1"/>
  <c r="A99" i="1"/>
  <c r="S57" i="1"/>
  <c r="R57" i="1"/>
  <c r="C57" i="1"/>
  <c r="A57" i="1"/>
  <c r="S286" i="1"/>
  <c r="R286" i="1"/>
  <c r="C286" i="1"/>
  <c r="A286" i="1"/>
  <c r="S294" i="1"/>
  <c r="R294" i="1"/>
  <c r="C294" i="1"/>
  <c r="A294" i="1"/>
  <c r="S267" i="1"/>
  <c r="R267" i="1"/>
  <c r="C267" i="1"/>
  <c r="A267" i="1"/>
  <c r="S234" i="1"/>
  <c r="R234" i="1"/>
  <c r="C234" i="1"/>
  <c r="A234" i="1"/>
  <c r="S285" i="1"/>
  <c r="R285" i="1"/>
  <c r="C285" i="1"/>
  <c r="A285" i="1"/>
  <c r="S254" i="1"/>
  <c r="R254" i="1"/>
  <c r="C254" i="1"/>
  <c r="A254" i="1"/>
  <c r="S253" i="1"/>
  <c r="R253" i="1"/>
  <c r="C253" i="1"/>
  <c r="A253" i="1"/>
  <c r="S293" i="1"/>
  <c r="R293" i="1"/>
  <c r="C293" i="1"/>
  <c r="A293" i="1"/>
  <c r="S266" i="1"/>
  <c r="R266" i="1"/>
  <c r="C266" i="1"/>
  <c r="A266" i="1"/>
  <c r="S56" i="1"/>
  <c r="R56" i="1"/>
  <c r="C56" i="1"/>
  <c r="A56" i="1"/>
  <c r="S178" i="1"/>
  <c r="R178" i="1"/>
  <c r="C178" i="1"/>
  <c r="A178" i="1"/>
  <c r="S205" i="1"/>
  <c r="R205" i="1"/>
  <c r="C205" i="1"/>
  <c r="A205" i="1"/>
  <c r="S292" i="1"/>
  <c r="R292" i="1"/>
  <c r="C292" i="1"/>
  <c r="A292" i="1"/>
  <c r="S252" i="1"/>
  <c r="R252" i="1"/>
  <c r="C252" i="1"/>
  <c r="A252" i="1"/>
  <c r="S145" i="1"/>
  <c r="R145" i="1"/>
  <c r="C145" i="1"/>
  <c r="A145" i="1"/>
  <c r="S26" i="1"/>
  <c r="R26" i="1"/>
  <c r="C26" i="1"/>
  <c r="A26" i="1"/>
  <c r="S144" i="1"/>
  <c r="R144" i="1"/>
  <c r="C144" i="1"/>
  <c r="A144" i="1"/>
  <c r="S204" i="1"/>
  <c r="R204" i="1"/>
  <c r="C204" i="1"/>
  <c r="A204" i="1"/>
  <c r="S277" i="1"/>
  <c r="R277" i="1"/>
  <c r="C277" i="1"/>
  <c r="A277" i="1"/>
  <c r="S265" i="1"/>
  <c r="R265" i="1"/>
  <c r="C265" i="1"/>
  <c r="A265" i="1"/>
  <c r="S313" i="1"/>
  <c r="R313" i="1"/>
  <c r="C313" i="1"/>
  <c r="A313" i="1"/>
  <c r="S233" i="1"/>
  <c r="R233" i="1"/>
  <c r="C233" i="1"/>
  <c r="A233" i="1"/>
  <c r="S291" i="1"/>
  <c r="R291" i="1"/>
  <c r="C291" i="1"/>
  <c r="A291" i="1"/>
  <c r="S98" i="1"/>
  <c r="R98" i="1"/>
  <c r="C98" i="1"/>
  <c r="A98" i="1"/>
  <c r="S25" i="1"/>
  <c r="R25" i="1"/>
  <c r="C25" i="1"/>
  <c r="A25" i="1"/>
  <c r="S307" i="1"/>
  <c r="R307" i="1"/>
  <c r="C307" i="1"/>
  <c r="A307" i="1"/>
  <c r="S177" i="1"/>
  <c r="R177" i="1"/>
  <c r="C177" i="1"/>
  <c r="A177" i="1"/>
  <c r="S10" i="1"/>
  <c r="R10" i="1"/>
  <c r="C10" i="1"/>
  <c r="A10" i="1"/>
  <c r="S251" i="1"/>
  <c r="R251" i="1"/>
  <c r="C251" i="1"/>
  <c r="A251" i="1"/>
  <c r="S232" i="1"/>
  <c r="R232" i="1"/>
  <c r="C232" i="1"/>
  <c r="A232" i="1"/>
  <c r="S97" i="1"/>
  <c r="R97" i="1"/>
  <c r="C97" i="1"/>
  <c r="A97" i="1"/>
  <c r="S96" i="1"/>
  <c r="R96" i="1"/>
  <c r="C96" i="1"/>
  <c r="A96" i="1"/>
  <c r="S55" i="1"/>
  <c r="R55" i="1"/>
  <c r="C55" i="1"/>
  <c r="A55" i="1"/>
  <c r="S8" i="1"/>
  <c r="R8" i="1"/>
  <c r="C8" i="1"/>
  <c r="A8" i="1"/>
  <c r="S7" i="1"/>
  <c r="R7" i="1"/>
  <c r="C7" i="1"/>
  <c r="A7" i="1"/>
  <c r="S95" i="1"/>
  <c r="R95" i="1"/>
  <c r="C95" i="1"/>
  <c r="A95" i="1"/>
  <c r="S264" i="1"/>
  <c r="R264" i="1"/>
  <c r="C264" i="1"/>
  <c r="A264" i="1"/>
  <c r="S290" i="1"/>
  <c r="R290" i="1"/>
  <c r="C290" i="1"/>
  <c r="A290" i="1"/>
  <c r="S176" i="1"/>
  <c r="R176" i="1"/>
  <c r="C176" i="1"/>
  <c r="A176" i="1"/>
  <c r="S276" i="1"/>
  <c r="R276" i="1"/>
  <c r="C276" i="1"/>
  <c r="A276" i="1"/>
  <c r="S54" i="1"/>
  <c r="R54" i="1"/>
  <c r="C54" i="1"/>
  <c r="A54" i="1"/>
  <c r="S13" i="1"/>
  <c r="R13" i="1"/>
  <c r="C13" i="1"/>
  <c r="A13" i="1"/>
  <c r="S175" i="1"/>
  <c r="R175" i="1"/>
  <c r="C175" i="1"/>
  <c r="A175" i="1"/>
  <c r="S306" i="1"/>
  <c r="R306" i="1"/>
  <c r="C306" i="1"/>
  <c r="A306" i="1"/>
  <c r="S263" i="1"/>
  <c r="R263" i="1"/>
  <c r="C263" i="1"/>
  <c r="A263" i="1"/>
  <c r="S231" i="1"/>
  <c r="R231" i="1"/>
  <c r="C231" i="1"/>
  <c r="A231" i="1"/>
  <c r="S284" i="1"/>
  <c r="R284" i="1"/>
  <c r="C284" i="1"/>
  <c r="A284" i="1"/>
  <c r="S302" i="1"/>
  <c r="R302" i="1"/>
  <c r="C302" i="1"/>
  <c r="A302" i="1"/>
  <c r="S143" i="1"/>
  <c r="R143" i="1"/>
  <c r="C143" i="1"/>
  <c r="A143" i="1"/>
  <c r="S5" i="1"/>
  <c r="R5" i="1"/>
  <c r="C5" i="1"/>
  <c r="A5" i="1"/>
  <c r="S24" i="1"/>
  <c r="R24" i="1"/>
  <c r="C24" i="1"/>
  <c r="A24" i="1"/>
  <c r="S142" i="1"/>
  <c r="R142" i="1"/>
  <c r="C142" i="1"/>
  <c r="A142" i="1"/>
  <c r="S23" i="1"/>
  <c r="R23" i="1"/>
  <c r="C23" i="1"/>
  <c r="A23" i="1"/>
  <c r="S230" i="1"/>
  <c r="R230" i="1"/>
  <c r="C230" i="1"/>
  <c r="A230" i="1"/>
  <c r="S203" i="1"/>
  <c r="R203" i="1"/>
  <c r="C203" i="1"/>
  <c r="A203" i="1"/>
  <c r="S296" i="1"/>
  <c r="R296" i="1"/>
  <c r="C296" i="1"/>
  <c r="A296" i="1"/>
  <c r="S202" i="1"/>
  <c r="R202" i="1"/>
  <c r="C202" i="1"/>
  <c r="A202" i="1"/>
  <c r="S262" i="1"/>
  <c r="R262" i="1"/>
  <c r="C262" i="1"/>
  <c r="A262" i="1"/>
  <c r="S94" i="1"/>
  <c r="R94" i="1"/>
  <c r="C94" i="1"/>
  <c r="A94" i="1"/>
  <c r="S275" i="1"/>
  <c r="R275" i="1"/>
  <c r="C275" i="1"/>
  <c r="A275" i="1"/>
  <c r="S314" i="1"/>
  <c r="R314" i="1"/>
  <c r="C314" i="1"/>
  <c r="A314" i="1"/>
  <c r="S250" i="1"/>
  <c r="R250" i="1"/>
  <c r="C250" i="1"/>
  <c r="A250" i="1"/>
  <c r="S312" i="1"/>
  <c r="R312" i="1"/>
  <c r="C312" i="1"/>
  <c r="A312" i="1"/>
  <c r="S53" i="1"/>
  <c r="R53" i="1"/>
  <c r="C53" i="1"/>
  <c r="A53" i="1"/>
  <c r="S52" i="1"/>
  <c r="R52" i="1"/>
  <c r="C52" i="1"/>
  <c r="A52" i="1"/>
  <c r="S16" i="1"/>
  <c r="R16" i="1"/>
  <c r="C16" i="1"/>
  <c r="A16" i="1"/>
  <c r="S315" i="1"/>
  <c r="R315" i="1"/>
  <c r="C315" i="1"/>
  <c r="A315" i="1"/>
  <c r="S15" i="1"/>
  <c r="R15" i="1"/>
  <c r="C15" i="1"/>
  <c r="A15" i="1"/>
  <c r="S301" i="1"/>
  <c r="R301" i="1"/>
  <c r="C301" i="1"/>
  <c r="A301" i="1"/>
  <c r="S289" i="1"/>
  <c r="R289" i="1"/>
  <c r="C289" i="1"/>
  <c r="A289" i="1"/>
  <c r="H178" i="3" l="1"/>
  <c r="H241" i="3"/>
  <c r="H39" i="3"/>
  <c r="H198" i="3"/>
  <c r="H261" i="3"/>
  <c r="H271" i="3"/>
  <c r="H281" i="3"/>
  <c r="H291" i="3"/>
  <c r="H301" i="3"/>
  <c r="H218" i="3"/>
  <c r="H57" i="3"/>
  <c r="H170" i="3"/>
  <c r="H252" i="3"/>
  <c r="H130" i="3"/>
  <c r="H134" i="3"/>
  <c r="H138" i="3"/>
  <c r="H272" i="3"/>
  <c r="H292" i="3"/>
  <c r="H40" i="3"/>
  <c r="H158" i="3"/>
  <c r="H238" i="3"/>
  <c r="H14" i="3"/>
  <c r="H171" i="3"/>
  <c r="H258" i="3"/>
  <c r="H278" i="3"/>
  <c r="H298" i="3"/>
  <c r="H77" i="3"/>
  <c r="H37" i="3"/>
  <c r="H49" i="3"/>
  <c r="H94" i="3"/>
  <c r="H99" i="3"/>
  <c r="H104" i="3"/>
  <c r="H109" i="3"/>
  <c r="H114" i="3"/>
  <c r="H119" i="3"/>
  <c r="H144" i="3"/>
  <c r="H159" i="3"/>
  <c r="H181" i="3"/>
  <c r="H186" i="3"/>
  <c r="H191" i="3"/>
  <c r="H200" i="3"/>
  <c r="H205" i="3"/>
  <c r="H210" i="3"/>
  <c r="H215" i="3"/>
  <c r="H220" i="3"/>
  <c r="H234" i="3"/>
  <c r="H239" i="3"/>
  <c r="H59" i="3"/>
  <c r="H172" i="3"/>
  <c r="H19" i="3"/>
  <c r="H29" i="3"/>
  <c r="H100" i="3"/>
  <c r="H105" i="3"/>
  <c r="H110" i="3"/>
  <c r="H120" i="3"/>
  <c r="H145" i="3"/>
  <c r="H150" i="3"/>
  <c r="H155" i="3"/>
  <c r="H160" i="3"/>
  <c r="H177" i="3"/>
  <c r="H211" i="3"/>
  <c r="H230" i="3"/>
  <c r="H235" i="3"/>
  <c r="H240" i="3"/>
  <c r="H34" i="3"/>
  <c r="H38" i="3"/>
  <c r="H50" i="3"/>
  <c r="H60" i="3"/>
  <c r="H70" i="3"/>
  <c r="H250" i="3"/>
  <c r="H255" i="3"/>
  <c r="H212" i="3"/>
  <c r="H20" i="3"/>
  <c r="H115" i="3"/>
  <c r="H85" i="3"/>
  <c r="H65" i="3"/>
  <c r="H245" i="3"/>
  <c r="H124" i="3"/>
  <c r="H24" i="3"/>
  <c r="H86" i="3"/>
  <c r="H6" i="3"/>
  <c r="H128" i="3"/>
  <c r="H132" i="3"/>
  <c r="H136" i="3"/>
  <c r="H187" i="3"/>
  <c r="H192" i="3"/>
  <c r="H201" i="3"/>
  <c r="H206" i="3"/>
  <c r="H216" i="3"/>
  <c r="H221" i="3"/>
  <c r="H11" i="3"/>
  <c r="H46" i="3"/>
  <c r="H226" i="3"/>
  <c r="G245" i="3"/>
  <c r="I245" i="3" s="1"/>
  <c r="G85" i="3"/>
  <c r="I85" i="3" s="1"/>
  <c r="G65" i="3"/>
  <c r="I65" i="3" s="1"/>
  <c r="H96" i="3"/>
  <c r="H106" i="3"/>
  <c r="H116" i="3"/>
  <c r="H146" i="3"/>
  <c r="H156" i="3"/>
  <c r="H161" i="3"/>
  <c r="H169" i="3"/>
  <c r="H173" i="3"/>
  <c r="H193" i="3"/>
  <c r="H207" i="3"/>
  <c r="G124" i="3"/>
  <c r="I124" i="3" s="1"/>
  <c r="G24" i="3"/>
  <c r="I24" i="3" s="1"/>
  <c r="H66" i="3"/>
  <c r="H246" i="3"/>
  <c r="H140" i="3"/>
  <c r="H266" i="3"/>
  <c r="H286" i="3"/>
  <c r="H306" i="3"/>
  <c r="H227" i="3"/>
  <c r="H17" i="3"/>
  <c r="H26" i="3"/>
  <c r="H31" i="3"/>
  <c r="H76" i="3"/>
  <c r="H80" i="3"/>
  <c r="H84" i="3"/>
  <c r="H88" i="3"/>
  <c r="H92" i="3"/>
  <c r="H97" i="3"/>
  <c r="H112" i="3"/>
  <c r="H117" i="3"/>
  <c r="H142" i="3"/>
  <c r="H147" i="3"/>
  <c r="H152" i="3"/>
  <c r="H157" i="3"/>
  <c r="H174" i="3"/>
  <c r="H179" i="3"/>
  <c r="H184" i="3"/>
  <c r="H189" i="3"/>
  <c r="H194" i="3"/>
  <c r="H203" i="3"/>
  <c r="H213" i="3"/>
  <c r="H223" i="3"/>
  <c r="H232" i="3"/>
  <c r="H237" i="3"/>
  <c r="H242" i="3"/>
  <c r="G20" i="3"/>
  <c r="I20" i="3" s="1"/>
  <c r="H166" i="3"/>
  <c r="H247" i="3"/>
  <c r="H126" i="3"/>
  <c r="H267" i="3"/>
  <c r="H287" i="3"/>
  <c r="H307" i="3"/>
  <c r="H197" i="3"/>
  <c r="H32" i="3"/>
  <c r="H93" i="3"/>
  <c r="H103" i="3"/>
  <c r="H108" i="3"/>
  <c r="H113" i="3"/>
  <c r="H143" i="3"/>
  <c r="H153" i="3"/>
  <c r="H180" i="3"/>
  <c r="H204" i="3"/>
  <c r="H209" i="3"/>
  <c r="H214" i="3"/>
  <c r="H219" i="3"/>
  <c r="H224" i="3"/>
  <c r="H233" i="3"/>
  <c r="H243" i="3"/>
  <c r="H53" i="3"/>
  <c r="H63" i="3"/>
  <c r="H68" i="3"/>
  <c r="H73" i="3"/>
  <c r="H253" i="3"/>
  <c r="G115" i="3"/>
  <c r="I115" i="3" s="1"/>
  <c r="H167" i="3"/>
  <c r="H123" i="3"/>
  <c r="H131" i="3"/>
  <c r="H135" i="3"/>
  <c r="H139" i="3"/>
  <c r="AD109" i="3"/>
  <c r="AE109" i="3" s="1"/>
  <c r="X109" i="3" s="1"/>
  <c r="W109" i="3" s="1"/>
  <c r="N109" i="3" s="1"/>
  <c r="AD215" i="3"/>
  <c r="AE215" i="3" s="1"/>
  <c r="X215" i="3" s="1"/>
  <c r="W215" i="3" s="1"/>
  <c r="N215" i="3" s="1"/>
  <c r="AD306" i="3"/>
  <c r="AE306" i="3" s="1"/>
  <c r="X306" i="3" s="1"/>
  <c r="W306" i="3" s="1"/>
  <c r="N306" i="3" s="1"/>
  <c r="AD91" i="3"/>
  <c r="AE91" i="3" s="1"/>
  <c r="X91" i="3" s="1"/>
  <c r="Y91" i="3" s="1"/>
  <c r="AD106" i="3"/>
  <c r="AE106" i="3" s="1"/>
  <c r="X106" i="3" s="1"/>
  <c r="Y106" i="3" s="1"/>
  <c r="AD111" i="3"/>
  <c r="AE111" i="3" s="1"/>
  <c r="X111" i="3" s="1"/>
  <c r="W111" i="3" s="1"/>
  <c r="N111" i="3" s="1"/>
  <c r="AD116" i="3"/>
  <c r="AE116" i="3" s="1"/>
  <c r="X116" i="3" s="1"/>
  <c r="W116" i="3" s="1"/>
  <c r="N116" i="3" s="1"/>
  <c r="AD222" i="3"/>
  <c r="AE222" i="3" s="1"/>
  <c r="X222" i="3" s="1"/>
  <c r="W222" i="3" s="1"/>
  <c r="N222" i="3" s="1"/>
  <c r="AD224" i="3"/>
  <c r="AE224" i="3" s="1"/>
  <c r="X224" i="3" s="1"/>
  <c r="Y224" i="3" s="1"/>
  <c r="T264" i="2"/>
  <c r="U264" i="2" s="1"/>
  <c r="N264" i="2" s="1"/>
  <c r="M264" i="2" s="1"/>
  <c r="K264" i="2" s="1"/>
  <c r="AD162" i="3"/>
  <c r="AE162" i="3" s="1"/>
  <c r="X162" i="3" s="1"/>
  <c r="Y162" i="3" s="1"/>
  <c r="AD232" i="3"/>
  <c r="AE232" i="3" s="1"/>
  <c r="X232" i="3" s="1"/>
  <c r="Y232" i="3" s="1"/>
  <c r="AD101" i="3"/>
  <c r="AE101" i="3" s="1"/>
  <c r="X101" i="3" s="1"/>
  <c r="W101" i="3" s="1"/>
  <c r="N101" i="3" s="1"/>
  <c r="AD237" i="3"/>
  <c r="AE237" i="3" s="1"/>
  <c r="X237" i="3" s="1"/>
  <c r="W237" i="3" s="1"/>
  <c r="N237" i="3" s="1"/>
  <c r="T27" i="2"/>
  <c r="U27" i="2" s="1"/>
  <c r="N27" i="2" s="1"/>
  <c r="T32" i="2"/>
  <c r="U32" i="2" s="1"/>
  <c r="N32" i="2" s="1"/>
  <c r="O32" i="2" s="1"/>
  <c r="T195" i="2"/>
  <c r="U195" i="2" s="1"/>
  <c r="N195" i="2" s="1"/>
  <c r="M195" i="2" s="1"/>
  <c r="K195" i="2" s="1"/>
  <c r="T209" i="2"/>
  <c r="U209" i="2" s="1"/>
  <c r="N209" i="2" s="1"/>
  <c r="AD231" i="3"/>
  <c r="AE231" i="3" s="1"/>
  <c r="X231" i="3" s="1"/>
  <c r="W231" i="3" s="1"/>
  <c r="N231" i="3" s="1"/>
  <c r="AD165" i="3"/>
  <c r="AE165" i="3" s="1"/>
  <c r="X165" i="3" s="1"/>
  <c r="Y165" i="3" s="1"/>
  <c r="AD169" i="3"/>
  <c r="AE169" i="3" s="1"/>
  <c r="X169" i="3" s="1"/>
  <c r="Y169" i="3" s="1"/>
  <c r="AD249" i="3"/>
  <c r="AE249" i="3" s="1"/>
  <c r="X249" i="3" s="1"/>
  <c r="W249" i="3" s="1"/>
  <c r="N249" i="3" s="1"/>
  <c r="AD9" i="3"/>
  <c r="AE9" i="3" s="1"/>
  <c r="X9" i="3" s="1"/>
  <c r="W9" i="3" s="1"/>
  <c r="N9" i="3" s="1"/>
  <c r="AD17" i="3"/>
  <c r="AE17" i="3" s="1"/>
  <c r="X17" i="3" s="1"/>
  <c r="Y17" i="3" s="1"/>
  <c r="AD57" i="3"/>
  <c r="AE57" i="3" s="1"/>
  <c r="X57" i="3" s="1"/>
  <c r="W57" i="3" s="1"/>
  <c r="N57" i="3" s="1"/>
  <c r="AD76" i="3"/>
  <c r="AE76" i="3" s="1"/>
  <c r="X76" i="3" s="1"/>
  <c r="Y76" i="3" s="1"/>
  <c r="AD80" i="3"/>
  <c r="AE80" i="3" s="1"/>
  <c r="X80" i="3" s="1"/>
  <c r="Y80" i="3" s="1"/>
  <c r="AD88" i="3"/>
  <c r="AE88" i="3" s="1"/>
  <c r="X88" i="3" s="1"/>
  <c r="Y88" i="3" s="1"/>
  <c r="AD245" i="3"/>
  <c r="AE245" i="3" s="1"/>
  <c r="X245" i="3" s="1"/>
  <c r="Y245" i="3" s="1"/>
  <c r="AD250" i="3"/>
  <c r="AE250" i="3" s="1"/>
  <c r="X250" i="3" s="1"/>
  <c r="W250" i="3" s="1"/>
  <c r="N250" i="3" s="1"/>
  <c r="AD295" i="3"/>
  <c r="AE295" i="3" s="1"/>
  <c r="X295" i="3" s="1"/>
  <c r="AD304" i="3"/>
  <c r="AE304" i="3" s="1"/>
  <c r="X304" i="3" s="1"/>
  <c r="AD309" i="3"/>
  <c r="AE309" i="3" s="1"/>
  <c r="X309" i="3" s="1"/>
  <c r="W309" i="3" s="1"/>
  <c r="N309" i="3" s="1"/>
  <c r="AD163" i="3"/>
  <c r="AE163" i="3" s="1"/>
  <c r="X163" i="3" s="1"/>
  <c r="Y163" i="3" s="1"/>
  <c r="AD254" i="3"/>
  <c r="AE254" i="3" s="1"/>
  <c r="X254" i="3" s="1"/>
  <c r="W254" i="3" s="1"/>
  <c r="N254" i="3" s="1"/>
  <c r="T39" i="2"/>
  <c r="U39" i="2" s="1"/>
  <c r="N39" i="2" s="1"/>
  <c r="O39" i="2" s="1"/>
  <c r="T43" i="2"/>
  <c r="U43" i="2" s="1"/>
  <c r="N43" i="2" s="1"/>
  <c r="O43" i="2" s="1"/>
  <c r="T61" i="2"/>
  <c r="U61" i="2" s="1"/>
  <c r="N61" i="2" s="1"/>
  <c r="M61" i="2" s="1"/>
  <c r="K61" i="2" s="1"/>
  <c r="AD293" i="3"/>
  <c r="AE293" i="3" s="1"/>
  <c r="X293" i="3" s="1"/>
  <c r="W293" i="3" s="1"/>
  <c r="N293" i="3" s="1"/>
  <c r="T280" i="2"/>
  <c r="U280" i="2" s="1"/>
  <c r="N280" i="2" s="1"/>
  <c r="O280" i="2" s="1"/>
  <c r="T285" i="2"/>
  <c r="U285" i="2" s="1"/>
  <c r="N285" i="2" s="1"/>
  <c r="M285" i="2" s="1"/>
  <c r="K285" i="2" s="1"/>
  <c r="T295" i="2"/>
  <c r="U295" i="2" s="1"/>
  <c r="N295" i="2" s="1"/>
  <c r="M295" i="2" s="1"/>
  <c r="K295" i="2" s="1"/>
  <c r="AD19" i="3"/>
  <c r="AE19" i="3" s="1"/>
  <c r="X19" i="3" s="1"/>
  <c r="Y19" i="3" s="1"/>
  <c r="AD305" i="3"/>
  <c r="AE305" i="3" s="1"/>
  <c r="X305" i="3" s="1"/>
  <c r="AD252" i="3"/>
  <c r="AE252" i="3" s="1"/>
  <c r="X252" i="3" s="1"/>
  <c r="W252" i="3" s="1"/>
  <c r="N252" i="3" s="1"/>
  <c r="AD8" i="3"/>
  <c r="AE8" i="3" s="1"/>
  <c r="X8" i="3" s="1"/>
  <c r="Y8" i="3" s="1"/>
  <c r="AD65" i="3"/>
  <c r="AE65" i="3" s="1"/>
  <c r="X65" i="3" s="1"/>
  <c r="W65" i="3" s="1"/>
  <c r="N65" i="3" s="1"/>
  <c r="AD283" i="3"/>
  <c r="AE283" i="3" s="1"/>
  <c r="X283" i="3" s="1"/>
  <c r="W283" i="3" s="1"/>
  <c r="N283" i="3" s="1"/>
  <c r="AD92" i="3"/>
  <c r="AE92" i="3" s="1"/>
  <c r="X92" i="3" s="1"/>
  <c r="AD97" i="3"/>
  <c r="AE97" i="3" s="1"/>
  <c r="X97" i="3" s="1"/>
  <c r="W97" i="3" s="1"/>
  <c r="N97" i="3" s="1"/>
  <c r="AD102" i="3"/>
  <c r="AE102" i="3" s="1"/>
  <c r="X102" i="3" s="1"/>
  <c r="AD107" i="3"/>
  <c r="AE107" i="3" s="1"/>
  <c r="X107" i="3" s="1"/>
  <c r="W107" i="3" s="1"/>
  <c r="N107" i="3" s="1"/>
  <c r="AD142" i="3"/>
  <c r="AE142" i="3" s="1"/>
  <c r="X142" i="3" s="1"/>
  <c r="W142" i="3" s="1"/>
  <c r="N142" i="3" s="1"/>
  <c r="AD179" i="3"/>
  <c r="AE179" i="3" s="1"/>
  <c r="X179" i="3" s="1"/>
  <c r="AD291" i="3"/>
  <c r="AE291" i="3" s="1"/>
  <c r="X291" i="3" s="1"/>
  <c r="W291" i="3" s="1"/>
  <c r="N291" i="3" s="1"/>
  <c r="AD115" i="3"/>
  <c r="AE115" i="3" s="1"/>
  <c r="X115" i="3" s="1"/>
  <c r="W115" i="3" s="1"/>
  <c r="N115" i="3" s="1"/>
  <c r="AD230" i="3"/>
  <c r="AE230" i="3" s="1"/>
  <c r="X230" i="3" s="1"/>
  <c r="W230" i="3" s="1"/>
  <c r="N230" i="3" s="1"/>
  <c r="AD243" i="3"/>
  <c r="AE243" i="3" s="1"/>
  <c r="X243" i="3" s="1"/>
  <c r="T35" i="2"/>
  <c r="U35" i="2" s="1"/>
  <c r="N35" i="2" s="1"/>
  <c r="O35" i="2" s="1"/>
  <c r="AD193" i="3"/>
  <c r="AE193" i="3" s="1"/>
  <c r="X193" i="3" s="1"/>
  <c r="W193" i="3" s="1"/>
  <c r="N193" i="3" s="1"/>
  <c r="AD239" i="3"/>
  <c r="AE239" i="3" s="1"/>
  <c r="X239" i="3" s="1"/>
  <c r="W239" i="3" s="1"/>
  <c r="N239" i="3" s="1"/>
  <c r="T52" i="2"/>
  <c r="U52" i="2" s="1"/>
  <c r="N52" i="2" s="1"/>
  <c r="T57" i="2"/>
  <c r="U57" i="2" s="1"/>
  <c r="N57" i="2" s="1"/>
  <c r="T62" i="2"/>
  <c r="U62" i="2" s="1"/>
  <c r="N62" i="2" s="1"/>
  <c r="O62" i="2" s="1"/>
  <c r="AD13" i="3"/>
  <c r="AE13" i="3" s="1"/>
  <c r="X13" i="3" s="1"/>
  <c r="W13" i="3" s="1"/>
  <c r="N13" i="3" s="1"/>
  <c r="AD125" i="3"/>
  <c r="AE125" i="3" s="1"/>
  <c r="X125" i="3" s="1"/>
  <c r="Y125" i="3" s="1"/>
  <c r="AD129" i="3"/>
  <c r="AE129" i="3" s="1"/>
  <c r="X129" i="3" s="1"/>
  <c r="Y129" i="3" s="1"/>
  <c r="AD132" i="3"/>
  <c r="AE132" i="3" s="1"/>
  <c r="X132" i="3" s="1"/>
  <c r="Y132" i="3" s="1"/>
  <c r="AD223" i="3"/>
  <c r="AE223" i="3" s="1"/>
  <c r="X223" i="3" s="1"/>
  <c r="Y223" i="3" s="1"/>
  <c r="AD122" i="3"/>
  <c r="AE122" i="3" s="1"/>
  <c r="X122" i="3" s="1"/>
  <c r="Y122" i="3" s="1"/>
  <c r="AD126" i="3"/>
  <c r="AE126" i="3" s="1"/>
  <c r="X126" i="3" s="1"/>
  <c r="Y126" i="3" s="1"/>
  <c r="AD298" i="3"/>
  <c r="AE298" i="3" s="1"/>
  <c r="X298" i="3" s="1"/>
  <c r="AD48" i="3"/>
  <c r="AE48" i="3" s="1"/>
  <c r="X48" i="3" s="1"/>
  <c r="Y48" i="3" s="1"/>
  <c r="AD113" i="3"/>
  <c r="AE113" i="3" s="1"/>
  <c r="X113" i="3" s="1"/>
  <c r="Y113" i="3" s="1"/>
  <c r="AD143" i="3"/>
  <c r="AE143" i="3" s="1"/>
  <c r="X143" i="3" s="1"/>
  <c r="Y143" i="3" s="1"/>
  <c r="AD175" i="3"/>
  <c r="AE175" i="3" s="1"/>
  <c r="X175" i="3" s="1"/>
  <c r="W175" i="3" s="1"/>
  <c r="N175" i="3" s="1"/>
  <c r="AD195" i="3"/>
  <c r="AE195" i="3" s="1"/>
  <c r="X195" i="3" s="1"/>
  <c r="AD209" i="3"/>
  <c r="AE209" i="3" s="1"/>
  <c r="X209" i="3" s="1"/>
  <c r="W209" i="3" s="1"/>
  <c r="N209" i="3" s="1"/>
  <c r="AD214" i="3"/>
  <c r="AE214" i="3" s="1"/>
  <c r="X214" i="3" s="1"/>
  <c r="W214" i="3" s="1"/>
  <c r="N214" i="3" s="1"/>
  <c r="AD18" i="3"/>
  <c r="AE18" i="3" s="1"/>
  <c r="X18" i="3" s="1"/>
  <c r="Y18" i="3" s="1"/>
  <c r="AD73" i="3"/>
  <c r="AE73" i="3" s="1"/>
  <c r="X73" i="3" s="1"/>
  <c r="Y73" i="3" s="1"/>
  <c r="AD85" i="3"/>
  <c r="AE85" i="3" s="1"/>
  <c r="X85" i="3" s="1"/>
  <c r="Y85" i="3" s="1"/>
  <c r="AD89" i="3"/>
  <c r="AE89" i="3" s="1"/>
  <c r="X89" i="3" s="1"/>
  <c r="Y89" i="3" s="1"/>
  <c r="AD256" i="3"/>
  <c r="AE256" i="3" s="1"/>
  <c r="X256" i="3" s="1"/>
  <c r="AD261" i="3"/>
  <c r="AE261" i="3" s="1"/>
  <c r="X261" i="3" s="1"/>
  <c r="AD266" i="3"/>
  <c r="AE266" i="3" s="1"/>
  <c r="X266" i="3" s="1"/>
  <c r="W266" i="3" s="1"/>
  <c r="N266" i="3" s="1"/>
  <c r="AD139" i="3"/>
  <c r="AE139" i="3" s="1"/>
  <c r="X139" i="3" s="1"/>
  <c r="Y139" i="3" s="1"/>
  <c r="AD66" i="3"/>
  <c r="AE66" i="3" s="1"/>
  <c r="X66" i="3" s="1"/>
  <c r="W66" i="3" s="1"/>
  <c r="N66" i="3" s="1"/>
  <c r="T262" i="2"/>
  <c r="U262" i="2" s="1"/>
  <c r="N262" i="2" s="1"/>
  <c r="AD47" i="3"/>
  <c r="AE47" i="3" s="1"/>
  <c r="X47" i="3" s="1"/>
  <c r="Y47" i="3" s="1"/>
  <c r="AD141" i="3"/>
  <c r="AE141" i="3" s="1"/>
  <c r="X141" i="3" s="1"/>
  <c r="W141" i="3" s="1"/>
  <c r="N141" i="3" s="1"/>
  <c r="AD151" i="3"/>
  <c r="AE151" i="3" s="1"/>
  <c r="X151" i="3" s="1"/>
  <c r="W151" i="3" s="1"/>
  <c r="N151" i="3" s="1"/>
  <c r="AD156" i="3"/>
  <c r="AE156" i="3" s="1"/>
  <c r="X156" i="3" s="1"/>
  <c r="W156" i="3" s="1"/>
  <c r="N156" i="3" s="1"/>
  <c r="AD173" i="3"/>
  <c r="AE173" i="3" s="1"/>
  <c r="X173" i="3" s="1"/>
  <c r="W173" i="3" s="1"/>
  <c r="N173" i="3" s="1"/>
  <c r="AD183" i="3"/>
  <c r="AE183" i="3" s="1"/>
  <c r="X183" i="3" s="1"/>
  <c r="W183" i="3" s="1"/>
  <c r="N183" i="3" s="1"/>
  <c r="AD202" i="3"/>
  <c r="AE202" i="3" s="1"/>
  <c r="X202" i="3" s="1"/>
  <c r="W202" i="3" s="1"/>
  <c r="N202" i="3" s="1"/>
  <c r="AD233" i="3"/>
  <c r="AE233" i="3" s="1"/>
  <c r="X233" i="3" s="1"/>
  <c r="AD238" i="3"/>
  <c r="AE238" i="3" s="1"/>
  <c r="X238" i="3" s="1"/>
  <c r="W238" i="3" s="1"/>
  <c r="N238" i="3" s="1"/>
  <c r="AD226" i="3"/>
  <c r="AE226" i="3" s="1"/>
  <c r="X226" i="3" s="1"/>
  <c r="Y226" i="3" s="1"/>
  <c r="T293" i="2"/>
  <c r="U293" i="2" s="1"/>
  <c r="N293" i="2" s="1"/>
  <c r="T298" i="2"/>
  <c r="U298" i="2" s="1"/>
  <c r="N298" i="2" s="1"/>
  <c r="M298" i="2" s="1"/>
  <c r="K298" i="2" s="1"/>
  <c r="T303" i="2"/>
  <c r="U303" i="2" s="1"/>
  <c r="N303" i="2" s="1"/>
  <c r="T308" i="2"/>
  <c r="U308" i="2" s="1"/>
  <c r="N308" i="2" s="1"/>
  <c r="AD117" i="3"/>
  <c r="AE117" i="3" s="1"/>
  <c r="X117" i="3" s="1"/>
  <c r="W117" i="3" s="1"/>
  <c r="N117" i="3" s="1"/>
  <c r="AD133" i="3"/>
  <c r="AE133" i="3" s="1"/>
  <c r="X133" i="3" s="1"/>
  <c r="Y133" i="3" s="1"/>
  <c r="AD198" i="3"/>
  <c r="AE198" i="3" s="1"/>
  <c r="X198" i="3" s="1"/>
  <c r="Y198" i="3" s="1"/>
  <c r="T205" i="2"/>
  <c r="U205" i="2" s="1"/>
  <c r="N205" i="2" s="1"/>
  <c r="AD53" i="3"/>
  <c r="AE53" i="3" s="1"/>
  <c r="X53" i="3" s="1"/>
  <c r="W53" i="3" s="1"/>
  <c r="N53" i="3" s="1"/>
  <c r="AD98" i="3"/>
  <c r="AE98" i="3" s="1"/>
  <c r="X98" i="3" s="1"/>
  <c r="Y98" i="3" s="1"/>
  <c r="AD152" i="3"/>
  <c r="AE152" i="3" s="1"/>
  <c r="X152" i="3" s="1"/>
  <c r="W152" i="3" s="1"/>
  <c r="N152" i="3" s="1"/>
  <c r="AD157" i="3"/>
  <c r="AE157" i="3" s="1"/>
  <c r="X157" i="3" s="1"/>
  <c r="Y157" i="3" s="1"/>
  <c r="AD259" i="3"/>
  <c r="AE259" i="3" s="1"/>
  <c r="X259" i="3" s="1"/>
  <c r="AD264" i="3"/>
  <c r="AE264" i="3" s="1"/>
  <c r="X264" i="3" s="1"/>
  <c r="AD227" i="3"/>
  <c r="AE227" i="3" s="1"/>
  <c r="X227" i="3" s="1"/>
  <c r="Y227" i="3" s="1"/>
  <c r="AD307" i="3"/>
  <c r="AE307" i="3" s="1"/>
  <c r="X307" i="3" s="1"/>
  <c r="AD302" i="3"/>
  <c r="AE302" i="3" s="1"/>
  <c r="X302" i="3" s="1"/>
  <c r="W302" i="3" s="1"/>
  <c r="N302" i="3" s="1"/>
  <c r="AD240" i="3"/>
  <c r="AE240" i="3" s="1"/>
  <c r="X240" i="3" s="1"/>
  <c r="Y240" i="3" s="1"/>
  <c r="T24" i="2"/>
  <c r="U24" i="2" s="1"/>
  <c r="N24" i="2" s="1"/>
  <c r="O24" i="2" s="1"/>
  <c r="T115" i="2"/>
  <c r="U115" i="2" s="1"/>
  <c r="N115" i="2" s="1"/>
  <c r="T128" i="2"/>
  <c r="U128" i="2" s="1"/>
  <c r="N128" i="2" s="1"/>
  <c r="O128" i="2" s="1"/>
  <c r="AD33" i="3"/>
  <c r="AE33" i="3" s="1"/>
  <c r="X33" i="3" s="1"/>
  <c r="Y33" i="3" s="1"/>
  <c r="AD153" i="3"/>
  <c r="AE153" i="3" s="1"/>
  <c r="X153" i="3" s="1"/>
  <c r="W153" i="3" s="1"/>
  <c r="N153" i="3" s="1"/>
  <c r="AD260" i="3"/>
  <c r="AE260" i="3" s="1"/>
  <c r="X260" i="3" s="1"/>
  <c r="W260" i="3" s="1"/>
  <c r="N260" i="3" s="1"/>
  <c r="T55" i="2"/>
  <c r="U55" i="2" s="1"/>
  <c r="N55" i="2" s="1"/>
  <c r="M55" i="2" s="1"/>
  <c r="K55" i="2" s="1"/>
  <c r="T79" i="2"/>
  <c r="U79" i="2" s="1"/>
  <c r="N79" i="2" s="1"/>
  <c r="O79" i="2" s="1"/>
  <c r="AD82" i="3"/>
  <c r="AE82" i="3" s="1"/>
  <c r="X82" i="3" s="1"/>
  <c r="Y82" i="3" s="1"/>
  <c r="AD86" i="3"/>
  <c r="AE86" i="3" s="1"/>
  <c r="X86" i="3" s="1"/>
  <c r="Y86" i="3" s="1"/>
  <c r="AD144" i="3"/>
  <c r="AE144" i="3" s="1"/>
  <c r="X144" i="3" s="1"/>
  <c r="W144" i="3" s="1"/>
  <c r="N144" i="3" s="1"/>
  <c r="AD149" i="3"/>
  <c r="AE149" i="3" s="1"/>
  <c r="X149" i="3" s="1"/>
  <c r="W149" i="3" s="1"/>
  <c r="N149" i="3" s="1"/>
  <c r="AD159" i="3"/>
  <c r="AE159" i="3" s="1"/>
  <c r="X159" i="3" s="1"/>
  <c r="W159" i="3" s="1"/>
  <c r="N159" i="3" s="1"/>
  <c r="AD191" i="3"/>
  <c r="AE191" i="3" s="1"/>
  <c r="X191" i="3" s="1"/>
  <c r="T236" i="2"/>
  <c r="U236" i="2" s="1"/>
  <c r="N236" i="2" s="1"/>
  <c r="M236" i="2" s="1"/>
  <c r="K236" i="2" s="1"/>
  <c r="AD60" i="3"/>
  <c r="AE60" i="3" s="1"/>
  <c r="X60" i="3" s="1"/>
  <c r="W60" i="3" s="1"/>
  <c r="N60" i="3" s="1"/>
  <c r="AD100" i="3"/>
  <c r="AE100" i="3" s="1"/>
  <c r="X100" i="3" s="1"/>
  <c r="Y100" i="3" s="1"/>
  <c r="AD12" i="3"/>
  <c r="AE12" i="3" s="1"/>
  <c r="X12" i="3" s="1"/>
  <c r="AD46" i="3"/>
  <c r="AE46" i="3" s="1"/>
  <c r="X46" i="3" s="1"/>
  <c r="Y46" i="3" s="1"/>
  <c r="AD16" i="3"/>
  <c r="AE16" i="3" s="1"/>
  <c r="X16" i="3" s="1"/>
  <c r="Y16" i="3" s="1"/>
  <c r="AD25" i="3"/>
  <c r="AE25" i="3" s="1"/>
  <c r="X25" i="3" s="1"/>
  <c r="W25" i="3" s="1"/>
  <c r="N25" i="3" s="1"/>
  <c r="AD30" i="3"/>
  <c r="AE30" i="3" s="1"/>
  <c r="X30" i="3" s="1"/>
  <c r="Y30" i="3" s="1"/>
  <c r="AD145" i="3"/>
  <c r="AE145" i="3" s="1"/>
  <c r="X145" i="3" s="1"/>
  <c r="W145" i="3" s="1"/>
  <c r="N145" i="3" s="1"/>
  <c r="AD150" i="3"/>
  <c r="AE150" i="3" s="1"/>
  <c r="X150" i="3" s="1"/>
  <c r="W150" i="3" s="1"/>
  <c r="N150" i="3" s="1"/>
  <c r="AD160" i="3"/>
  <c r="AE160" i="3" s="1"/>
  <c r="X160" i="3" s="1"/>
  <c r="W160" i="3" s="1"/>
  <c r="N160" i="3" s="1"/>
  <c r="AD172" i="3"/>
  <c r="AE172" i="3" s="1"/>
  <c r="X172" i="3" s="1"/>
  <c r="Y172" i="3" s="1"/>
  <c r="AD187" i="3"/>
  <c r="AE187" i="3" s="1"/>
  <c r="X187" i="3" s="1"/>
  <c r="W187" i="3" s="1"/>
  <c r="N187" i="3" s="1"/>
  <c r="AD206" i="3"/>
  <c r="AE206" i="3" s="1"/>
  <c r="X206" i="3" s="1"/>
  <c r="W206" i="3" s="1"/>
  <c r="N206" i="3" s="1"/>
  <c r="AD211" i="3"/>
  <c r="AE211" i="3" s="1"/>
  <c r="X211" i="3" s="1"/>
  <c r="W211" i="3" s="1"/>
  <c r="N211" i="3" s="1"/>
  <c r="AD225" i="3"/>
  <c r="AE225" i="3" s="1"/>
  <c r="X225" i="3" s="1"/>
  <c r="Y225" i="3" s="1"/>
  <c r="T26" i="2"/>
  <c r="U26" i="2" s="1"/>
  <c r="N26" i="2" s="1"/>
  <c r="AD281" i="3"/>
  <c r="AE281" i="3" s="1"/>
  <c r="X281" i="3" s="1"/>
  <c r="W281" i="3" s="1"/>
  <c r="N281" i="3" s="1"/>
  <c r="T8" i="2"/>
  <c r="U8" i="2" s="1"/>
  <c r="N8" i="2" s="1"/>
  <c r="T267" i="2"/>
  <c r="U267" i="2" s="1"/>
  <c r="N267" i="2" s="1"/>
  <c r="O267" i="2" s="1"/>
  <c r="T277" i="2"/>
  <c r="U277" i="2" s="1"/>
  <c r="N277" i="2" s="1"/>
  <c r="M277" i="2" s="1"/>
  <c r="K277" i="2" s="1"/>
  <c r="AD51" i="3"/>
  <c r="AE51" i="3" s="1"/>
  <c r="X51" i="3" s="1"/>
  <c r="AD56" i="3"/>
  <c r="AE56" i="3" s="1"/>
  <c r="X56" i="3" s="1"/>
  <c r="Y56" i="3" s="1"/>
  <c r="AD75" i="3"/>
  <c r="AE75" i="3" s="1"/>
  <c r="X75" i="3" s="1"/>
  <c r="Y75" i="3" s="1"/>
  <c r="AD95" i="3"/>
  <c r="AE95" i="3" s="1"/>
  <c r="X95" i="3" s="1"/>
  <c r="W95" i="3" s="1"/>
  <c r="N95" i="3" s="1"/>
  <c r="AD105" i="3"/>
  <c r="AE105" i="3" s="1"/>
  <c r="X105" i="3" s="1"/>
  <c r="W105" i="3" s="1"/>
  <c r="N105" i="3" s="1"/>
  <c r="AD119" i="3"/>
  <c r="AE119" i="3" s="1"/>
  <c r="X119" i="3" s="1"/>
  <c r="W119" i="3" s="1"/>
  <c r="N119" i="3" s="1"/>
  <c r="AD127" i="3"/>
  <c r="AE127" i="3" s="1"/>
  <c r="X127" i="3" s="1"/>
  <c r="Y127" i="3" s="1"/>
  <c r="AD148" i="3"/>
  <c r="AE148" i="3" s="1"/>
  <c r="X148" i="3" s="1"/>
  <c r="W148" i="3" s="1"/>
  <c r="N148" i="3" s="1"/>
  <c r="AD170" i="3"/>
  <c r="AE170" i="3" s="1"/>
  <c r="X170" i="3" s="1"/>
  <c r="Y170" i="3" s="1"/>
  <c r="AD208" i="3"/>
  <c r="AE208" i="3" s="1"/>
  <c r="X208" i="3" s="1"/>
  <c r="AD213" i="3"/>
  <c r="AE213" i="3" s="1"/>
  <c r="X213" i="3" s="1"/>
  <c r="W213" i="3" s="1"/>
  <c r="N213" i="3" s="1"/>
  <c r="AD234" i="3"/>
  <c r="AE234" i="3" s="1"/>
  <c r="X234" i="3" s="1"/>
  <c r="W234" i="3" s="1"/>
  <c r="N234" i="3" s="1"/>
  <c r="AD5" i="3"/>
  <c r="AE5" i="3" s="1"/>
  <c r="X5" i="3" s="1"/>
  <c r="Y5" i="3" s="1"/>
  <c r="AD21" i="3"/>
  <c r="AE21" i="3" s="1"/>
  <c r="X21" i="3" s="1"/>
  <c r="W21" i="3" s="1"/>
  <c r="N21" i="3" s="1"/>
  <c r="AD26" i="3"/>
  <c r="AE26" i="3" s="1"/>
  <c r="X26" i="3" s="1"/>
  <c r="W26" i="3" s="1"/>
  <c r="N26" i="3" s="1"/>
  <c r="AD31" i="3"/>
  <c r="AE31" i="3" s="1"/>
  <c r="X31" i="3" s="1"/>
  <c r="W31" i="3" s="1"/>
  <c r="N31" i="3" s="1"/>
  <c r="AD61" i="3"/>
  <c r="AE61" i="3" s="1"/>
  <c r="X61" i="3" s="1"/>
  <c r="W61" i="3" s="1"/>
  <c r="N61" i="3" s="1"/>
  <c r="AD71" i="3"/>
  <c r="AE71" i="3" s="1"/>
  <c r="X71" i="3" s="1"/>
  <c r="W71" i="3" s="1"/>
  <c r="N71" i="3" s="1"/>
  <c r="AD110" i="3"/>
  <c r="AE110" i="3" s="1"/>
  <c r="X110" i="3" s="1"/>
  <c r="W110" i="3" s="1"/>
  <c r="N110" i="3" s="1"/>
  <c r="AD135" i="3"/>
  <c r="AE135" i="3" s="1"/>
  <c r="X135" i="3" s="1"/>
  <c r="Y135" i="3" s="1"/>
  <c r="AD218" i="3"/>
  <c r="AE218" i="3" s="1"/>
  <c r="X218" i="3" s="1"/>
  <c r="Y218" i="3" s="1"/>
  <c r="AD268" i="3"/>
  <c r="AE268" i="3" s="1"/>
  <c r="X268" i="3" s="1"/>
  <c r="W268" i="3" s="1"/>
  <c r="N268" i="3" s="1"/>
  <c r="AD287" i="3"/>
  <c r="AE287" i="3" s="1"/>
  <c r="X287" i="3" s="1"/>
  <c r="AD87" i="3"/>
  <c r="AE87" i="3" s="1"/>
  <c r="X87" i="3" s="1"/>
  <c r="Y87" i="3" s="1"/>
  <c r="AD180" i="3"/>
  <c r="AE180" i="3" s="1"/>
  <c r="X180" i="3" s="1"/>
  <c r="W180" i="3" s="1"/>
  <c r="N180" i="3" s="1"/>
  <c r="AD22" i="3"/>
  <c r="AE22" i="3" s="1"/>
  <c r="X22" i="3" s="1"/>
  <c r="W22" i="3" s="1"/>
  <c r="N22" i="3" s="1"/>
  <c r="AD120" i="3"/>
  <c r="AE120" i="3" s="1"/>
  <c r="X120" i="3" s="1"/>
  <c r="Y120" i="3" s="1"/>
  <c r="AD235" i="3"/>
  <c r="AE235" i="3" s="1"/>
  <c r="X235" i="3" s="1"/>
  <c r="W235" i="3" s="1"/>
  <c r="N235" i="3" s="1"/>
  <c r="AD274" i="3"/>
  <c r="AE274" i="3" s="1"/>
  <c r="X274" i="3" s="1"/>
  <c r="W274" i="3" s="1"/>
  <c r="N274" i="3" s="1"/>
  <c r="AD288" i="3"/>
  <c r="AE288" i="3" s="1"/>
  <c r="X288" i="3" s="1"/>
  <c r="T210" i="2"/>
  <c r="U210" i="2" s="1"/>
  <c r="N210" i="2" s="1"/>
  <c r="M210" i="2" s="1"/>
  <c r="K210" i="2" s="1"/>
  <c r="AD36" i="3"/>
  <c r="AE36" i="3" s="1"/>
  <c r="X36" i="3" s="1"/>
  <c r="Y36" i="3" s="1"/>
  <c r="AD136" i="3"/>
  <c r="AE136" i="3" s="1"/>
  <c r="X136" i="3" s="1"/>
  <c r="Y136" i="3" s="1"/>
  <c r="AD84" i="3"/>
  <c r="AE84" i="3" s="1"/>
  <c r="X84" i="3" s="1"/>
  <c r="Y84" i="3" s="1"/>
  <c r="AD205" i="3"/>
  <c r="AE205" i="3" s="1"/>
  <c r="X205" i="3" s="1"/>
  <c r="W205" i="3" s="1"/>
  <c r="N205" i="3" s="1"/>
  <c r="AD23" i="3"/>
  <c r="AE23" i="3" s="1"/>
  <c r="X23" i="3" s="1"/>
  <c r="W23" i="3" s="1"/>
  <c r="N23" i="3" s="1"/>
  <c r="AD58" i="3"/>
  <c r="AE58" i="3" s="1"/>
  <c r="X58" i="3" s="1"/>
  <c r="W58" i="3" s="1"/>
  <c r="N58" i="3" s="1"/>
  <c r="AD63" i="3"/>
  <c r="AE63" i="3" s="1"/>
  <c r="X63" i="3" s="1"/>
  <c r="W63" i="3" s="1"/>
  <c r="N63" i="3" s="1"/>
  <c r="AD155" i="3"/>
  <c r="AE155" i="3" s="1"/>
  <c r="X155" i="3" s="1"/>
  <c r="W155" i="3" s="1"/>
  <c r="N155" i="3" s="1"/>
  <c r="AD164" i="3"/>
  <c r="AE164" i="3" s="1"/>
  <c r="X164" i="3" s="1"/>
  <c r="Y164" i="3" s="1"/>
  <c r="AD210" i="3"/>
  <c r="AE210" i="3" s="1"/>
  <c r="X210" i="3" s="1"/>
  <c r="W210" i="3" s="1"/>
  <c r="N210" i="3" s="1"/>
  <c r="AD220" i="3"/>
  <c r="AE220" i="3" s="1"/>
  <c r="X220" i="3" s="1"/>
  <c r="AD241" i="3"/>
  <c r="AE241" i="3" s="1"/>
  <c r="X241" i="3" s="1"/>
  <c r="AD270" i="3"/>
  <c r="AE270" i="3" s="1"/>
  <c r="X270" i="3" s="1"/>
  <c r="Y270" i="3" s="1"/>
  <c r="AD275" i="3"/>
  <c r="AE275" i="3" s="1"/>
  <c r="X275" i="3" s="1"/>
  <c r="W275" i="3" s="1"/>
  <c r="N275" i="3" s="1"/>
  <c r="AD280" i="3"/>
  <c r="AE280" i="3" s="1"/>
  <c r="X280" i="3" s="1"/>
  <c r="T250" i="2"/>
  <c r="U250" i="2" s="1"/>
  <c r="N250" i="2" s="1"/>
  <c r="M250" i="2" s="1"/>
  <c r="K250" i="2" s="1"/>
  <c r="T260" i="2"/>
  <c r="U260" i="2" s="1"/>
  <c r="N260" i="2" s="1"/>
  <c r="M260" i="2" s="1"/>
  <c r="K260" i="2" s="1"/>
  <c r="AD11" i="3"/>
  <c r="AE11" i="3" s="1"/>
  <c r="X11" i="3" s="1"/>
  <c r="Y11" i="3" s="1"/>
  <c r="AD37" i="3"/>
  <c r="AE37" i="3" s="1"/>
  <c r="X37" i="3" s="1"/>
  <c r="Y37" i="3" s="1"/>
  <c r="AD77" i="3"/>
  <c r="AE77" i="3" s="1"/>
  <c r="X77" i="3" s="1"/>
  <c r="Y77" i="3" s="1"/>
  <c r="AD137" i="3"/>
  <c r="AE137" i="3" s="1"/>
  <c r="X137" i="3" s="1"/>
  <c r="Y137" i="3" s="1"/>
  <c r="AD201" i="3"/>
  <c r="AE201" i="3" s="1"/>
  <c r="X201" i="3" s="1"/>
  <c r="W201" i="3" s="1"/>
  <c r="N201" i="3" s="1"/>
  <c r="AD229" i="3"/>
  <c r="AE229" i="3" s="1"/>
  <c r="X229" i="3" s="1"/>
  <c r="Y229" i="3" s="1"/>
  <c r="AD246" i="3"/>
  <c r="AE246" i="3" s="1"/>
  <c r="X246" i="3" s="1"/>
  <c r="Y246" i="3" s="1"/>
  <c r="AD15" i="3"/>
  <c r="AE15" i="3" s="1"/>
  <c r="X15" i="3" s="1"/>
  <c r="Y15" i="3" s="1"/>
  <c r="AD54" i="3"/>
  <c r="AE54" i="3" s="1"/>
  <c r="X54" i="3" s="1"/>
  <c r="Y54" i="3" s="1"/>
  <c r="AD69" i="3"/>
  <c r="AE69" i="3" s="1"/>
  <c r="X69" i="3" s="1"/>
  <c r="W69" i="3" s="1"/>
  <c r="N69" i="3" s="1"/>
  <c r="AD93" i="3"/>
  <c r="AE93" i="3" s="1"/>
  <c r="X93" i="3" s="1"/>
  <c r="W93" i="3" s="1"/>
  <c r="N93" i="3" s="1"/>
  <c r="AD103" i="3"/>
  <c r="AE103" i="3" s="1"/>
  <c r="X103" i="3" s="1"/>
  <c r="W103" i="3" s="1"/>
  <c r="N103" i="3" s="1"/>
  <c r="AD108" i="3"/>
  <c r="AE108" i="3" s="1"/>
  <c r="X108" i="3" s="1"/>
  <c r="W108" i="3" s="1"/>
  <c r="N108" i="3" s="1"/>
  <c r="AD161" i="3"/>
  <c r="AE161" i="3" s="1"/>
  <c r="X161" i="3" s="1"/>
  <c r="Y161" i="3" s="1"/>
  <c r="AD242" i="3"/>
  <c r="AE242" i="3" s="1"/>
  <c r="X242" i="3" s="1"/>
  <c r="W242" i="3" s="1"/>
  <c r="N242" i="3" s="1"/>
  <c r="AD271" i="3"/>
  <c r="AE271" i="3" s="1"/>
  <c r="X271" i="3" s="1"/>
  <c r="AD285" i="3"/>
  <c r="AE285" i="3" s="1"/>
  <c r="X285" i="3" s="1"/>
  <c r="AD74" i="3"/>
  <c r="AE74" i="3" s="1"/>
  <c r="X74" i="3" s="1"/>
  <c r="Y74" i="3" s="1"/>
  <c r="AD130" i="3"/>
  <c r="AE130" i="3" s="1"/>
  <c r="X130" i="3" s="1"/>
  <c r="Y130" i="3" s="1"/>
  <c r="AD247" i="3"/>
  <c r="AE247" i="3" s="1"/>
  <c r="X247" i="3" s="1"/>
  <c r="W247" i="3" s="1"/>
  <c r="N247" i="3" s="1"/>
  <c r="T261" i="2"/>
  <c r="U261" i="2" s="1"/>
  <c r="N261" i="2" s="1"/>
  <c r="O261" i="2" s="1"/>
  <c r="T271" i="2"/>
  <c r="U271" i="2" s="1"/>
  <c r="N271" i="2" s="1"/>
  <c r="M271" i="2" s="1"/>
  <c r="K271" i="2" s="1"/>
  <c r="AD34" i="3"/>
  <c r="AE34" i="3" s="1"/>
  <c r="X34" i="3" s="1"/>
  <c r="Y34" i="3" s="1"/>
  <c r="AD38" i="3"/>
  <c r="AE38" i="3" s="1"/>
  <c r="X38" i="3" s="1"/>
  <c r="Y38" i="3" s="1"/>
  <c r="AD78" i="3"/>
  <c r="AE78" i="3" s="1"/>
  <c r="X78" i="3" s="1"/>
  <c r="Y78" i="3" s="1"/>
  <c r="AD99" i="3"/>
  <c r="AE99" i="3" s="1"/>
  <c r="X99" i="3" s="1"/>
  <c r="W99" i="3" s="1"/>
  <c r="N99" i="3" s="1"/>
  <c r="AD104" i="3"/>
  <c r="AE104" i="3" s="1"/>
  <c r="X104" i="3" s="1"/>
  <c r="Y104" i="3" s="1"/>
  <c r="AD138" i="3"/>
  <c r="AE138" i="3" s="1"/>
  <c r="X138" i="3" s="1"/>
  <c r="Y138" i="3" s="1"/>
  <c r="AD147" i="3"/>
  <c r="AE147" i="3" s="1"/>
  <c r="X147" i="3" s="1"/>
  <c r="W147" i="3" s="1"/>
  <c r="N147" i="3" s="1"/>
  <c r="AD257" i="3"/>
  <c r="AE257" i="3" s="1"/>
  <c r="X257" i="3" s="1"/>
  <c r="Y257" i="3" s="1"/>
  <c r="AD262" i="3"/>
  <c r="AE262" i="3" s="1"/>
  <c r="X262" i="3" s="1"/>
  <c r="T143" i="2"/>
  <c r="U143" i="2" s="1"/>
  <c r="N143" i="2" s="1"/>
  <c r="M143" i="2" s="1"/>
  <c r="K143" i="2" s="1"/>
  <c r="T148" i="2"/>
  <c r="U148" i="2" s="1"/>
  <c r="N148" i="2" s="1"/>
  <c r="T153" i="2"/>
  <c r="U153" i="2" s="1"/>
  <c r="N153" i="2" s="1"/>
  <c r="M153" i="2" s="1"/>
  <c r="K153" i="2" s="1"/>
  <c r="T163" i="2"/>
  <c r="U163" i="2" s="1"/>
  <c r="N163" i="2" s="1"/>
  <c r="O163" i="2" s="1"/>
  <c r="T167" i="2"/>
  <c r="U167" i="2" s="1"/>
  <c r="N167" i="2" s="1"/>
  <c r="O167" i="2" s="1"/>
  <c r="AD32" i="3"/>
  <c r="AE32" i="3" s="1"/>
  <c r="X32" i="3" s="1"/>
  <c r="W32" i="3" s="1"/>
  <c r="N32" i="3" s="1"/>
  <c r="AD39" i="3"/>
  <c r="AE39" i="3" s="1"/>
  <c r="X39" i="3" s="1"/>
  <c r="Y39" i="3" s="1"/>
  <c r="AD64" i="3"/>
  <c r="AE64" i="3" s="1"/>
  <c r="X64" i="3" s="1"/>
  <c r="W64" i="3" s="1"/>
  <c r="N64" i="3" s="1"/>
  <c r="AD131" i="3"/>
  <c r="AE131" i="3" s="1"/>
  <c r="X131" i="3" s="1"/>
  <c r="Y131" i="3" s="1"/>
  <c r="AD146" i="3"/>
  <c r="AE146" i="3" s="1"/>
  <c r="X146" i="3" s="1"/>
  <c r="W146" i="3" s="1"/>
  <c r="N146" i="3" s="1"/>
  <c r="AD166" i="3"/>
  <c r="AE166" i="3" s="1"/>
  <c r="X166" i="3" s="1"/>
  <c r="Y166" i="3" s="1"/>
  <c r="AD178" i="3"/>
  <c r="AE178" i="3" s="1"/>
  <c r="X178" i="3" s="1"/>
  <c r="W178" i="3" s="1"/>
  <c r="N178" i="3" s="1"/>
  <c r="AD197" i="3"/>
  <c r="AE197" i="3" s="1"/>
  <c r="X197" i="3" s="1"/>
  <c r="Y197" i="3" s="1"/>
  <c r="AD219" i="3"/>
  <c r="AE219" i="3" s="1"/>
  <c r="X219" i="3" s="1"/>
  <c r="AD300" i="3"/>
  <c r="AE300" i="3" s="1"/>
  <c r="X300" i="3" s="1"/>
  <c r="W300" i="3" s="1"/>
  <c r="N300" i="3" s="1"/>
  <c r="AD28" i="3"/>
  <c r="AE28" i="3" s="1"/>
  <c r="X28" i="3" s="1"/>
  <c r="W28" i="3" s="1"/>
  <c r="N28" i="3" s="1"/>
  <c r="AD43" i="3"/>
  <c r="AE43" i="3" s="1"/>
  <c r="X43" i="3" s="1"/>
  <c r="Y43" i="3" s="1"/>
  <c r="AD112" i="3"/>
  <c r="AE112" i="3" s="1"/>
  <c r="X112" i="3" s="1"/>
  <c r="W112" i="3" s="1"/>
  <c r="N112" i="3" s="1"/>
  <c r="AD124" i="3"/>
  <c r="AE124" i="3" s="1"/>
  <c r="X124" i="3" s="1"/>
  <c r="Y124" i="3" s="1"/>
  <c r="AD188" i="3"/>
  <c r="AE188" i="3" s="1"/>
  <c r="X188" i="3" s="1"/>
  <c r="W188" i="3" s="1"/>
  <c r="N188" i="3" s="1"/>
  <c r="AD244" i="3"/>
  <c r="AE244" i="3" s="1"/>
  <c r="X244" i="3" s="1"/>
  <c r="W244" i="3" s="1"/>
  <c r="N244" i="3" s="1"/>
  <c r="AD297" i="3"/>
  <c r="AE297" i="3" s="1"/>
  <c r="X297" i="3" s="1"/>
  <c r="W297" i="3" s="1"/>
  <c r="N297" i="3" s="1"/>
  <c r="T15" i="2"/>
  <c r="U15" i="2" s="1"/>
  <c r="N15" i="2" s="1"/>
  <c r="O15" i="2" s="1"/>
  <c r="T82" i="2"/>
  <c r="U82" i="2" s="1"/>
  <c r="N82" i="2" s="1"/>
  <c r="O82" i="2" s="1"/>
  <c r="T254" i="2"/>
  <c r="U254" i="2" s="1"/>
  <c r="N254" i="2" s="1"/>
  <c r="O254" i="2" s="1"/>
  <c r="T259" i="2"/>
  <c r="U259" i="2" s="1"/>
  <c r="N259" i="2" s="1"/>
  <c r="M259" i="2" s="1"/>
  <c r="K259" i="2" s="1"/>
  <c r="AD20" i="3"/>
  <c r="AE20" i="3" s="1"/>
  <c r="X20" i="3" s="1"/>
  <c r="Y20" i="3" s="1"/>
  <c r="AD24" i="3"/>
  <c r="AE24" i="3" s="1"/>
  <c r="X24" i="3" s="1"/>
  <c r="Y24" i="3" s="1"/>
  <c r="AD52" i="3"/>
  <c r="AE52" i="3" s="1"/>
  <c r="X52" i="3" s="1"/>
  <c r="W52" i="3" s="1"/>
  <c r="N52" i="3" s="1"/>
  <c r="AD70" i="3"/>
  <c r="AE70" i="3" s="1"/>
  <c r="X70" i="3" s="1"/>
  <c r="W70" i="3" s="1"/>
  <c r="N70" i="3" s="1"/>
  <c r="AD96" i="3"/>
  <c r="AE96" i="3" s="1"/>
  <c r="X96" i="3" s="1"/>
  <c r="W96" i="3" s="1"/>
  <c r="N96" i="3" s="1"/>
  <c r="T136" i="2"/>
  <c r="U136" i="2" s="1"/>
  <c r="N136" i="2" s="1"/>
  <c r="O136" i="2" s="1"/>
  <c r="AD6" i="3"/>
  <c r="AE6" i="3" s="1"/>
  <c r="X6" i="3" s="1"/>
  <c r="Y6" i="3" s="1"/>
  <c r="AD29" i="3"/>
  <c r="AE29" i="3" s="1"/>
  <c r="X29" i="3" s="1"/>
  <c r="W29" i="3" s="1"/>
  <c r="N29" i="3" s="1"/>
  <c r="AD40" i="3"/>
  <c r="AE40" i="3" s="1"/>
  <c r="X40" i="3" s="1"/>
  <c r="Y40" i="3" s="1"/>
  <c r="AD44" i="3"/>
  <c r="AE44" i="3" s="1"/>
  <c r="X44" i="3" s="1"/>
  <c r="Y44" i="3" s="1"/>
  <c r="AD121" i="3"/>
  <c r="AE121" i="3" s="1"/>
  <c r="X121" i="3" s="1"/>
  <c r="Y121" i="3" s="1"/>
  <c r="AD128" i="3"/>
  <c r="AE128" i="3" s="1"/>
  <c r="X128" i="3" s="1"/>
  <c r="Y128" i="3" s="1"/>
  <c r="AD167" i="3"/>
  <c r="AE167" i="3" s="1"/>
  <c r="X167" i="3" s="1"/>
  <c r="Y167" i="3" s="1"/>
  <c r="AD189" i="3"/>
  <c r="AE189" i="3" s="1"/>
  <c r="X189" i="3" s="1"/>
  <c r="AD194" i="3"/>
  <c r="AE194" i="3" s="1"/>
  <c r="X194" i="3" s="1"/>
  <c r="AD207" i="3"/>
  <c r="AE207" i="3" s="1"/>
  <c r="X207" i="3" s="1"/>
  <c r="AD228" i="3"/>
  <c r="AE228" i="3" s="1"/>
  <c r="X228" i="3" s="1"/>
  <c r="AD248" i="3"/>
  <c r="AE248" i="3" s="1"/>
  <c r="X248" i="3" s="1"/>
  <c r="Y248" i="3" s="1"/>
  <c r="T192" i="2"/>
  <c r="U192" i="2" s="1"/>
  <c r="N192" i="2" s="1"/>
  <c r="O192" i="2" s="1"/>
  <c r="T269" i="2"/>
  <c r="U269" i="2" s="1"/>
  <c r="N269" i="2" s="1"/>
  <c r="O269" i="2" s="1"/>
  <c r="T304" i="2"/>
  <c r="U304" i="2" s="1"/>
  <c r="N304" i="2" s="1"/>
  <c r="M304" i="2" s="1"/>
  <c r="K304" i="2" s="1"/>
  <c r="T309" i="2"/>
  <c r="U309" i="2" s="1"/>
  <c r="N309" i="2" s="1"/>
  <c r="M309" i="2" s="1"/>
  <c r="K309" i="2" s="1"/>
  <c r="AD14" i="3"/>
  <c r="AE14" i="3" s="1"/>
  <c r="X14" i="3" s="1"/>
  <c r="W14" i="3" s="1"/>
  <c r="N14" i="3" s="1"/>
  <c r="AD81" i="3"/>
  <c r="AE81" i="3" s="1"/>
  <c r="X81" i="3" s="1"/>
  <c r="Y81" i="3" s="1"/>
  <c r="AD212" i="3"/>
  <c r="AE212" i="3" s="1"/>
  <c r="X212" i="3" s="1"/>
  <c r="AD216" i="3"/>
  <c r="AE216" i="3" s="1"/>
  <c r="X216" i="3" s="1"/>
  <c r="W216" i="3" s="1"/>
  <c r="N216" i="3" s="1"/>
  <c r="AD221" i="3"/>
  <c r="AE221" i="3" s="1"/>
  <c r="X221" i="3" s="1"/>
  <c r="W221" i="3" s="1"/>
  <c r="N221" i="3" s="1"/>
  <c r="AD253" i="3"/>
  <c r="AE253" i="3" s="1"/>
  <c r="X253" i="3" s="1"/>
  <c r="AD276" i="3"/>
  <c r="AE276" i="3" s="1"/>
  <c r="X276" i="3" s="1"/>
  <c r="AD284" i="3"/>
  <c r="AE284" i="3" s="1"/>
  <c r="X284" i="3" s="1"/>
  <c r="AD10" i="3"/>
  <c r="AE10" i="3" s="1"/>
  <c r="X10" i="3" s="1"/>
  <c r="W10" i="3" s="1"/>
  <c r="N10" i="3" s="1"/>
  <c r="AD203" i="3"/>
  <c r="AE203" i="3" s="1"/>
  <c r="X203" i="3" s="1"/>
  <c r="W203" i="3" s="1"/>
  <c r="N203" i="3" s="1"/>
  <c r="AD289" i="3"/>
  <c r="AE289" i="3" s="1"/>
  <c r="X289" i="3" s="1"/>
  <c r="W289" i="3" s="1"/>
  <c r="N289" i="3" s="1"/>
  <c r="T106" i="2"/>
  <c r="U106" i="2" s="1"/>
  <c r="N106" i="2" s="1"/>
  <c r="O106" i="2" s="1"/>
  <c r="T129" i="2"/>
  <c r="U129" i="2" s="1"/>
  <c r="N129" i="2" s="1"/>
  <c r="O129" i="2" s="1"/>
  <c r="T217" i="2"/>
  <c r="U217" i="2" s="1"/>
  <c r="N217" i="2" s="1"/>
  <c r="O217" i="2" s="1"/>
  <c r="AD7" i="3"/>
  <c r="AE7" i="3" s="1"/>
  <c r="X7" i="3" s="1"/>
  <c r="W7" i="3" s="1"/>
  <c r="N7" i="3" s="1"/>
  <c r="AD41" i="3"/>
  <c r="AE41" i="3" s="1"/>
  <c r="X41" i="3" s="1"/>
  <c r="Y41" i="3" s="1"/>
  <c r="AD45" i="3"/>
  <c r="AE45" i="3" s="1"/>
  <c r="X45" i="3" s="1"/>
  <c r="Y45" i="3" s="1"/>
  <c r="AD62" i="3"/>
  <c r="AE62" i="3" s="1"/>
  <c r="X62" i="3" s="1"/>
  <c r="W62" i="3" s="1"/>
  <c r="N62" i="3" s="1"/>
  <c r="AD118" i="3"/>
  <c r="AE118" i="3" s="1"/>
  <c r="X118" i="3" s="1"/>
  <c r="W118" i="3" s="1"/>
  <c r="N118" i="3" s="1"/>
  <c r="AD140" i="3"/>
  <c r="AE140" i="3" s="1"/>
  <c r="X140" i="3" s="1"/>
  <c r="W140" i="3" s="1"/>
  <c r="N140" i="3" s="1"/>
  <c r="AD168" i="3"/>
  <c r="AE168" i="3" s="1"/>
  <c r="X168" i="3" s="1"/>
  <c r="Y168" i="3" s="1"/>
  <c r="AD199" i="3"/>
  <c r="AE199" i="3" s="1"/>
  <c r="X199" i="3" s="1"/>
  <c r="Y199" i="3" s="1"/>
  <c r="AD217" i="3"/>
  <c r="AE217" i="3" s="1"/>
  <c r="X217" i="3" s="1"/>
  <c r="W217" i="3" s="1"/>
  <c r="N217" i="3" s="1"/>
  <c r="AD267" i="3"/>
  <c r="AE267" i="3" s="1"/>
  <c r="X267" i="3" s="1"/>
  <c r="Y267" i="3" s="1"/>
  <c r="AD49" i="3"/>
  <c r="AE49" i="3" s="1"/>
  <c r="X49" i="3" s="1"/>
  <c r="Y49" i="3" s="1"/>
  <c r="AD67" i="3"/>
  <c r="AE67" i="3" s="1"/>
  <c r="X67" i="3" s="1"/>
  <c r="AD114" i="3"/>
  <c r="AE114" i="3" s="1"/>
  <c r="X114" i="3" s="1"/>
  <c r="W114" i="3" s="1"/>
  <c r="N114" i="3" s="1"/>
  <c r="AD181" i="3"/>
  <c r="AE181" i="3" s="1"/>
  <c r="X181" i="3" s="1"/>
  <c r="W181" i="3" s="1"/>
  <c r="N181" i="3" s="1"/>
  <c r="AD186" i="3"/>
  <c r="AE186" i="3" s="1"/>
  <c r="X186" i="3" s="1"/>
  <c r="AD204" i="3"/>
  <c r="AE204" i="3" s="1"/>
  <c r="X204" i="3" s="1"/>
  <c r="W204" i="3" s="1"/>
  <c r="N204" i="3" s="1"/>
  <c r="AD258" i="3"/>
  <c r="AE258" i="3" s="1"/>
  <c r="X258" i="3" s="1"/>
  <c r="W258" i="3" s="1"/>
  <c r="N258" i="3" s="1"/>
  <c r="AD263" i="3"/>
  <c r="AE263" i="3" s="1"/>
  <c r="X263" i="3" s="1"/>
  <c r="AD277" i="3"/>
  <c r="AE277" i="3" s="1"/>
  <c r="X277" i="3" s="1"/>
  <c r="W277" i="3" s="1"/>
  <c r="N277" i="3" s="1"/>
  <c r="AD308" i="3"/>
  <c r="AE308" i="3" s="1"/>
  <c r="X308" i="3" s="1"/>
  <c r="T84" i="2"/>
  <c r="U84" i="2" s="1"/>
  <c r="N84" i="2" s="1"/>
  <c r="O84" i="2" s="1"/>
  <c r="T194" i="2"/>
  <c r="U194" i="2" s="1"/>
  <c r="N194" i="2" s="1"/>
  <c r="M194" i="2" s="1"/>
  <c r="K194" i="2" s="1"/>
  <c r="T203" i="2"/>
  <c r="U203" i="2" s="1"/>
  <c r="N203" i="2" s="1"/>
  <c r="M203" i="2" s="1"/>
  <c r="K203" i="2" s="1"/>
  <c r="T213" i="2"/>
  <c r="U213" i="2" s="1"/>
  <c r="N213" i="2" s="1"/>
  <c r="T237" i="2"/>
  <c r="U237" i="2" s="1"/>
  <c r="N237" i="2" s="1"/>
  <c r="O237" i="2" s="1"/>
  <c r="T281" i="2"/>
  <c r="U281" i="2" s="1"/>
  <c r="N281" i="2" s="1"/>
  <c r="M281" i="2" s="1"/>
  <c r="K281" i="2" s="1"/>
  <c r="T286" i="2"/>
  <c r="U286" i="2" s="1"/>
  <c r="N286" i="2" s="1"/>
  <c r="O286" i="2" s="1"/>
  <c r="T311" i="2"/>
  <c r="U311" i="2" s="1"/>
  <c r="N311" i="2" s="1"/>
  <c r="M311" i="2" s="1"/>
  <c r="K311" i="2" s="1"/>
  <c r="AD42" i="3"/>
  <c r="AE42" i="3" s="1"/>
  <c r="X42" i="3" s="1"/>
  <c r="Y42" i="3" s="1"/>
  <c r="AD59" i="3"/>
  <c r="AE59" i="3" s="1"/>
  <c r="X59" i="3" s="1"/>
  <c r="Y59" i="3" s="1"/>
  <c r="AD72" i="3"/>
  <c r="AE72" i="3" s="1"/>
  <c r="X72" i="3" s="1"/>
  <c r="AD79" i="3"/>
  <c r="AE79" i="3" s="1"/>
  <c r="X79" i="3" s="1"/>
  <c r="Y79" i="3" s="1"/>
  <c r="AD90" i="3"/>
  <c r="AE90" i="3" s="1"/>
  <c r="X90" i="3" s="1"/>
  <c r="Y90" i="3" s="1"/>
  <c r="AD158" i="3"/>
  <c r="AE158" i="3" s="1"/>
  <c r="X158" i="3" s="1"/>
  <c r="AD177" i="3"/>
  <c r="AE177" i="3" s="1"/>
  <c r="X177" i="3" s="1"/>
  <c r="AD196" i="3"/>
  <c r="AE196" i="3" s="1"/>
  <c r="X196" i="3" s="1"/>
  <c r="Y196" i="3" s="1"/>
  <c r="AD236" i="3"/>
  <c r="AE236" i="3" s="1"/>
  <c r="X236" i="3" s="1"/>
  <c r="W236" i="3" s="1"/>
  <c r="N236" i="3" s="1"/>
  <c r="AD299" i="3"/>
  <c r="AE299" i="3" s="1"/>
  <c r="X299" i="3" s="1"/>
  <c r="T109" i="2"/>
  <c r="U109" i="2" s="1"/>
  <c r="N109" i="2" s="1"/>
  <c r="M109" i="2" s="1"/>
  <c r="K109" i="2" s="1"/>
  <c r="T36" i="2"/>
  <c r="U36" i="2" s="1"/>
  <c r="N36" i="2" s="1"/>
  <c r="O36" i="2" s="1"/>
  <c r="T44" i="2"/>
  <c r="U44" i="2" s="1"/>
  <c r="N44" i="2" s="1"/>
  <c r="O44" i="2" s="1"/>
  <c r="T252" i="2"/>
  <c r="U252" i="2" s="1"/>
  <c r="N252" i="2" s="1"/>
  <c r="M252" i="2" s="1"/>
  <c r="K252" i="2" s="1"/>
  <c r="AD50" i="3"/>
  <c r="AE50" i="3" s="1"/>
  <c r="X50" i="3" s="1"/>
  <c r="AD68" i="3"/>
  <c r="AE68" i="3" s="1"/>
  <c r="X68" i="3" s="1"/>
  <c r="AD83" i="3"/>
  <c r="AE83" i="3" s="1"/>
  <c r="X83" i="3" s="1"/>
  <c r="Y83" i="3" s="1"/>
  <c r="AD123" i="3"/>
  <c r="AE123" i="3" s="1"/>
  <c r="X123" i="3" s="1"/>
  <c r="Y123" i="3" s="1"/>
  <c r="AD182" i="3"/>
  <c r="AE182" i="3" s="1"/>
  <c r="X182" i="3" s="1"/>
  <c r="AD200" i="3"/>
  <c r="AE200" i="3" s="1"/>
  <c r="X200" i="3" s="1"/>
  <c r="AD27" i="3"/>
  <c r="AE27" i="3" s="1"/>
  <c r="X27" i="3" s="1"/>
  <c r="W27" i="3" s="1"/>
  <c r="N27" i="3" s="1"/>
  <c r="AD35" i="3"/>
  <c r="AE35" i="3" s="1"/>
  <c r="X35" i="3" s="1"/>
  <c r="Y35" i="3" s="1"/>
  <c r="AD55" i="3"/>
  <c r="AE55" i="3" s="1"/>
  <c r="X55" i="3" s="1"/>
  <c r="Y55" i="3" s="1"/>
  <c r="AD134" i="3"/>
  <c r="AE134" i="3" s="1"/>
  <c r="X134" i="3" s="1"/>
  <c r="Y134" i="3" s="1"/>
  <c r="AD154" i="3"/>
  <c r="AE154" i="3" s="1"/>
  <c r="X154" i="3" s="1"/>
  <c r="W154" i="3" s="1"/>
  <c r="N154" i="3" s="1"/>
  <c r="AD251" i="3"/>
  <c r="AE251" i="3" s="1"/>
  <c r="X251" i="3" s="1"/>
  <c r="W251" i="3" s="1"/>
  <c r="N251" i="3" s="1"/>
  <c r="AD255" i="3"/>
  <c r="AE255" i="3" s="1"/>
  <c r="X255" i="3" s="1"/>
  <c r="Y255" i="3" s="1"/>
  <c r="T245" i="2"/>
  <c r="U245" i="2" s="1"/>
  <c r="N245" i="2" s="1"/>
  <c r="O245" i="2" s="1"/>
  <c r="T6" i="2"/>
  <c r="U6" i="2" s="1"/>
  <c r="N6" i="2" s="1"/>
  <c r="O6" i="2" s="1"/>
  <c r="AD174" i="3"/>
  <c r="AE174" i="3" s="1"/>
  <c r="X174" i="3" s="1"/>
  <c r="T188" i="2"/>
  <c r="U188" i="2" s="1"/>
  <c r="N188" i="2" s="1"/>
  <c r="M188" i="2" s="1"/>
  <c r="K188" i="2" s="1"/>
  <c r="T193" i="2"/>
  <c r="U193" i="2" s="1"/>
  <c r="N193" i="2" s="1"/>
  <c r="O193" i="2" s="1"/>
  <c r="T275" i="2"/>
  <c r="U275" i="2" s="1"/>
  <c r="N275" i="2" s="1"/>
  <c r="AD278" i="3"/>
  <c r="AE278" i="3" s="1"/>
  <c r="X278" i="3" s="1"/>
  <c r="T13" i="2"/>
  <c r="U13" i="2" s="1"/>
  <c r="N13" i="2" s="1"/>
  <c r="T67" i="2"/>
  <c r="U67" i="2" s="1"/>
  <c r="N67" i="2" s="1"/>
  <c r="M67" i="2" s="1"/>
  <c r="K67" i="2" s="1"/>
  <c r="T18" i="2"/>
  <c r="U18" i="2" s="1"/>
  <c r="N18" i="2" s="1"/>
  <c r="O18" i="2" s="1"/>
  <c r="T184" i="2"/>
  <c r="U184" i="2" s="1"/>
  <c r="N184" i="2" s="1"/>
  <c r="M184" i="2" s="1"/>
  <c r="K184" i="2" s="1"/>
  <c r="T218" i="2"/>
  <c r="U218" i="2" s="1"/>
  <c r="N218" i="2" s="1"/>
  <c r="T223" i="2"/>
  <c r="U223" i="2" s="1"/>
  <c r="N223" i="2" s="1"/>
  <c r="M223" i="2" s="1"/>
  <c r="K223" i="2" s="1"/>
  <c r="T266" i="2"/>
  <c r="U266" i="2" s="1"/>
  <c r="N266" i="2" s="1"/>
  <c r="AD184" i="3"/>
  <c r="AE184" i="3" s="1"/>
  <c r="X184" i="3" s="1"/>
  <c r="W184" i="3" s="1"/>
  <c r="N184" i="3" s="1"/>
  <c r="AD272" i="3"/>
  <c r="AE272" i="3" s="1"/>
  <c r="X272" i="3" s="1"/>
  <c r="T58" i="2"/>
  <c r="U58" i="2" s="1"/>
  <c r="N58" i="2" s="1"/>
  <c r="T113" i="2"/>
  <c r="U113" i="2" s="1"/>
  <c r="N113" i="2" s="1"/>
  <c r="AD269" i="3"/>
  <c r="AE269" i="3" s="1"/>
  <c r="X269" i="3" s="1"/>
  <c r="T71" i="2"/>
  <c r="U71" i="2" s="1"/>
  <c r="N71" i="2" s="1"/>
  <c r="M71" i="2" s="1"/>
  <c r="K71" i="2" s="1"/>
  <c r="T289" i="2"/>
  <c r="U289" i="2" s="1"/>
  <c r="N289" i="2" s="1"/>
  <c r="O289" i="2" s="1"/>
  <c r="AD4" i="3"/>
  <c r="AE4" i="3" s="1"/>
  <c r="X4" i="3" s="1"/>
  <c r="Y4" i="3" s="1"/>
  <c r="AD185" i="3"/>
  <c r="AE185" i="3" s="1"/>
  <c r="X185" i="3" s="1"/>
  <c r="AD279" i="3"/>
  <c r="AE279" i="3" s="1"/>
  <c r="X279" i="3" s="1"/>
  <c r="W279" i="3" s="1"/>
  <c r="N279" i="3" s="1"/>
  <c r="AD290" i="3"/>
  <c r="AE290" i="3" s="1"/>
  <c r="X290" i="3" s="1"/>
  <c r="T297" i="2"/>
  <c r="U297" i="2" s="1"/>
  <c r="N297" i="2" s="1"/>
  <c r="M297" i="2" s="1"/>
  <c r="K297" i="2" s="1"/>
  <c r="T307" i="2"/>
  <c r="U307" i="2" s="1"/>
  <c r="N307" i="2" s="1"/>
  <c r="O307" i="2" s="1"/>
  <c r="AD94" i="3"/>
  <c r="AE94" i="3" s="1"/>
  <c r="X94" i="3" s="1"/>
  <c r="W94" i="3" s="1"/>
  <c r="N94" i="3" s="1"/>
  <c r="T10" i="2"/>
  <c r="U10" i="2" s="1"/>
  <c r="N10" i="2" s="1"/>
  <c r="M10" i="2" s="1"/>
  <c r="K10" i="2" s="1"/>
  <c r="T49" i="2"/>
  <c r="U49" i="2" s="1"/>
  <c r="N49" i="2" s="1"/>
  <c r="O49" i="2" s="1"/>
  <c r="T185" i="2"/>
  <c r="U185" i="2" s="1"/>
  <c r="N185" i="2" s="1"/>
  <c r="O185" i="2" s="1"/>
  <c r="AD192" i="3"/>
  <c r="AE192" i="3" s="1"/>
  <c r="X192" i="3" s="1"/>
  <c r="T59" i="2"/>
  <c r="U59" i="2" s="1"/>
  <c r="N59" i="2" s="1"/>
  <c r="M59" i="2" s="1"/>
  <c r="K59" i="2" s="1"/>
  <c r="T64" i="2"/>
  <c r="U64" i="2" s="1"/>
  <c r="N64" i="2" s="1"/>
  <c r="M64" i="2" s="1"/>
  <c r="K64" i="2" s="1"/>
  <c r="T123" i="2"/>
  <c r="U123" i="2" s="1"/>
  <c r="N123" i="2" s="1"/>
  <c r="O123" i="2" s="1"/>
  <c r="T139" i="2"/>
  <c r="U139" i="2" s="1"/>
  <c r="N139" i="2" s="1"/>
  <c r="O139" i="2" s="1"/>
  <c r="T219" i="2"/>
  <c r="U219" i="2" s="1"/>
  <c r="N219" i="2" s="1"/>
  <c r="M219" i="2" s="1"/>
  <c r="K219" i="2" s="1"/>
  <c r="T243" i="2"/>
  <c r="U243" i="2" s="1"/>
  <c r="N243" i="2" s="1"/>
  <c r="M243" i="2" s="1"/>
  <c r="K243" i="2" s="1"/>
  <c r="AD286" i="3"/>
  <c r="AE286" i="3" s="1"/>
  <c r="X286" i="3" s="1"/>
  <c r="W286" i="3" s="1"/>
  <c r="N286" i="3" s="1"/>
  <c r="AD303" i="3"/>
  <c r="AE303" i="3" s="1"/>
  <c r="X303" i="3" s="1"/>
  <c r="AD190" i="3"/>
  <c r="AE190" i="3" s="1"/>
  <c r="X190" i="3" s="1"/>
  <c r="AD294" i="3"/>
  <c r="AE294" i="3" s="1"/>
  <c r="X294" i="3" s="1"/>
  <c r="T42" i="2"/>
  <c r="U42" i="2" s="1"/>
  <c r="N42" i="2" s="1"/>
  <c r="O42" i="2" s="1"/>
  <c r="T60" i="2"/>
  <c r="U60" i="2" s="1"/>
  <c r="N60" i="2" s="1"/>
  <c r="O60" i="2" s="1"/>
  <c r="T65" i="2"/>
  <c r="U65" i="2" s="1"/>
  <c r="N65" i="2" s="1"/>
  <c r="M65" i="2" s="1"/>
  <c r="K65" i="2" s="1"/>
  <c r="T70" i="2"/>
  <c r="U70" i="2" s="1"/>
  <c r="N70" i="2" s="1"/>
  <c r="M70" i="2" s="1"/>
  <c r="K70" i="2" s="1"/>
  <c r="T100" i="2"/>
  <c r="U100" i="2" s="1"/>
  <c r="N100" i="2" s="1"/>
  <c r="M100" i="2" s="1"/>
  <c r="K100" i="2" s="1"/>
  <c r="T105" i="2"/>
  <c r="U105" i="2" s="1"/>
  <c r="N105" i="2" s="1"/>
  <c r="M105" i="2" s="1"/>
  <c r="K105" i="2" s="1"/>
  <c r="T164" i="2"/>
  <c r="U164" i="2" s="1"/>
  <c r="N164" i="2" s="1"/>
  <c r="O164" i="2" s="1"/>
  <c r="T168" i="2"/>
  <c r="U168" i="2" s="1"/>
  <c r="N168" i="2" s="1"/>
  <c r="O168" i="2" s="1"/>
  <c r="T229" i="2"/>
  <c r="U229" i="2" s="1"/>
  <c r="N229" i="2" s="1"/>
  <c r="O229" i="2" s="1"/>
  <c r="T273" i="2"/>
  <c r="U273" i="2" s="1"/>
  <c r="N273" i="2" s="1"/>
  <c r="M273" i="2" s="1"/>
  <c r="K273" i="2" s="1"/>
  <c r="AD176" i="3"/>
  <c r="AE176" i="3" s="1"/>
  <c r="X176" i="3" s="1"/>
  <c r="W176" i="3" s="1"/>
  <c r="N176" i="3" s="1"/>
  <c r="AD301" i="3"/>
  <c r="AE301" i="3" s="1"/>
  <c r="X301" i="3" s="1"/>
  <c r="W301" i="3" s="1"/>
  <c r="N301" i="3" s="1"/>
  <c r="T83" i="2"/>
  <c r="U83" i="2" s="1"/>
  <c r="N83" i="2" s="1"/>
  <c r="O83" i="2" s="1"/>
  <c r="T87" i="2"/>
  <c r="U87" i="2" s="1"/>
  <c r="N87" i="2" s="1"/>
  <c r="O87" i="2" s="1"/>
  <c r="T91" i="2"/>
  <c r="U91" i="2" s="1"/>
  <c r="N91" i="2" s="1"/>
  <c r="O91" i="2" s="1"/>
  <c r="T155" i="2"/>
  <c r="U155" i="2" s="1"/>
  <c r="N155" i="2" s="1"/>
  <c r="M155" i="2" s="1"/>
  <c r="K155" i="2" s="1"/>
  <c r="T160" i="2"/>
  <c r="U160" i="2" s="1"/>
  <c r="N160" i="2" s="1"/>
  <c r="M160" i="2" s="1"/>
  <c r="K160" i="2" s="1"/>
  <c r="AD171" i="3"/>
  <c r="AE171" i="3" s="1"/>
  <c r="X171" i="3" s="1"/>
  <c r="Y171" i="3" s="1"/>
  <c r="AD273" i="3"/>
  <c r="AE273" i="3" s="1"/>
  <c r="X273" i="3" s="1"/>
  <c r="AD282" i="3"/>
  <c r="AE282" i="3" s="1"/>
  <c r="X282" i="3" s="1"/>
  <c r="AD292" i="3"/>
  <c r="AE292" i="3" s="1"/>
  <c r="X292" i="3" s="1"/>
  <c r="AD265" i="3"/>
  <c r="AE265" i="3" s="1"/>
  <c r="X265" i="3" s="1"/>
  <c r="AD296" i="3"/>
  <c r="AE296" i="3" s="1"/>
  <c r="X296" i="3" s="1"/>
  <c r="T221" i="2"/>
  <c r="U221" i="2" s="1"/>
  <c r="N221" i="2" s="1"/>
  <c r="M221" i="2" s="1"/>
  <c r="K221" i="2" s="1"/>
  <c r="T19" i="2"/>
  <c r="U19" i="2" s="1"/>
  <c r="N19" i="2" s="1"/>
  <c r="O19" i="2" s="1"/>
  <c r="T37" i="2"/>
  <c r="U37" i="2" s="1"/>
  <c r="N37" i="2" s="1"/>
  <c r="O37" i="2" s="1"/>
  <c r="T140" i="2"/>
  <c r="U140" i="2" s="1"/>
  <c r="N140" i="2" s="1"/>
  <c r="O140" i="2" s="1"/>
  <c r="T238" i="2"/>
  <c r="U238" i="2" s="1"/>
  <c r="N238" i="2" s="1"/>
  <c r="M238" i="2" s="1"/>
  <c r="K238" i="2" s="1"/>
  <c r="T276" i="2"/>
  <c r="U276" i="2" s="1"/>
  <c r="N276" i="2" s="1"/>
  <c r="M276" i="2" s="1"/>
  <c r="K276" i="2" s="1"/>
  <c r="T199" i="2"/>
  <c r="U199" i="2" s="1"/>
  <c r="N199" i="2" s="1"/>
  <c r="O199" i="2" s="1"/>
  <c r="T45" i="2"/>
  <c r="U45" i="2" s="1"/>
  <c r="N45" i="2" s="1"/>
  <c r="O45" i="2" s="1"/>
  <c r="T88" i="2"/>
  <c r="U88" i="2" s="1"/>
  <c r="N88" i="2" s="1"/>
  <c r="O88" i="2" s="1"/>
  <c r="T101" i="2"/>
  <c r="U101" i="2" s="1"/>
  <c r="N101" i="2" s="1"/>
  <c r="O101" i="2" s="1"/>
  <c r="T145" i="2"/>
  <c r="U145" i="2" s="1"/>
  <c r="N145" i="2" s="1"/>
  <c r="M145" i="2" s="1"/>
  <c r="K145" i="2" s="1"/>
  <c r="T172" i="2"/>
  <c r="U172" i="2" s="1"/>
  <c r="N172" i="2" s="1"/>
  <c r="O172" i="2" s="1"/>
  <c r="T215" i="2"/>
  <c r="U215" i="2" s="1"/>
  <c r="N215" i="2" s="1"/>
  <c r="T248" i="2"/>
  <c r="U248" i="2" s="1"/>
  <c r="N248" i="2" s="1"/>
  <c r="M248" i="2" s="1"/>
  <c r="K248" i="2" s="1"/>
  <c r="T272" i="2"/>
  <c r="U272" i="2" s="1"/>
  <c r="N272" i="2" s="1"/>
  <c r="M272" i="2" s="1"/>
  <c r="K272" i="2" s="1"/>
  <c r="T291" i="2"/>
  <c r="U291" i="2" s="1"/>
  <c r="N291" i="2" s="1"/>
  <c r="M291" i="2" s="1"/>
  <c r="K291" i="2" s="1"/>
  <c r="T296" i="2"/>
  <c r="U296" i="2" s="1"/>
  <c r="N296" i="2" s="1"/>
  <c r="T301" i="2"/>
  <c r="U301" i="2" s="1"/>
  <c r="N301" i="2" s="1"/>
  <c r="O301" i="2" s="1"/>
  <c r="T72" i="2"/>
  <c r="U72" i="2" s="1"/>
  <c r="N72" i="2" s="1"/>
  <c r="M72" i="2" s="1"/>
  <c r="K72" i="2" s="1"/>
  <c r="T97" i="2"/>
  <c r="U97" i="2" s="1"/>
  <c r="N97" i="2" s="1"/>
  <c r="M97" i="2" s="1"/>
  <c r="K97" i="2" s="1"/>
  <c r="T116" i="2"/>
  <c r="U116" i="2" s="1"/>
  <c r="N116" i="2" s="1"/>
  <c r="M116" i="2" s="1"/>
  <c r="K116" i="2" s="1"/>
  <c r="T125" i="2"/>
  <c r="U125" i="2" s="1"/>
  <c r="N125" i="2" s="1"/>
  <c r="O125" i="2" s="1"/>
  <c r="T225" i="2"/>
  <c r="U225" i="2" s="1"/>
  <c r="N225" i="2" s="1"/>
  <c r="O225" i="2" s="1"/>
  <c r="T234" i="2"/>
  <c r="U234" i="2" s="1"/>
  <c r="N234" i="2" s="1"/>
  <c r="T263" i="2"/>
  <c r="U263" i="2" s="1"/>
  <c r="N263" i="2" s="1"/>
  <c r="M263" i="2" s="1"/>
  <c r="K263" i="2" s="1"/>
  <c r="T54" i="2"/>
  <c r="U54" i="2" s="1"/>
  <c r="N54" i="2" s="1"/>
  <c r="T197" i="2"/>
  <c r="U197" i="2" s="1"/>
  <c r="N197" i="2" s="1"/>
  <c r="T201" i="2"/>
  <c r="U201" i="2" s="1"/>
  <c r="N201" i="2" s="1"/>
  <c r="O201" i="2" s="1"/>
  <c r="T239" i="2"/>
  <c r="U239" i="2" s="1"/>
  <c r="N239" i="2" s="1"/>
  <c r="T244" i="2"/>
  <c r="U244" i="2" s="1"/>
  <c r="N244" i="2" s="1"/>
  <c r="M244" i="2" s="1"/>
  <c r="K244" i="2" s="1"/>
  <c r="T268" i="2"/>
  <c r="U268" i="2" s="1"/>
  <c r="N268" i="2" s="1"/>
  <c r="T135" i="2"/>
  <c r="U135" i="2" s="1"/>
  <c r="N135" i="2" s="1"/>
  <c r="O135" i="2" s="1"/>
  <c r="T16" i="2"/>
  <c r="U16" i="2" s="1"/>
  <c r="N16" i="2" s="1"/>
  <c r="M16" i="2" s="1"/>
  <c r="K16" i="2" s="1"/>
  <c r="T102" i="2"/>
  <c r="U102" i="2" s="1"/>
  <c r="N102" i="2" s="1"/>
  <c r="M102" i="2" s="1"/>
  <c r="K102" i="2" s="1"/>
  <c r="T107" i="2"/>
  <c r="U107" i="2" s="1"/>
  <c r="N107" i="2" s="1"/>
  <c r="M107" i="2" s="1"/>
  <c r="K107" i="2" s="1"/>
  <c r="T146" i="2"/>
  <c r="U146" i="2" s="1"/>
  <c r="N146" i="2" s="1"/>
  <c r="M146" i="2" s="1"/>
  <c r="K146" i="2" s="1"/>
  <c r="T206" i="2"/>
  <c r="U206" i="2" s="1"/>
  <c r="N206" i="2" s="1"/>
  <c r="M206" i="2" s="1"/>
  <c r="K206" i="2" s="1"/>
  <c r="T282" i="2"/>
  <c r="U282" i="2" s="1"/>
  <c r="N282" i="2" s="1"/>
  <c r="M282" i="2" s="1"/>
  <c r="K282" i="2" s="1"/>
  <c r="T287" i="2"/>
  <c r="U287" i="2" s="1"/>
  <c r="N287" i="2" s="1"/>
  <c r="M287" i="2" s="1"/>
  <c r="K287" i="2" s="1"/>
  <c r="T50" i="2"/>
  <c r="U50" i="2" s="1"/>
  <c r="N50" i="2" s="1"/>
  <c r="O50" i="2" s="1"/>
  <c r="T117" i="2"/>
  <c r="U117" i="2" s="1"/>
  <c r="N117" i="2" s="1"/>
  <c r="M117" i="2" s="1"/>
  <c r="K117" i="2" s="1"/>
  <c r="T165" i="2"/>
  <c r="U165" i="2" s="1"/>
  <c r="N165" i="2" s="1"/>
  <c r="O165" i="2" s="1"/>
  <c r="T230" i="2"/>
  <c r="U230" i="2" s="1"/>
  <c r="N230" i="2" s="1"/>
  <c r="T7" i="2"/>
  <c r="U7" i="2" s="1"/>
  <c r="N7" i="2" s="1"/>
  <c r="T122" i="2"/>
  <c r="U122" i="2" s="1"/>
  <c r="N122" i="2" s="1"/>
  <c r="O122" i="2" s="1"/>
  <c r="T202" i="2"/>
  <c r="U202" i="2" s="1"/>
  <c r="N202" i="2" s="1"/>
  <c r="M202" i="2" s="1"/>
  <c r="K202" i="2" s="1"/>
  <c r="T240" i="2"/>
  <c r="U240" i="2" s="1"/>
  <c r="N240" i="2" s="1"/>
  <c r="M240" i="2" s="1"/>
  <c r="K240" i="2" s="1"/>
  <c r="T12" i="2"/>
  <c r="U12" i="2" s="1"/>
  <c r="N12" i="2" s="1"/>
  <c r="O12" i="2" s="1"/>
  <c r="T108" i="2"/>
  <c r="U108" i="2" s="1"/>
  <c r="N108" i="2" s="1"/>
  <c r="T134" i="2"/>
  <c r="U134" i="2" s="1"/>
  <c r="N134" i="2" s="1"/>
  <c r="O134" i="2" s="1"/>
  <c r="T147" i="2"/>
  <c r="U147" i="2" s="1"/>
  <c r="N147" i="2" s="1"/>
  <c r="M147" i="2" s="1"/>
  <c r="K147" i="2" s="1"/>
  <c r="T152" i="2"/>
  <c r="U152" i="2" s="1"/>
  <c r="N152" i="2" s="1"/>
  <c r="M152" i="2" s="1"/>
  <c r="K152" i="2" s="1"/>
  <c r="T198" i="2"/>
  <c r="U198" i="2" s="1"/>
  <c r="N198" i="2" s="1"/>
  <c r="O198" i="2" s="1"/>
  <c r="T207" i="2"/>
  <c r="U207" i="2" s="1"/>
  <c r="N207" i="2" s="1"/>
  <c r="T283" i="2"/>
  <c r="U283" i="2" s="1"/>
  <c r="N283" i="2" s="1"/>
  <c r="T17" i="2"/>
  <c r="U17" i="2" s="1"/>
  <c r="N17" i="2" s="1"/>
  <c r="O17" i="2" s="1"/>
  <c r="T47" i="2"/>
  <c r="U47" i="2" s="1"/>
  <c r="N47" i="2" s="1"/>
  <c r="O47" i="2" s="1"/>
  <c r="T74" i="2"/>
  <c r="U74" i="2" s="1"/>
  <c r="N74" i="2" s="1"/>
  <c r="O74" i="2" s="1"/>
  <c r="T94" i="2"/>
  <c r="U94" i="2" s="1"/>
  <c r="N94" i="2" s="1"/>
  <c r="M94" i="2" s="1"/>
  <c r="K94" i="2" s="1"/>
  <c r="T99" i="2"/>
  <c r="U99" i="2" s="1"/>
  <c r="N99" i="2" s="1"/>
  <c r="M99" i="2" s="1"/>
  <c r="K99" i="2" s="1"/>
  <c r="T162" i="2"/>
  <c r="U162" i="2" s="1"/>
  <c r="N162" i="2" s="1"/>
  <c r="M162" i="2" s="1"/>
  <c r="K162" i="2" s="1"/>
  <c r="T170" i="2"/>
  <c r="U170" i="2" s="1"/>
  <c r="N170" i="2" s="1"/>
  <c r="O170" i="2" s="1"/>
  <c r="T174" i="2"/>
  <c r="U174" i="2" s="1"/>
  <c r="N174" i="2" s="1"/>
  <c r="O174" i="2" s="1"/>
  <c r="T189" i="2"/>
  <c r="U189" i="2" s="1"/>
  <c r="N189" i="2" s="1"/>
  <c r="O189" i="2" s="1"/>
  <c r="T255" i="2"/>
  <c r="U255" i="2" s="1"/>
  <c r="N255" i="2" s="1"/>
  <c r="M255" i="2" s="1"/>
  <c r="K255" i="2" s="1"/>
  <c r="T313" i="2"/>
  <c r="U313" i="2" s="1"/>
  <c r="N313" i="2" s="1"/>
  <c r="M313" i="2" s="1"/>
  <c r="K313" i="2" s="1"/>
  <c r="T51" i="2"/>
  <c r="U51" i="2" s="1"/>
  <c r="N51" i="2" s="1"/>
  <c r="O51" i="2" s="1"/>
  <c r="T241" i="2"/>
  <c r="U241" i="2" s="1"/>
  <c r="N241" i="2" s="1"/>
  <c r="M241" i="2" s="1"/>
  <c r="K241" i="2" s="1"/>
  <c r="T265" i="2"/>
  <c r="U265" i="2" s="1"/>
  <c r="N265" i="2" s="1"/>
  <c r="T274" i="2"/>
  <c r="U274" i="2" s="1"/>
  <c r="N274" i="2" s="1"/>
  <c r="T127" i="2"/>
  <c r="U127" i="2" s="1"/>
  <c r="N127" i="2" s="1"/>
  <c r="O127" i="2" s="1"/>
  <c r="T208" i="2"/>
  <c r="U208" i="2" s="1"/>
  <c r="N208" i="2" s="1"/>
  <c r="O208" i="2" s="1"/>
  <c r="T227" i="2"/>
  <c r="U227" i="2" s="1"/>
  <c r="N227" i="2" s="1"/>
  <c r="O227" i="2" s="1"/>
  <c r="T246" i="2"/>
  <c r="U246" i="2" s="1"/>
  <c r="N246" i="2" s="1"/>
  <c r="T279" i="2"/>
  <c r="U279" i="2" s="1"/>
  <c r="N279" i="2" s="1"/>
  <c r="T180" i="2"/>
  <c r="U180" i="2" s="1"/>
  <c r="N180" i="2" s="1"/>
  <c r="M180" i="2" s="1"/>
  <c r="K180" i="2" s="1"/>
  <c r="T190" i="2"/>
  <c r="U190" i="2" s="1"/>
  <c r="N190" i="2" s="1"/>
  <c r="T131" i="2"/>
  <c r="U131" i="2" s="1"/>
  <c r="N131" i="2" s="1"/>
  <c r="O131" i="2" s="1"/>
  <c r="T171" i="2"/>
  <c r="U171" i="2" s="1"/>
  <c r="N171" i="2" s="1"/>
  <c r="O171" i="2" s="1"/>
  <c r="T124" i="2"/>
  <c r="U124" i="2" s="1"/>
  <c r="N124" i="2" s="1"/>
  <c r="O124" i="2" s="1"/>
  <c r="T149" i="2"/>
  <c r="U149" i="2" s="1"/>
  <c r="N149" i="2" s="1"/>
  <c r="M149" i="2" s="1"/>
  <c r="K149" i="2" s="1"/>
  <c r="T228" i="2"/>
  <c r="U228" i="2" s="1"/>
  <c r="N228" i="2" s="1"/>
  <c r="O228" i="2" s="1"/>
  <c r="T305" i="2"/>
  <c r="U305" i="2" s="1"/>
  <c r="N305" i="2" s="1"/>
  <c r="M305" i="2" s="1"/>
  <c r="K305" i="2" s="1"/>
  <c r="T66" i="2"/>
  <c r="U66" i="2" s="1"/>
  <c r="N66" i="2" s="1"/>
  <c r="M66" i="2" s="1"/>
  <c r="K66" i="2" s="1"/>
  <c r="T120" i="2"/>
  <c r="U120" i="2" s="1"/>
  <c r="N120" i="2" s="1"/>
  <c r="O120" i="2" s="1"/>
  <c r="T132" i="2"/>
  <c r="U132" i="2" s="1"/>
  <c r="N132" i="2" s="1"/>
  <c r="O132" i="2" s="1"/>
  <c r="T191" i="2"/>
  <c r="U191" i="2" s="1"/>
  <c r="N191" i="2" s="1"/>
  <c r="M191" i="2" s="1"/>
  <c r="K191" i="2" s="1"/>
  <c r="T233" i="2"/>
  <c r="U233" i="2" s="1"/>
  <c r="N233" i="2" s="1"/>
  <c r="M233" i="2" s="1"/>
  <c r="K233" i="2" s="1"/>
  <c r="T290" i="2"/>
  <c r="U290" i="2" s="1"/>
  <c r="N290" i="2" s="1"/>
  <c r="T315" i="2"/>
  <c r="U315" i="2" s="1"/>
  <c r="N315" i="2" s="1"/>
  <c r="M315" i="2" s="1"/>
  <c r="K315" i="2" s="1"/>
  <c r="T299" i="2"/>
  <c r="U299" i="2" s="1"/>
  <c r="N299" i="2" s="1"/>
  <c r="T11" i="2"/>
  <c r="U11" i="2" s="1"/>
  <c r="N11" i="2" s="1"/>
  <c r="M11" i="2" s="1"/>
  <c r="K11" i="2" s="1"/>
  <c r="T75" i="2"/>
  <c r="U75" i="2" s="1"/>
  <c r="N75" i="2" s="1"/>
  <c r="O75" i="2" s="1"/>
  <c r="T103" i="2"/>
  <c r="U103" i="2" s="1"/>
  <c r="N103" i="2" s="1"/>
  <c r="M103" i="2" s="1"/>
  <c r="K103" i="2" s="1"/>
  <c r="T111" i="2"/>
  <c r="U111" i="2" s="1"/>
  <c r="N111" i="2" s="1"/>
  <c r="O111" i="2" s="1"/>
  <c r="T157" i="2"/>
  <c r="U157" i="2" s="1"/>
  <c r="N157" i="2" s="1"/>
  <c r="T169" i="2"/>
  <c r="U169" i="2" s="1"/>
  <c r="N169" i="2" s="1"/>
  <c r="O169" i="2" s="1"/>
  <c r="T177" i="2"/>
  <c r="U177" i="2" s="1"/>
  <c r="N177" i="2" s="1"/>
  <c r="T186" i="2"/>
  <c r="U186" i="2" s="1"/>
  <c r="N186" i="2" s="1"/>
  <c r="T251" i="2"/>
  <c r="U251" i="2" s="1"/>
  <c r="N251" i="2" s="1"/>
  <c r="M251" i="2" s="1"/>
  <c r="K251" i="2" s="1"/>
  <c r="T284" i="2"/>
  <c r="U284" i="2" s="1"/>
  <c r="N284" i="2" s="1"/>
  <c r="M284" i="2" s="1"/>
  <c r="K284" i="2" s="1"/>
  <c r="T288" i="2"/>
  <c r="U288" i="2" s="1"/>
  <c r="N288" i="2" s="1"/>
  <c r="M288" i="2" s="1"/>
  <c r="K288" i="2" s="1"/>
  <c r="T292" i="2"/>
  <c r="U292" i="2" s="1"/>
  <c r="N292" i="2" s="1"/>
  <c r="M292" i="2" s="1"/>
  <c r="K292" i="2" s="1"/>
  <c r="T63" i="2"/>
  <c r="U63" i="2" s="1"/>
  <c r="N63" i="2" s="1"/>
  <c r="M63" i="2" s="1"/>
  <c r="K63" i="2" s="1"/>
  <c r="T121" i="2"/>
  <c r="U121" i="2" s="1"/>
  <c r="N121" i="2" s="1"/>
  <c r="M121" i="2" s="1"/>
  <c r="K121" i="2" s="1"/>
  <c r="T173" i="2"/>
  <c r="U173" i="2" s="1"/>
  <c r="N173" i="2" s="1"/>
  <c r="O173" i="2" s="1"/>
  <c r="T247" i="2"/>
  <c r="U247" i="2" s="1"/>
  <c r="N247" i="2" s="1"/>
  <c r="M247" i="2" s="1"/>
  <c r="K247" i="2" s="1"/>
  <c r="T40" i="2"/>
  <c r="U40" i="2" s="1"/>
  <c r="N40" i="2" s="1"/>
  <c r="O40" i="2" s="1"/>
  <c r="T158" i="2"/>
  <c r="U158" i="2" s="1"/>
  <c r="N158" i="2" s="1"/>
  <c r="O158" i="2" s="1"/>
  <c r="T166" i="2"/>
  <c r="U166" i="2" s="1"/>
  <c r="N166" i="2" s="1"/>
  <c r="O166" i="2" s="1"/>
  <c r="T187" i="2"/>
  <c r="U187" i="2" s="1"/>
  <c r="N187" i="2" s="1"/>
  <c r="M187" i="2" s="1"/>
  <c r="K187" i="2" s="1"/>
  <c r="T76" i="2"/>
  <c r="U76" i="2" s="1"/>
  <c r="N76" i="2" s="1"/>
  <c r="O76" i="2" s="1"/>
  <c r="T104" i="2"/>
  <c r="U104" i="2" s="1"/>
  <c r="N104" i="2" s="1"/>
  <c r="M104" i="2" s="1"/>
  <c r="K104" i="2" s="1"/>
  <c r="T112" i="2"/>
  <c r="U112" i="2" s="1"/>
  <c r="N112" i="2" s="1"/>
  <c r="T178" i="2"/>
  <c r="U178" i="2" s="1"/>
  <c r="N178" i="2" s="1"/>
  <c r="O178" i="2" s="1"/>
  <c r="T41" i="2"/>
  <c r="U41" i="2" s="1"/>
  <c r="N41" i="2" s="1"/>
  <c r="O41" i="2" s="1"/>
  <c r="T48" i="2"/>
  <c r="U48" i="2" s="1"/>
  <c r="N48" i="2" s="1"/>
  <c r="O48" i="2" s="1"/>
  <c r="T80" i="2"/>
  <c r="U80" i="2" s="1"/>
  <c r="N80" i="2" s="1"/>
  <c r="O80" i="2" s="1"/>
  <c r="T144" i="2"/>
  <c r="U144" i="2" s="1"/>
  <c r="N144" i="2" s="1"/>
  <c r="M144" i="2" s="1"/>
  <c r="K144" i="2" s="1"/>
  <c r="T183" i="2"/>
  <c r="U183" i="2" s="1"/>
  <c r="N183" i="2" s="1"/>
  <c r="T196" i="2"/>
  <c r="U196" i="2" s="1"/>
  <c r="N196" i="2" s="1"/>
  <c r="T200" i="2"/>
  <c r="U200" i="2" s="1"/>
  <c r="N200" i="2" s="1"/>
  <c r="O200" i="2" s="1"/>
  <c r="T257" i="2"/>
  <c r="U257" i="2" s="1"/>
  <c r="N257" i="2" s="1"/>
  <c r="M257" i="2" s="1"/>
  <c r="K257" i="2" s="1"/>
  <c r="T20" i="2"/>
  <c r="U20" i="2" s="1"/>
  <c r="N20" i="2" s="1"/>
  <c r="O20" i="2" s="1"/>
  <c r="T28" i="2"/>
  <c r="U28" i="2" s="1"/>
  <c r="N28" i="2" s="1"/>
  <c r="M28" i="2" s="1"/>
  <c r="K28" i="2" s="1"/>
  <c r="T73" i="2"/>
  <c r="U73" i="2" s="1"/>
  <c r="N73" i="2" s="1"/>
  <c r="M73" i="2" s="1"/>
  <c r="K73" i="2" s="1"/>
  <c r="T154" i="2"/>
  <c r="U154" i="2" s="1"/>
  <c r="N154" i="2" s="1"/>
  <c r="T235" i="2"/>
  <c r="U235" i="2" s="1"/>
  <c r="N235" i="2" s="1"/>
  <c r="T310" i="2"/>
  <c r="U310" i="2" s="1"/>
  <c r="N310" i="2" s="1"/>
  <c r="M310" i="2" s="1"/>
  <c r="K310" i="2" s="1"/>
  <c r="T253" i="2"/>
  <c r="U253" i="2" s="1"/>
  <c r="N253" i="2" s="1"/>
  <c r="T9" i="2"/>
  <c r="U9" i="2" s="1"/>
  <c r="N9" i="2" s="1"/>
  <c r="M9" i="2" s="1"/>
  <c r="K9" i="2" s="1"/>
  <c r="T77" i="2"/>
  <c r="U77" i="2" s="1"/>
  <c r="N77" i="2" s="1"/>
  <c r="O77" i="2" s="1"/>
  <c r="T96" i="2"/>
  <c r="U96" i="2" s="1"/>
  <c r="N96" i="2" s="1"/>
  <c r="O96" i="2" s="1"/>
  <c r="T126" i="2"/>
  <c r="U126" i="2" s="1"/>
  <c r="N126" i="2" s="1"/>
  <c r="O126" i="2" s="1"/>
  <c r="T133" i="2"/>
  <c r="U133" i="2" s="1"/>
  <c r="N133" i="2" s="1"/>
  <c r="O133" i="2" s="1"/>
  <c r="T214" i="2"/>
  <c r="U214" i="2" s="1"/>
  <c r="N214" i="2" s="1"/>
  <c r="T231" i="2"/>
  <c r="U231" i="2" s="1"/>
  <c r="N231" i="2" s="1"/>
  <c r="T258" i="2"/>
  <c r="U258" i="2" s="1"/>
  <c r="N258" i="2" s="1"/>
  <c r="T294" i="2"/>
  <c r="U294" i="2" s="1"/>
  <c r="N294" i="2" s="1"/>
  <c r="M294" i="2" s="1"/>
  <c r="K294" i="2" s="1"/>
  <c r="T302" i="2"/>
  <c r="U302" i="2" s="1"/>
  <c r="N302" i="2" s="1"/>
  <c r="T314" i="2"/>
  <c r="U314" i="2" s="1"/>
  <c r="N314" i="2" s="1"/>
  <c r="T182" i="2"/>
  <c r="U182" i="2" s="1"/>
  <c r="N182" i="2" s="1"/>
  <c r="O182" i="2" s="1"/>
  <c r="T256" i="2"/>
  <c r="U256" i="2" s="1"/>
  <c r="N256" i="2" s="1"/>
  <c r="M256" i="2" s="1"/>
  <c r="K256" i="2" s="1"/>
  <c r="T5" i="2"/>
  <c r="U5" i="2" s="1"/>
  <c r="N5" i="2" s="1"/>
  <c r="O5" i="2" s="1"/>
  <c r="T25" i="2"/>
  <c r="U25" i="2" s="1"/>
  <c r="N25" i="2" s="1"/>
  <c r="M25" i="2" s="1"/>
  <c r="K25" i="2" s="1"/>
  <c r="T34" i="2"/>
  <c r="U34" i="2" s="1"/>
  <c r="N34" i="2" s="1"/>
  <c r="M34" i="2" s="1"/>
  <c r="K34" i="2" s="1"/>
  <c r="T38" i="2"/>
  <c r="U38" i="2" s="1"/>
  <c r="N38" i="2" s="1"/>
  <c r="O38" i="2" s="1"/>
  <c r="T81" i="2"/>
  <c r="U81" i="2" s="1"/>
  <c r="N81" i="2" s="1"/>
  <c r="O81" i="2" s="1"/>
  <c r="T92" i="2"/>
  <c r="U92" i="2" s="1"/>
  <c r="N92" i="2" s="1"/>
  <c r="O92" i="2" s="1"/>
  <c r="T21" i="2"/>
  <c r="U21" i="2" s="1"/>
  <c r="N21" i="2" s="1"/>
  <c r="O21" i="2" s="1"/>
  <c r="T85" i="2"/>
  <c r="U85" i="2" s="1"/>
  <c r="N85" i="2" s="1"/>
  <c r="O85" i="2" s="1"/>
  <c r="T114" i="2"/>
  <c r="U114" i="2" s="1"/>
  <c r="N114" i="2" s="1"/>
  <c r="M114" i="2" s="1"/>
  <c r="K114" i="2" s="1"/>
  <c r="T130" i="2"/>
  <c r="U130" i="2" s="1"/>
  <c r="N130" i="2" s="1"/>
  <c r="O130" i="2" s="1"/>
  <c r="T137" i="2"/>
  <c r="U137" i="2" s="1"/>
  <c r="N137" i="2" s="1"/>
  <c r="O137" i="2" s="1"/>
  <c r="T141" i="2"/>
  <c r="U141" i="2" s="1"/>
  <c r="N141" i="2" s="1"/>
  <c r="O141" i="2" s="1"/>
  <c r="T249" i="2"/>
  <c r="U249" i="2" s="1"/>
  <c r="N249" i="2" s="1"/>
  <c r="O249" i="2" s="1"/>
  <c r="T270" i="2"/>
  <c r="U270" i="2" s="1"/>
  <c r="N270" i="2" s="1"/>
  <c r="M270" i="2" s="1"/>
  <c r="K270" i="2" s="1"/>
  <c r="T119" i="2"/>
  <c r="U119" i="2" s="1"/>
  <c r="N119" i="2" s="1"/>
  <c r="T232" i="2"/>
  <c r="U232" i="2" s="1"/>
  <c r="N232" i="2" s="1"/>
  <c r="M232" i="2" s="1"/>
  <c r="K232" i="2" s="1"/>
  <c r="T30" i="2"/>
  <c r="U30" i="2" s="1"/>
  <c r="N30" i="2" s="1"/>
  <c r="M30" i="2" s="1"/>
  <c r="K30" i="2" s="1"/>
  <c r="T46" i="2"/>
  <c r="U46" i="2" s="1"/>
  <c r="N46" i="2" s="1"/>
  <c r="O46" i="2" s="1"/>
  <c r="T53" i="2"/>
  <c r="U53" i="2" s="1"/>
  <c r="N53" i="2" s="1"/>
  <c r="M53" i="2" s="1"/>
  <c r="K53" i="2" s="1"/>
  <c r="T151" i="2"/>
  <c r="U151" i="2" s="1"/>
  <c r="N151" i="2" s="1"/>
  <c r="M151" i="2" s="1"/>
  <c r="K151" i="2" s="1"/>
  <c r="T78" i="2"/>
  <c r="U78" i="2" s="1"/>
  <c r="N78" i="2" s="1"/>
  <c r="O78" i="2" s="1"/>
  <c r="T86" i="2"/>
  <c r="U86" i="2" s="1"/>
  <c r="N86" i="2" s="1"/>
  <c r="O86" i="2" s="1"/>
  <c r="T93" i="2"/>
  <c r="U93" i="2" s="1"/>
  <c r="N93" i="2" s="1"/>
  <c r="O93" i="2" s="1"/>
  <c r="T98" i="2"/>
  <c r="U98" i="2" s="1"/>
  <c r="N98" i="2" s="1"/>
  <c r="M98" i="2" s="1"/>
  <c r="K98" i="2" s="1"/>
  <c r="T138" i="2"/>
  <c r="U138" i="2" s="1"/>
  <c r="N138" i="2" s="1"/>
  <c r="O138" i="2" s="1"/>
  <c r="T142" i="2"/>
  <c r="U142" i="2" s="1"/>
  <c r="N142" i="2" s="1"/>
  <c r="T176" i="2"/>
  <c r="U176" i="2" s="1"/>
  <c r="N176" i="2" s="1"/>
  <c r="M176" i="2" s="1"/>
  <c r="K176" i="2" s="1"/>
  <c r="T181" i="2"/>
  <c r="U181" i="2" s="1"/>
  <c r="N181" i="2" s="1"/>
  <c r="T211" i="2"/>
  <c r="U211" i="2" s="1"/>
  <c r="N211" i="2" s="1"/>
  <c r="T220" i="2"/>
  <c r="U220" i="2" s="1"/>
  <c r="N220" i="2" s="1"/>
  <c r="T312" i="2"/>
  <c r="U312" i="2" s="1"/>
  <c r="N312" i="2" s="1"/>
  <c r="M312" i="2" s="1"/>
  <c r="K312" i="2" s="1"/>
  <c r="T161" i="2"/>
  <c r="U161" i="2" s="1"/>
  <c r="N161" i="2" s="1"/>
  <c r="T33" i="2"/>
  <c r="U33" i="2" s="1"/>
  <c r="N33" i="2" s="1"/>
  <c r="T56" i="2"/>
  <c r="U56" i="2" s="1"/>
  <c r="N56" i="2" s="1"/>
  <c r="M56" i="2" s="1"/>
  <c r="K56" i="2" s="1"/>
  <c r="T175" i="2"/>
  <c r="U175" i="2" s="1"/>
  <c r="N175" i="2" s="1"/>
  <c r="T22" i="2"/>
  <c r="U22" i="2" s="1"/>
  <c r="N22" i="2" s="1"/>
  <c r="O22" i="2" s="1"/>
  <c r="T89" i="2"/>
  <c r="U89" i="2" s="1"/>
  <c r="N89" i="2" s="1"/>
  <c r="O89" i="2" s="1"/>
  <c r="T118" i="2"/>
  <c r="U118" i="2" s="1"/>
  <c r="N118" i="2" s="1"/>
  <c r="T29" i="2"/>
  <c r="U29" i="2" s="1"/>
  <c r="N29" i="2" s="1"/>
  <c r="T4" i="2"/>
  <c r="U4" i="2" s="1"/>
  <c r="N4" i="2" s="1"/>
  <c r="O4" i="2" s="1"/>
  <c r="T68" i="2"/>
  <c r="U68" i="2" s="1"/>
  <c r="N68" i="2" s="1"/>
  <c r="T222" i="2"/>
  <c r="U222" i="2" s="1"/>
  <c r="N222" i="2" s="1"/>
  <c r="M222" i="2" s="1"/>
  <c r="K222" i="2" s="1"/>
  <c r="T278" i="2"/>
  <c r="U278" i="2" s="1"/>
  <c r="N278" i="2" s="1"/>
  <c r="M278" i="2" s="1"/>
  <c r="K278" i="2" s="1"/>
  <c r="T31" i="2"/>
  <c r="U31" i="2" s="1"/>
  <c r="N31" i="2" s="1"/>
  <c r="T156" i="2"/>
  <c r="U156" i="2" s="1"/>
  <c r="N156" i="2" s="1"/>
  <c r="T69" i="2"/>
  <c r="U69" i="2" s="1"/>
  <c r="N69" i="2" s="1"/>
  <c r="M69" i="2" s="1"/>
  <c r="K69" i="2" s="1"/>
  <c r="T150" i="2"/>
  <c r="U150" i="2" s="1"/>
  <c r="N150" i="2" s="1"/>
  <c r="M150" i="2" s="1"/>
  <c r="K150" i="2" s="1"/>
  <c r="T242" i="2"/>
  <c r="U242" i="2" s="1"/>
  <c r="N242" i="2" s="1"/>
  <c r="T14" i="2"/>
  <c r="U14" i="2" s="1"/>
  <c r="N14" i="2" s="1"/>
  <c r="T90" i="2"/>
  <c r="U90" i="2" s="1"/>
  <c r="N90" i="2" s="1"/>
  <c r="O90" i="2" s="1"/>
  <c r="T159" i="2"/>
  <c r="U159" i="2" s="1"/>
  <c r="N159" i="2" s="1"/>
  <c r="T226" i="2"/>
  <c r="U226" i="2" s="1"/>
  <c r="N226" i="2" s="1"/>
  <c r="O226" i="2" s="1"/>
  <c r="T306" i="2"/>
  <c r="U306" i="2" s="1"/>
  <c r="N306" i="2" s="1"/>
  <c r="M306" i="2" s="1"/>
  <c r="K306" i="2" s="1"/>
  <c r="T179" i="2"/>
  <c r="U179" i="2" s="1"/>
  <c r="N179" i="2" s="1"/>
  <c r="M179" i="2" s="1"/>
  <c r="K179" i="2" s="1"/>
  <c r="T312" i="1"/>
  <c r="U312" i="1" s="1"/>
  <c r="N312" i="1" s="1"/>
  <c r="O312" i="1" s="1"/>
  <c r="T262" i="1"/>
  <c r="U262" i="1" s="1"/>
  <c r="N262" i="1" s="1"/>
  <c r="M262" i="1" s="1"/>
  <c r="K262" i="1" s="1"/>
  <c r="T310" i="1"/>
  <c r="U310" i="1" s="1"/>
  <c r="N310" i="1" s="1"/>
  <c r="M310" i="1" s="1"/>
  <c r="K310" i="1" s="1"/>
  <c r="T259" i="1"/>
  <c r="U259" i="1" s="1"/>
  <c r="N259" i="1" s="1"/>
  <c r="M259" i="1" s="1"/>
  <c r="K259" i="1" s="1"/>
  <c r="T114" i="1"/>
  <c r="U114" i="1" s="1"/>
  <c r="N114" i="1" s="1"/>
  <c r="O114" i="1" s="1"/>
  <c r="T194" i="1"/>
  <c r="U194" i="1" s="1"/>
  <c r="N194" i="1" s="1"/>
  <c r="M194" i="1" s="1"/>
  <c r="K194" i="1" s="1"/>
  <c r="T260" i="1"/>
  <c r="U260" i="1" s="1"/>
  <c r="N260" i="1" s="1"/>
  <c r="M260" i="1" s="1"/>
  <c r="K260" i="1" s="1"/>
  <c r="T74" i="1"/>
  <c r="U74" i="1" s="1"/>
  <c r="N74" i="1" s="1"/>
  <c r="M74" i="1" s="1"/>
  <c r="K74" i="1" s="1"/>
  <c r="T6" i="1"/>
  <c r="U6" i="1" s="1"/>
  <c r="N6" i="1" s="1"/>
  <c r="O6" i="1" s="1"/>
  <c r="T125" i="1"/>
  <c r="U125" i="1" s="1"/>
  <c r="N125" i="1" s="1"/>
  <c r="O125" i="1" s="1"/>
  <c r="T95" i="2"/>
  <c r="U95" i="2" s="1"/>
  <c r="N95" i="2" s="1"/>
  <c r="T300" i="2"/>
  <c r="U300" i="2" s="1"/>
  <c r="N300" i="2" s="1"/>
  <c r="T110" i="2"/>
  <c r="U110" i="2" s="1"/>
  <c r="N110" i="2" s="1"/>
  <c r="T204" i="2"/>
  <c r="U204" i="2" s="1"/>
  <c r="N204" i="2" s="1"/>
  <c r="M204" i="2" s="1"/>
  <c r="K204" i="2" s="1"/>
  <c r="T23" i="2"/>
  <c r="U23" i="2" s="1"/>
  <c r="N23" i="2" s="1"/>
  <c r="T224" i="2"/>
  <c r="U224" i="2" s="1"/>
  <c r="N224" i="2" s="1"/>
  <c r="M224" i="2" s="1"/>
  <c r="K224" i="2" s="1"/>
  <c r="T216" i="2"/>
  <c r="U216" i="2" s="1"/>
  <c r="N216" i="2" s="1"/>
  <c r="T212" i="2"/>
  <c r="U212" i="2" s="1"/>
  <c r="N212" i="2" s="1"/>
  <c r="T251" i="1"/>
  <c r="U251" i="1" s="1"/>
  <c r="N251" i="1" s="1"/>
  <c r="T147" i="1"/>
  <c r="U147" i="1" s="1"/>
  <c r="N147" i="1" s="1"/>
  <c r="M147" i="1" s="1"/>
  <c r="K147" i="1" s="1"/>
  <c r="T207" i="1"/>
  <c r="U207" i="1" s="1"/>
  <c r="N207" i="1" s="1"/>
  <c r="M207" i="1" s="1"/>
  <c r="K207" i="1" s="1"/>
  <c r="T62" i="1"/>
  <c r="U62" i="1" s="1"/>
  <c r="N62" i="1" s="1"/>
  <c r="M62" i="1" s="1"/>
  <c r="K62" i="1" s="1"/>
  <c r="T208" i="1"/>
  <c r="U208" i="1" s="1"/>
  <c r="N208" i="1" s="1"/>
  <c r="M208" i="1" s="1"/>
  <c r="K208" i="1" s="1"/>
  <c r="T305" i="1"/>
  <c r="U305" i="1" s="1"/>
  <c r="N305" i="1" s="1"/>
  <c r="M305" i="1" s="1"/>
  <c r="K305" i="1" s="1"/>
  <c r="T104" i="1"/>
  <c r="U104" i="1" s="1"/>
  <c r="N104" i="1" s="1"/>
  <c r="M104" i="1" s="1"/>
  <c r="K104" i="1" s="1"/>
  <c r="T152" i="1"/>
  <c r="U152" i="1" s="1"/>
  <c r="N152" i="1" s="1"/>
  <c r="M152" i="1" s="1"/>
  <c r="K152" i="1" s="1"/>
  <c r="T154" i="1"/>
  <c r="U154" i="1" s="1"/>
  <c r="N154" i="1" s="1"/>
  <c r="M154" i="1" s="1"/>
  <c r="K154" i="1" s="1"/>
  <c r="T243" i="1"/>
  <c r="U243" i="1" s="1"/>
  <c r="N243" i="1" s="1"/>
  <c r="M243" i="1" s="1"/>
  <c r="K243" i="1" s="1"/>
  <c r="T32" i="1"/>
  <c r="U32" i="1" s="1"/>
  <c r="N32" i="1" s="1"/>
  <c r="M32" i="1" s="1"/>
  <c r="K32" i="1" s="1"/>
  <c r="T215" i="1"/>
  <c r="U215" i="1" s="1"/>
  <c r="N215" i="1" s="1"/>
  <c r="O215" i="1" s="1"/>
  <c r="T158" i="1"/>
  <c r="U158" i="1" s="1"/>
  <c r="N158" i="1" s="1"/>
  <c r="M158" i="1" s="1"/>
  <c r="K158" i="1" s="1"/>
  <c r="T309" i="1"/>
  <c r="U309" i="1" s="1"/>
  <c r="N309" i="1" s="1"/>
  <c r="M309" i="1" s="1"/>
  <c r="K309" i="1" s="1"/>
  <c r="T69" i="1"/>
  <c r="U69" i="1" s="1"/>
  <c r="N69" i="1" s="1"/>
  <c r="O69" i="1" s="1"/>
  <c r="T300" i="1"/>
  <c r="U300" i="1" s="1"/>
  <c r="N300" i="1" s="1"/>
  <c r="M300" i="1" s="1"/>
  <c r="K300" i="1" s="1"/>
  <c r="T218" i="1"/>
  <c r="U218" i="1" s="1"/>
  <c r="N218" i="1" s="1"/>
  <c r="T71" i="1"/>
  <c r="U71" i="1" s="1"/>
  <c r="N71" i="1" s="1"/>
  <c r="O71" i="1" s="1"/>
  <c r="T72" i="1"/>
  <c r="U72" i="1" s="1"/>
  <c r="N72" i="1" s="1"/>
  <c r="O72" i="1" s="1"/>
  <c r="T222" i="1"/>
  <c r="U222" i="1" s="1"/>
  <c r="N222" i="1" s="1"/>
  <c r="M222" i="1" s="1"/>
  <c r="K222" i="1" s="1"/>
  <c r="T261" i="1"/>
  <c r="U261" i="1" s="1"/>
  <c r="N261" i="1" s="1"/>
  <c r="O261" i="1" s="1"/>
  <c r="T228" i="1"/>
  <c r="U228" i="1" s="1"/>
  <c r="N228" i="1" s="1"/>
  <c r="O228" i="1" s="1"/>
  <c r="T199" i="1"/>
  <c r="U199" i="1" s="1"/>
  <c r="N199" i="1" s="1"/>
  <c r="O199" i="1" s="1"/>
  <c r="T79" i="1"/>
  <c r="U79" i="1" s="1"/>
  <c r="N79" i="1" s="1"/>
  <c r="O79" i="1" s="1"/>
  <c r="T39" i="1"/>
  <c r="U39" i="1" s="1"/>
  <c r="N39" i="1" s="1"/>
  <c r="O39" i="1" s="1"/>
  <c r="T168" i="1"/>
  <c r="U168" i="1" s="1"/>
  <c r="N168" i="1" s="1"/>
  <c r="O168" i="1" s="1"/>
  <c r="T132" i="1"/>
  <c r="U132" i="1" s="1"/>
  <c r="N132" i="1" s="1"/>
  <c r="O132" i="1" s="1"/>
  <c r="T42" i="1"/>
  <c r="U42" i="1" s="1"/>
  <c r="N42" i="1" s="1"/>
  <c r="O42" i="1" s="1"/>
  <c r="T91" i="1"/>
  <c r="U91" i="1" s="1"/>
  <c r="N91" i="1" s="1"/>
  <c r="O91" i="1" s="1"/>
  <c r="T47" i="1"/>
  <c r="U47" i="1" s="1"/>
  <c r="N47" i="1" s="1"/>
  <c r="O47" i="1" s="1"/>
  <c r="T92" i="1"/>
  <c r="U92" i="1" s="1"/>
  <c r="N92" i="1" s="1"/>
  <c r="O92" i="1" s="1"/>
  <c r="T22" i="1"/>
  <c r="U22" i="1" s="1"/>
  <c r="N22" i="1" s="1"/>
  <c r="O22" i="1" s="1"/>
  <c r="T13" i="1"/>
  <c r="U13" i="1" s="1"/>
  <c r="N13" i="1" s="1"/>
  <c r="M13" i="1" s="1"/>
  <c r="K13" i="1" s="1"/>
  <c r="T264" i="1"/>
  <c r="U264" i="1" s="1"/>
  <c r="N264" i="1" s="1"/>
  <c r="O264" i="1" s="1"/>
  <c r="T96" i="1"/>
  <c r="U96" i="1" s="1"/>
  <c r="N96" i="1" s="1"/>
  <c r="M96" i="1" s="1"/>
  <c r="K96" i="1" s="1"/>
  <c r="T144" i="1"/>
  <c r="U144" i="1" s="1"/>
  <c r="N144" i="1" s="1"/>
  <c r="O144" i="1" s="1"/>
  <c r="T205" i="1"/>
  <c r="U205" i="1" s="1"/>
  <c r="N205" i="1" s="1"/>
  <c r="M205" i="1" s="1"/>
  <c r="K205" i="1" s="1"/>
  <c r="T253" i="1"/>
  <c r="U253" i="1" s="1"/>
  <c r="N253" i="1" s="1"/>
  <c r="M253" i="1" s="1"/>
  <c r="K253" i="1" s="1"/>
  <c r="T294" i="1"/>
  <c r="U294" i="1" s="1"/>
  <c r="N294" i="1" s="1"/>
  <c r="T100" i="1"/>
  <c r="U100" i="1" s="1"/>
  <c r="N100" i="1" s="1"/>
  <c r="M100" i="1" s="1"/>
  <c r="K100" i="1" s="1"/>
  <c r="T101" i="1"/>
  <c r="U101" i="1" s="1"/>
  <c r="N101" i="1" s="1"/>
  <c r="O101" i="1" s="1"/>
  <c r="T238" i="1"/>
  <c r="U238" i="1" s="1"/>
  <c r="N238" i="1" s="1"/>
  <c r="M238" i="1" s="1"/>
  <c r="K238" i="1" s="1"/>
  <c r="T111" i="1"/>
  <c r="U111" i="1" s="1"/>
  <c r="N111" i="1" s="1"/>
  <c r="M111" i="1" s="1"/>
  <c r="K111" i="1" s="1"/>
  <c r="T244" i="1"/>
  <c r="U244" i="1" s="1"/>
  <c r="N244" i="1" s="1"/>
  <c r="M244" i="1" s="1"/>
  <c r="K244" i="1" s="1"/>
  <c r="T304" i="1"/>
  <c r="U304" i="1" s="1"/>
  <c r="N304" i="1" s="1"/>
  <c r="T219" i="1"/>
  <c r="U219" i="1" s="1"/>
  <c r="N219" i="1" s="1"/>
  <c r="T223" i="1"/>
  <c r="U223" i="1" s="1"/>
  <c r="N223" i="1" s="1"/>
  <c r="T283" i="1"/>
  <c r="U283" i="1" s="1"/>
  <c r="N283" i="1" s="1"/>
  <c r="O283" i="1" s="1"/>
  <c r="T34" i="1"/>
  <c r="U34" i="1" s="1"/>
  <c r="N34" i="1" s="1"/>
  <c r="M34" i="1" s="1"/>
  <c r="K34" i="1" s="1"/>
  <c r="T162" i="1"/>
  <c r="U162" i="1" s="1"/>
  <c r="N162" i="1" s="1"/>
  <c r="T163" i="1"/>
  <c r="U163" i="1" s="1"/>
  <c r="N163" i="1" s="1"/>
  <c r="O163" i="1" s="1"/>
  <c r="T249" i="1"/>
  <c r="U249" i="1" s="1"/>
  <c r="N249" i="1" s="1"/>
  <c r="O249" i="1" s="1"/>
  <c r="T167" i="1"/>
  <c r="U167" i="1" s="1"/>
  <c r="N167" i="1" s="1"/>
  <c r="O167" i="1" s="1"/>
  <c r="T229" i="1"/>
  <c r="U229" i="1" s="1"/>
  <c r="N229" i="1" s="1"/>
  <c r="O229" i="1" s="1"/>
  <c r="T84" i="1"/>
  <c r="U84" i="1" s="1"/>
  <c r="N84" i="1" s="1"/>
  <c r="O84" i="1" s="1"/>
  <c r="T86" i="1"/>
  <c r="U86" i="1" s="1"/>
  <c r="N86" i="1" s="1"/>
  <c r="O86" i="1" s="1"/>
  <c r="T89" i="1"/>
  <c r="U89" i="1" s="1"/>
  <c r="N89" i="1" s="1"/>
  <c r="O89" i="1" s="1"/>
  <c r="T48" i="1"/>
  <c r="U48" i="1" s="1"/>
  <c r="N48" i="1" s="1"/>
  <c r="O48" i="1" s="1"/>
  <c r="T19" i="1"/>
  <c r="U19" i="1" s="1"/>
  <c r="N19" i="1" s="1"/>
  <c r="O19" i="1" s="1"/>
  <c r="T289" i="1"/>
  <c r="U289" i="1" s="1"/>
  <c r="N289" i="1" s="1"/>
  <c r="M289" i="1" s="1"/>
  <c r="K289" i="1" s="1"/>
  <c r="T52" i="1"/>
  <c r="U52" i="1" s="1"/>
  <c r="N52" i="1" s="1"/>
  <c r="O52" i="1" s="1"/>
  <c r="T203" i="1"/>
  <c r="U203" i="1" s="1"/>
  <c r="N203" i="1" s="1"/>
  <c r="M203" i="1" s="1"/>
  <c r="K203" i="1" s="1"/>
  <c r="T276" i="1"/>
  <c r="U276" i="1" s="1"/>
  <c r="N276" i="1" s="1"/>
  <c r="T232" i="1"/>
  <c r="U232" i="1" s="1"/>
  <c r="N232" i="1" s="1"/>
  <c r="T265" i="1"/>
  <c r="U265" i="1" s="1"/>
  <c r="N265" i="1" s="1"/>
  <c r="M265" i="1" s="1"/>
  <c r="K265" i="1" s="1"/>
  <c r="T285" i="1"/>
  <c r="U285" i="1" s="1"/>
  <c r="N285" i="1" s="1"/>
  <c r="T30" i="1"/>
  <c r="U30" i="1" s="1"/>
  <c r="N30" i="1" s="1"/>
  <c r="M30" i="1" s="1"/>
  <c r="K30" i="1" s="1"/>
  <c r="T60" i="1"/>
  <c r="U60" i="1" s="1"/>
  <c r="N60" i="1" s="1"/>
  <c r="T295" i="1"/>
  <c r="U295" i="1" s="1"/>
  <c r="N295" i="1" s="1"/>
  <c r="M295" i="1" s="1"/>
  <c r="K295" i="1" s="1"/>
  <c r="T181" i="1"/>
  <c r="U181" i="1" s="1"/>
  <c r="N181" i="1" s="1"/>
  <c r="M181" i="1" s="1"/>
  <c r="K181" i="1" s="1"/>
  <c r="T191" i="1"/>
  <c r="U191" i="1" s="1"/>
  <c r="N191" i="1" s="1"/>
  <c r="M191" i="1" s="1"/>
  <c r="K191" i="1" s="1"/>
  <c r="T180" i="1"/>
  <c r="U180" i="1" s="1"/>
  <c r="N180" i="1" s="1"/>
  <c r="O180" i="1" s="1"/>
  <c r="T213" i="1"/>
  <c r="U213" i="1" s="1"/>
  <c r="N213" i="1" s="1"/>
  <c r="T296" i="1"/>
  <c r="U296" i="1" s="1"/>
  <c r="N296" i="1" s="1"/>
  <c r="T24" i="1"/>
  <c r="U24" i="1" s="1"/>
  <c r="N24" i="1" s="1"/>
  <c r="M24" i="1" s="1"/>
  <c r="K24" i="1" s="1"/>
  <c r="T231" i="1"/>
  <c r="U231" i="1" s="1"/>
  <c r="N231" i="1" s="1"/>
  <c r="O231" i="1" s="1"/>
  <c r="T307" i="1"/>
  <c r="U307" i="1" s="1"/>
  <c r="N307" i="1" s="1"/>
  <c r="O307" i="1" s="1"/>
  <c r="T254" i="1"/>
  <c r="U254" i="1" s="1"/>
  <c r="N254" i="1" s="1"/>
  <c r="O254" i="1" s="1"/>
  <c r="T286" i="1"/>
  <c r="U286" i="1" s="1"/>
  <c r="N286" i="1" s="1"/>
  <c r="T28" i="1"/>
  <c r="U28" i="1" s="1"/>
  <c r="N28" i="1" s="1"/>
  <c r="T239" i="1"/>
  <c r="U239" i="1" s="1"/>
  <c r="N239" i="1" s="1"/>
  <c r="M239" i="1" s="1"/>
  <c r="K239" i="1" s="1"/>
  <c r="T270" i="1"/>
  <c r="U270" i="1" s="1"/>
  <c r="N270" i="1" s="1"/>
  <c r="M270" i="1" s="1"/>
  <c r="K270" i="1" s="1"/>
  <c r="T103" i="1"/>
  <c r="U103" i="1" s="1"/>
  <c r="N103" i="1" s="1"/>
  <c r="T105" i="1"/>
  <c r="U105" i="1" s="1"/>
  <c r="N105" i="1" s="1"/>
  <c r="M105" i="1" s="1"/>
  <c r="K105" i="1" s="1"/>
  <c r="T210" i="1"/>
  <c r="U210" i="1" s="1"/>
  <c r="N210" i="1" s="1"/>
  <c r="M210" i="1" s="1"/>
  <c r="K210" i="1" s="1"/>
  <c r="T212" i="1"/>
  <c r="U212" i="1" s="1"/>
  <c r="N212" i="1" s="1"/>
  <c r="M212" i="1" s="1"/>
  <c r="K212" i="1" s="1"/>
  <c r="T186" i="1"/>
  <c r="U186" i="1" s="1"/>
  <c r="N186" i="1" s="1"/>
  <c r="T156" i="1"/>
  <c r="U156" i="1" s="1"/>
  <c r="N156" i="1" s="1"/>
  <c r="M156" i="1" s="1"/>
  <c r="K156" i="1" s="1"/>
  <c r="T297" i="1"/>
  <c r="U297" i="1" s="1"/>
  <c r="N297" i="1" s="1"/>
  <c r="M297" i="1" s="1"/>
  <c r="K297" i="1" s="1"/>
  <c r="T159" i="1"/>
  <c r="U159" i="1" s="1"/>
  <c r="N159" i="1" s="1"/>
  <c r="M159" i="1" s="1"/>
  <c r="K159" i="1" s="1"/>
  <c r="T282" i="1"/>
  <c r="U282" i="1" s="1"/>
  <c r="N282" i="1" s="1"/>
  <c r="M282" i="1" s="1"/>
  <c r="K282" i="1" s="1"/>
  <c r="T161" i="1"/>
  <c r="U161" i="1" s="1"/>
  <c r="N161" i="1" s="1"/>
  <c r="M161" i="1" s="1"/>
  <c r="K161" i="1" s="1"/>
  <c r="T73" i="1"/>
  <c r="U73" i="1" s="1"/>
  <c r="N73" i="1" s="1"/>
  <c r="T164" i="1"/>
  <c r="U164" i="1" s="1"/>
  <c r="N164" i="1" s="1"/>
  <c r="O164" i="1" s="1"/>
  <c r="T76" i="1"/>
  <c r="U76" i="1" s="1"/>
  <c r="N76" i="1" s="1"/>
  <c r="O76" i="1" s="1"/>
  <c r="T198" i="1"/>
  <c r="U198" i="1" s="1"/>
  <c r="N198" i="1" s="1"/>
  <c r="O198" i="1" s="1"/>
  <c r="T80" i="1"/>
  <c r="U80" i="1" s="1"/>
  <c r="N80" i="1" s="1"/>
  <c r="O80" i="1" s="1"/>
  <c r="T83" i="1"/>
  <c r="U83" i="1" s="1"/>
  <c r="N83" i="1" s="1"/>
  <c r="O83" i="1" s="1"/>
  <c r="T130" i="1"/>
  <c r="U130" i="1" s="1"/>
  <c r="N130" i="1" s="1"/>
  <c r="O130" i="1" s="1"/>
  <c r="T170" i="1"/>
  <c r="U170" i="1" s="1"/>
  <c r="N170" i="1" s="1"/>
  <c r="O170" i="1" s="1"/>
  <c r="T135" i="1"/>
  <c r="U135" i="1" s="1"/>
  <c r="N135" i="1" s="1"/>
  <c r="O135" i="1" s="1"/>
  <c r="T136" i="1"/>
  <c r="U136" i="1" s="1"/>
  <c r="N136" i="1" s="1"/>
  <c r="O136" i="1" s="1"/>
  <c r="T17" i="1"/>
  <c r="U17" i="1" s="1"/>
  <c r="N17" i="1" s="1"/>
  <c r="O17" i="1" s="1"/>
  <c r="T140" i="1"/>
  <c r="U140" i="1" s="1"/>
  <c r="N140" i="1" s="1"/>
  <c r="O140" i="1" s="1"/>
  <c r="T141" i="1"/>
  <c r="U141" i="1" s="1"/>
  <c r="N141" i="1" s="1"/>
  <c r="O141" i="1" s="1"/>
  <c r="T256" i="1"/>
  <c r="U256" i="1" s="1"/>
  <c r="N256" i="1" s="1"/>
  <c r="T64" i="1"/>
  <c r="U64" i="1" s="1"/>
  <c r="N64" i="1" s="1"/>
  <c r="T240" i="1"/>
  <c r="U240" i="1" s="1"/>
  <c r="N240" i="1" s="1"/>
  <c r="M240" i="1" s="1"/>
  <c r="K240" i="1" s="1"/>
  <c r="T153" i="1"/>
  <c r="U153" i="1" s="1"/>
  <c r="N153" i="1" s="1"/>
  <c r="T40" i="1"/>
  <c r="U40" i="1" s="1"/>
  <c r="N40" i="1" s="1"/>
  <c r="O40" i="1" s="1"/>
  <c r="T173" i="1"/>
  <c r="U173" i="1" s="1"/>
  <c r="N173" i="1" s="1"/>
  <c r="O173" i="1" s="1"/>
  <c r="T308" i="1"/>
  <c r="U308" i="1" s="1"/>
  <c r="N308" i="1" s="1"/>
  <c r="M308" i="1" s="1"/>
  <c r="K308" i="1" s="1"/>
  <c r="T301" i="1"/>
  <c r="U301" i="1" s="1"/>
  <c r="N301" i="1" s="1"/>
  <c r="M301" i="1" s="1"/>
  <c r="K301" i="1" s="1"/>
  <c r="T53" i="1"/>
  <c r="U53" i="1" s="1"/>
  <c r="N53" i="1" s="1"/>
  <c r="T230" i="1"/>
  <c r="U230" i="1" s="1"/>
  <c r="N230" i="1" s="1"/>
  <c r="M230" i="1" s="1"/>
  <c r="K230" i="1" s="1"/>
  <c r="T143" i="1"/>
  <c r="U143" i="1" s="1"/>
  <c r="N143" i="1" s="1"/>
  <c r="T109" i="1"/>
  <c r="U109" i="1" s="1"/>
  <c r="N109" i="1" s="1"/>
  <c r="M109" i="1" s="1"/>
  <c r="K109" i="1" s="1"/>
  <c r="T197" i="1"/>
  <c r="U197" i="1" s="1"/>
  <c r="N197" i="1" s="1"/>
  <c r="O197" i="1" s="1"/>
  <c r="T224" i="1"/>
  <c r="U224" i="1" s="1"/>
  <c r="N224" i="1" s="1"/>
  <c r="T119" i="1"/>
  <c r="U119" i="1" s="1"/>
  <c r="N119" i="1" s="1"/>
  <c r="M119" i="1" s="1"/>
  <c r="K119" i="1" s="1"/>
  <c r="T4" i="1"/>
  <c r="U4" i="1" s="1"/>
  <c r="N4" i="1" s="1"/>
  <c r="O4" i="1" s="1"/>
  <c r="T166" i="1"/>
  <c r="U166" i="1" s="1"/>
  <c r="N166" i="1" s="1"/>
  <c r="O166" i="1" s="1"/>
  <c r="T77" i="1"/>
  <c r="U77" i="1" s="1"/>
  <c r="N77" i="1" s="1"/>
  <c r="O77" i="1" s="1"/>
  <c r="T36" i="1"/>
  <c r="U36" i="1" s="1"/>
  <c r="N36" i="1" s="1"/>
  <c r="O36" i="1" s="1"/>
  <c r="T38" i="1"/>
  <c r="U38" i="1" s="1"/>
  <c r="N38" i="1" s="1"/>
  <c r="O38" i="1" s="1"/>
  <c r="T200" i="1"/>
  <c r="U200" i="1" s="1"/>
  <c r="N200" i="1" s="1"/>
  <c r="O200" i="1" s="1"/>
  <c r="T129" i="1"/>
  <c r="U129" i="1" s="1"/>
  <c r="N129" i="1" s="1"/>
  <c r="O129" i="1" s="1"/>
  <c r="T131" i="1"/>
  <c r="U131" i="1" s="1"/>
  <c r="N131" i="1" s="1"/>
  <c r="O131" i="1" s="1"/>
  <c r="T85" i="1"/>
  <c r="U85" i="1" s="1"/>
  <c r="N85" i="1" s="1"/>
  <c r="O85" i="1" s="1"/>
  <c r="T137" i="1"/>
  <c r="U137" i="1" s="1"/>
  <c r="N137" i="1" s="1"/>
  <c r="O137" i="1" s="1"/>
  <c r="T90" i="1"/>
  <c r="U90" i="1" s="1"/>
  <c r="N90" i="1" s="1"/>
  <c r="O90" i="1" s="1"/>
  <c r="T46" i="1"/>
  <c r="U46" i="1" s="1"/>
  <c r="N46" i="1" s="1"/>
  <c r="O46" i="1" s="1"/>
  <c r="T18" i="1"/>
  <c r="U18" i="1" s="1"/>
  <c r="N18" i="1" s="1"/>
  <c r="O18" i="1" s="1"/>
  <c r="T21" i="1"/>
  <c r="U21" i="1" s="1"/>
  <c r="N21" i="1" s="1"/>
  <c r="O21" i="1" s="1"/>
  <c r="T274" i="1"/>
  <c r="U274" i="1" s="1"/>
  <c r="N274" i="1" s="1"/>
  <c r="M274" i="1" s="1"/>
  <c r="K274" i="1" s="1"/>
  <c r="T98" i="1"/>
  <c r="U98" i="1" s="1"/>
  <c r="N98" i="1" s="1"/>
  <c r="M98" i="1" s="1"/>
  <c r="K98" i="1" s="1"/>
  <c r="T175" i="1"/>
  <c r="U175" i="1" s="1"/>
  <c r="N175" i="1" s="1"/>
  <c r="M175" i="1" s="1"/>
  <c r="K175" i="1" s="1"/>
  <c r="T55" i="1"/>
  <c r="U55" i="1" s="1"/>
  <c r="N55" i="1" s="1"/>
  <c r="M55" i="1" s="1"/>
  <c r="K55" i="1" s="1"/>
  <c r="T10" i="1"/>
  <c r="U10" i="1" s="1"/>
  <c r="N10" i="1" s="1"/>
  <c r="O10" i="1" s="1"/>
  <c r="T204" i="1"/>
  <c r="U204" i="1" s="1"/>
  <c r="N204" i="1" s="1"/>
  <c r="T292" i="1"/>
  <c r="U292" i="1" s="1"/>
  <c r="N292" i="1" s="1"/>
  <c r="T267" i="1"/>
  <c r="U267" i="1" s="1"/>
  <c r="N267" i="1" s="1"/>
  <c r="M267" i="1" s="1"/>
  <c r="K267" i="1" s="1"/>
  <c r="T27" i="1"/>
  <c r="U27" i="1" s="1"/>
  <c r="N27" i="1" s="1"/>
  <c r="T146" i="1"/>
  <c r="U146" i="1" s="1"/>
  <c r="N146" i="1" s="1"/>
  <c r="M146" i="1" s="1"/>
  <c r="K146" i="1" s="1"/>
  <c r="T179" i="1"/>
  <c r="U179" i="1" s="1"/>
  <c r="N179" i="1" s="1"/>
  <c r="M179" i="1" s="1"/>
  <c r="K179" i="1" s="1"/>
  <c r="T209" i="1"/>
  <c r="U209" i="1" s="1"/>
  <c r="N209" i="1" s="1"/>
  <c r="T120" i="1"/>
  <c r="U120" i="1" s="1"/>
  <c r="N120" i="1" s="1"/>
  <c r="T182" i="1"/>
  <c r="U182" i="1" s="1"/>
  <c r="N182" i="1" s="1"/>
  <c r="M182" i="1" s="1"/>
  <c r="K182" i="1" s="1"/>
  <c r="T16" i="1"/>
  <c r="U16" i="1" s="1"/>
  <c r="N16" i="1" s="1"/>
  <c r="M16" i="1" s="1"/>
  <c r="K16" i="1" s="1"/>
  <c r="T54" i="1"/>
  <c r="U54" i="1" s="1"/>
  <c r="N54" i="1" s="1"/>
  <c r="M54" i="1" s="1"/>
  <c r="K54" i="1" s="1"/>
  <c r="T95" i="1"/>
  <c r="U95" i="1" s="1"/>
  <c r="N95" i="1" s="1"/>
  <c r="M95" i="1" s="1"/>
  <c r="K95" i="1" s="1"/>
  <c r="T236" i="1"/>
  <c r="U236" i="1" s="1"/>
  <c r="N236" i="1" s="1"/>
  <c r="M236" i="1" s="1"/>
  <c r="K236" i="1" s="1"/>
  <c r="T211" i="1"/>
  <c r="U211" i="1" s="1"/>
  <c r="N211" i="1" s="1"/>
  <c r="T127" i="1"/>
  <c r="U127" i="1" s="1"/>
  <c r="N127" i="1" s="1"/>
  <c r="O127" i="1" s="1"/>
  <c r="T81" i="1"/>
  <c r="U81" i="1" s="1"/>
  <c r="N81" i="1" s="1"/>
  <c r="O81" i="1" s="1"/>
  <c r="T43" i="1"/>
  <c r="U43" i="1" s="1"/>
  <c r="N43" i="1" s="1"/>
  <c r="O43" i="1" s="1"/>
  <c r="T139" i="1"/>
  <c r="U139" i="1" s="1"/>
  <c r="N139" i="1" s="1"/>
  <c r="O139" i="1" s="1"/>
  <c r="T51" i="1"/>
  <c r="U51" i="1" s="1"/>
  <c r="N51" i="1" s="1"/>
  <c r="O51" i="1" s="1"/>
  <c r="T88" i="1"/>
  <c r="U88" i="1" s="1"/>
  <c r="N88" i="1" s="1"/>
  <c r="O88" i="1" s="1"/>
  <c r="T61" i="1"/>
  <c r="U61" i="1" s="1"/>
  <c r="N61" i="1" s="1"/>
  <c r="M61" i="1" s="1"/>
  <c r="K61" i="1" s="1"/>
  <c r="T65" i="1"/>
  <c r="U65" i="1" s="1"/>
  <c r="N65" i="1" s="1"/>
  <c r="M65" i="1" s="1"/>
  <c r="K65" i="1" s="1"/>
  <c r="T196" i="1"/>
  <c r="U196" i="1" s="1"/>
  <c r="N196" i="1" s="1"/>
  <c r="M196" i="1" s="1"/>
  <c r="K196" i="1" s="1"/>
  <c r="T8" i="1"/>
  <c r="U8" i="1" s="1"/>
  <c r="N8" i="1" s="1"/>
  <c r="M8" i="1" s="1"/>
  <c r="K8" i="1" s="1"/>
  <c r="T241" i="1"/>
  <c r="U241" i="1" s="1"/>
  <c r="N241" i="1" s="1"/>
  <c r="M241" i="1" s="1"/>
  <c r="K241" i="1" s="1"/>
  <c r="T155" i="1"/>
  <c r="U155" i="1" s="1"/>
  <c r="N155" i="1" s="1"/>
  <c r="T108" i="1"/>
  <c r="U108" i="1" s="1"/>
  <c r="N108" i="1" s="1"/>
  <c r="T33" i="1"/>
  <c r="U33" i="1" s="1"/>
  <c r="N33" i="1" s="1"/>
  <c r="T288" i="1"/>
  <c r="U288" i="1" s="1"/>
  <c r="N288" i="1" s="1"/>
  <c r="T273" i="1"/>
  <c r="U273" i="1" s="1"/>
  <c r="N273" i="1" s="1"/>
  <c r="T82" i="1"/>
  <c r="U82" i="1" s="1"/>
  <c r="N82" i="1" s="1"/>
  <c r="O82" i="1" s="1"/>
  <c r="T29" i="1"/>
  <c r="U29" i="1" s="1"/>
  <c r="N29" i="1" s="1"/>
  <c r="M29" i="1" s="1"/>
  <c r="K29" i="1" s="1"/>
  <c r="T160" i="1"/>
  <c r="U160" i="1" s="1"/>
  <c r="N160" i="1" s="1"/>
  <c r="M160" i="1" s="1"/>
  <c r="K160" i="1" s="1"/>
  <c r="T255" i="1"/>
  <c r="U255" i="1" s="1"/>
  <c r="N255" i="1" s="1"/>
  <c r="M255" i="1" s="1"/>
  <c r="K255" i="1" s="1"/>
  <c r="T277" i="1"/>
  <c r="U277" i="1" s="1"/>
  <c r="N277" i="1" s="1"/>
  <c r="M277" i="1" s="1"/>
  <c r="K277" i="1" s="1"/>
  <c r="T252" i="1"/>
  <c r="U252" i="1" s="1"/>
  <c r="N252" i="1" s="1"/>
  <c r="O252" i="1" s="1"/>
  <c r="T234" i="1"/>
  <c r="U234" i="1" s="1"/>
  <c r="N234" i="1" s="1"/>
  <c r="M234" i="1" s="1"/>
  <c r="K234" i="1" s="1"/>
  <c r="T303" i="1"/>
  <c r="U303" i="1" s="1"/>
  <c r="N303" i="1" s="1"/>
  <c r="M303" i="1" s="1"/>
  <c r="K303" i="1" s="1"/>
  <c r="T280" i="1"/>
  <c r="U280" i="1" s="1"/>
  <c r="N280" i="1" s="1"/>
  <c r="M280" i="1" s="1"/>
  <c r="K280" i="1" s="1"/>
  <c r="T245" i="1"/>
  <c r="U245" i="1" s="1"/>
  <c r="N245" i="1" s="1"/>
  <c r="T272" i="1"/>
  <c r="U272" i="1" s="1"/>
  <c r="N272" i="1" s="1"/>
  <c r="T44" i="1"/>
  <c r="U44" i="1" s="1"/>
  <c r="N44" i="1" s="1"/>
  <c r="O44" i="1" s="1"/>
  <c r="T202" i="1"/>
  <c r="U202" i="1" s="1"/>
  <c r="N202" i="1" s="1"/>
  <c r="M202" i="1" s="1"/>
  <c r="K202" i="1" s="1"/>
  <c r="T237" i="1"/>
  <c r="U237" i="1" s="1"/>
  <c r="N237" i="1" s="1"/>
  <c r="T11" i="1"/>
  <c r="U11" i="1" s="1"/>
  <c r="N11" i="1" s="1"/>
  <c r="T193" i="1"/>
  <c r="U193" i="1" s="1"/>
  <c r="N193" i="1" s="1"/>
  <c r="M193" i="1" s="1"/>
  <c r="K193" i="1" s="1"/>
  <c r="T177" i="1"/>
  <c r="U177" i="1" s="1"/>
  <c r="N177" i="1" s="1"/>
  <c r="T184" i="1"/>
  <c r="U184" i="1" s="1"/>
  <c r="N184" i="1" s="1"/>
  <c r="M184" i="1" s="1"/>
  <c r="K184" i="1" s="1"/>
  <c r="T187" i="1"/>
  <c r="U187" i="1" s="1"/>
  <c r="N187" i="1" s="1"/>
  <c r="M187" i="1" s="1"/>
  <c r="K187" i="1" s="1"/>
  <c r="T216" i="1"/>
  <c r="U216" i="1" s="1"/>
  <c r="N216" i="1" s="1"/>
  <c r="M216" i="1" s="1"/>
  <c r="K216" i="1" s="1"/>
  <c r="T113" i="1"/>
  <c r="U113" i="1" s="1"/>
  <c r="N113" i="1" s="1"/>
  <c r="M113" i="1" s="1"/>
  <c r="K113" i="1" s="1"/>
  <c r="T281" i="1"/>
  <c r="U281" i="1" s="1"/>
  <c r="N281" i="1" s="1"/>
  <c r="M281" i="1" s="1"/>
  <c r="K281" i="1" s="1"/>
  <c r="T174" i="1"/>
  <c r="U174" i="1" s="1"/>
  <c r="N174" i="1" s="1"/>
  <c r="O174" i="1" s="1"/>
  <c r="T206" i="1"/>
  <c r="U206" i="1" s="1"/>
  <c r="N206" i="1" s="1"/>
  <c r="T75" i="1"/>
  <c r="U75" i="1" s="1"/>
  <c r="N75" i="1" s="1"/>
  <c r="O75" i="1" s="1"/>
  <c r="T157" i="1"/>
  <c r="U157" i="1" s="1"/>
  <c r="N157" i="1" s="1"/>
  <c r="M157" i="1" s="1"/>
  <c r="K157" i="1" s="1"/>
  <c r="T275" i="1"/>
  <c r="U275" i="1" s="1"/>
  <c r="N275" i="1" s="1"/>
  <c r="M275" i="1" s="1"/>
  <c r="K275" i="1" s="1"/>
  <c r="T291" i="1"/>
  <c r="U291" i="1" s="1"/>
  <c r="N291" i="1" s="1"/>
  <c r="M291" i="1" s="1"/>
  <c r="K291" i="1" s="1"/>
  <c r="T56" i="1"/>
  <c r="U56" i="1" s="1"/>
  <c r="N56" i="1" s="1"/>
  <c r="T9" i="1"/>
  <c r="U9" i="1" s="1"/>
  <c r="N9" i="1" s="1"/>
  <c r="M9" i="1" s="1"/>
  <c r="K9" i="1" s="1"/>
  <c r="T102" i="1"/>
  <c r="U102" i="1" s="1"/>
  <c r="N102" i="1" s="1"/>
  <c r="T31" i="1"/>
  <c r="U31" i="1" s="1"/>
  <c r="N31" i="1" s="1"/>
  <c r="O31" i="1" s="1"/>
  <c r="T68" i="1"/>
  <c r="U68" i="1" s="1"/>
  <c r="N68" i="1" s="1"/>
  <c r="M68" i="1" s="1"/>
  <c r="K68" i="1" s="1"/>
  <c r="T70" i="1"/>
  <c r="U70" i="1" s="1"/>
  <c r="N70" i="1" s="1"/>
  <c r="T14" i="1"/>
  <c r="U14" i="1" s="1"/>
  <c r="N14" i="1" s="1"/>
  <c r="O14" i="1" s="1"/>
  <c r="T123" i="1"/>
  <c r="U123" i="1" s="1"/>
  <c r="N123" i="1" s="1"/>
  <c r="O123" i="1" s="1"/>
  <c r="T35" i="1"/>
  <c r="U35" i="1" s="1"/>
  <c r="N35" i="1" s="1"/>
  <c r="O35" i="1" s="1"/>
  <c r="T128" i="1"/>
  <c r="U128" i="1" s="1"/>
  <c r="N128" i="1" s="1"/>
  <c r="O128" i="1" s="1"/>
  <c r="T45" i="1"/>
  <c r="U45" i="1" s="1"/>
  <c r="N45" i="1" s="1"/>
  <c r="O45" i="1" s="1"/>
  <c r="T145" i="1"/>
  <c r="U145" i="1" s="1"/>
  <c r="N145" i="1" s="1"/>
  <c r="M145" i="1" s="1"/>
  <c r="K145" i="1" s="1"/>
  <c r="T189" i="1"/>
  <c r="U189" i="1" s="1"/>
  <c r="N189" i="1" s="1"/>
  <c r="M189" i="1" s="1"/>
  <c r="K189" i="1" s="1"/>
  <c r="T248" i="1"/>
  <c r="U248" i="1" s="1"/>
  <c r="N248" i="1" s="1"/>
  <c r="M248" i="1" s="1"/>
  <c r="K248" i="1" s="1"/>
  <c r="T121" i="1"/>
  <c r="U121" i="1" s="1"/>
  <c r="N121" i="1" s="1"/>
  <c r="M121" i="1" s="1"/>
  <c r="K121" i="1" s="1"/>
  <c r="T5" i="1"/>
  <c r="U5" i="1" s="1"/>
  <c r="N5" i="1" s="1"/>
  <c r="M5" i="1" s="1"/>
  <c r="K5" i="1" s="1"/>
  <c r="T263" i="1"/>
  <c r="U263" i="1" s="1"/>
  <c r="N263" i="1" s="1"/>
  <c r="M263" i="1" s="1"/>
  <c r="K263" i="1" s="1"/>
  <c r="T233" i="1"/>
  <c r="U233" i="1" s="1"/>
  <c r="N233" i="1" s="1"/>
  <c r="T266" i="1"/>
  <c r="U266" i="1" s="1"/>
  <c r="N266" i="1" s="1"/>
  <c r="T235" i="1"/>
  <c r="U235" i="1" s="1"/>
  <c r="N235" i="1" s="1"/>
  <c r="T214" i="1"/>
  <c r="U214" i="1" s="1"/>
  <c r="N214" i="1" s="1"/>
  <c r="O214" i="1" s="1"/>
  <c r="T190" i="1"/>
  <c r="U190" i="1" s="1"/>
  <c r="N190" i="1" s="1"/>
  <c r="M190" i="1" s="1"/>
  <c r="K190" i="1" s="1"/>
  <c r="T221" i="1"/>
  <c r="U221" i="1" s="1"/>
  <c r="N221" i="1" s="1"/>
  <c r="O221" i="1" s="1"/>
  <c r="T116" i="1"/>
  <c r="U116" i="1" s="1"/>
  <c r="N116" i="1" s="1"/>
  <c r="M116" i="1" s="1"/>
  <c r="K116" i="1" s="1"/>
  <c r="T226" i="1"/>
  <c r="U226" i="1" s="1"/>
  <c r="N226" i="1" s="1"/>
  <c r="O226" i="1" s="1"/>
  <c r="T78" i="1"/>
  <c r="U78" i="1" s="1"/>
  <c r="N78" i="1" s="1"/>
  <c r="O78" i="1" s="1"/>
  <c r="T171" i="1"/>
  <c r="U171" i="1" s="1"/>
  <c r="N171" i="1" s="1"/>
  <c r="O171" i="1" s="1"/>
  <c r="T172" i="1"/>
  <c r="U172" i="1" s="1"/>
  <c r="N172" i="1" s="1"/>
  <c r="O172" i="1" s="1"/>
  <c r="T15" i="1"/>
  <c r="U15" i="1" s="1"/>
  <c r="N15" i="1" s="1"/>
  <c r="M15" i="1" s="1"/>
  <c r="K15" i="1" s="1"/>
  <c r="T94" i="1"/>
  <c r="U94" i="1" s="1"/>
  <c r="N94" i="1" s="1"/>
  <c r="M94" i="1" s="1"/>
  <c r="K94" i="1" s="1"/>
  <c r="T97" i="1"/>
  <c r="U97" i="1" s="1"/>
  <c r="N97" i="1" s="1"/>
  <c r="M97" i="1" s="1"/>
  <c r="K97" i="1" s="1"/>
  <c r="T148" i="1"/>
  <c r="U148" i="1" s="1"/>
  <c r="N148" i="1" s="1"/>
  <c r="T106" i="1"/>
  <c r="U106" i="1" s="1"/>
  <c r="N106" i="1" s="1"/>
  <c r="M106" i="1" s="1"/>
  <c r="K106" i="1" s="1"/>
  <c r="T185" i="1"/>
  <c r="U185" i="1" s="1"/>
  <c r="N185" i="1" s="1"/>
  <c r="M185" i="1" s="1"/>
  <c r="K185" i="1" s="1"/>
  <c r="T220" i="1"/>
  <c r="U220" i="1" s="1"/>
  <c r="N220" i="1" s="1"/>
  <c r="M220" i="1" s="1"/>
  <c r="K220" i="1" s="1"/>
  <c r="T247" i="1"/>
  <c r="U247" i="1" s="1"/>
  <c r="N247" i="1" s="1"/>
  <c r="T117" i="1"/>
  <c r="U117" i="1" s="1"/>
  <c r="N117" i="1" s="1"/>
  <c r="T37" i="1"/>
  <c r="U37" i="1" s="1"/>
  <c r="N37" i="1" s="1"/>
  <c r="O37" i="1" s="1"/>
  <c r="T169" i="1"/>
  <c r="U169" i="1" s="1"/>
  <c r="N169" i="1" s="1"/>
  <c r="O169" i="1" s="1"/>
  <c r="T133" i="1"/>
  <c r="U133" i="1" s="1"/>
  <c r="N133" i="1" s="1"/>
  <c r="O133" i="1" s="1"/>
  <c r="T20" i="1"/>
  <c r="U20" i="1" s="1"/>
  <c r="N20" i="1" s="1"/>
  <c r="O20" i="1" s="1"/>
  <c r="T287" i="1"/>
  <c r="U287" i="1" s="1"/>
  <c r="N287" i="1" s="1"/>
  <c r="T306" i="1"/>
  <c r="U306" i="1" s="1"/>
  <c r="N306" i="1" s="1"/>
  <c r="M306" i="1" s="1"/>
  <c r="K306" i="1" s="1"/>
  <c r="T7" i="1"/>
  <c r="U7" i="1" s="1"/>
  <c r="N7" i="1" s="1"/>
  <c r="M7" i="1" s="1"/>
  <c r="K7" i="1" s="1"/>
  <c r="T313" i="1"/>
  <c r="U313" i="1" s="1"/>
  <c r="N313" i="1" s="1"/>
  <c r="M313" i="1" s="1"/>
  <c r="K313" i="1" s="1"/>
  <c r="T293" i="1"/>
  <c r="U293" i="1" s="1"/>
  <c r="N293" i="1" s="1"/>
  <c r="O293" i="1" s="1"/>
  <c r="T57" i="1"/>
  <c r="U57" i="1" s="1"/>
  <c r="N57" i="1" s="1"/>
  <c r="T150" i="1"/>
  <c r="U150" i="1" s="1"/>
  <c r="N150" i="1" s="1"/>
  <c r="M150" i="1" s="1"/>
  <c r="K150" i="1" s="1"/>
  <c r="T257" i="1"/>
  <c r="U257" i="1" s="1"/>
  <c r="N257" i="1" s="1"/>
  <c r="O257" i="1" s="1"/>
  <c r="T107" i="1"/>
  <c r="U107" i="1" s="1"/>
  <c r="N107" i="1" s="1"/>
  <c r="T242" i="1"/>
  <c r="U242" i="1" s="1"/>
  <c r="N242" i="1" s="1"/>
  <c r="M242" i="1" s="1"/>
  <c r="K242" i="1" s="1"/>
  <c r="T183" i="1"/>
  <c r="U183" i="1" s="1"/>
  <c r="N183" i="1" s="1"/>
  <c r="M183" i="1" s="1"/>
  <c r="K183" i="1" s="1"/>
  <c r="T110" i="1"/>
  <c r="U110" i="1" s="1"/>
  <c r="N110" i="1" s="1"/>
  <c r="O110" i="1" s="1"/>
  <c r="T311" i="1"/>
  <c r="U311" i="1" s="1"/>
  <c r="N311" i="1" s="1"/>
  <c r="T192" i="1"/>
  <c r="U192" i="1" s="1"/>
  <c r="N192" i="1" s="1"/>
  <c r="M192" i="1" s="1"/>
  <c r="K192" i="1" s="1"/>
  <c r="T195" i="1"/>
  <c r="U195" i="1" s="1"/>
  <c r="N195" i="1" s="1"/>
  <c r="T227" i="1"/>
  <c r="U227" i="1" s="1"/>
  <c r="N227" i="1" s="1"/>
  <c r="O227" i="1" s="1"/>
  <c r="T126" i="1"/>
  <c r="U126" i="1" s="1"/>
  <c r="N126" i="1" s="1"/>
  <c r="O126" i="1" s="1"/>
  <c r="T41" i="1"/>
  <c r="U41" i="1" s="1"/>
  <c r="N41" i="1" s="1"/>
  <c r="O41" i="1" s="1"/>
  <c r="T134" i="1"/>
  <c r="U134" i="1" s="1"/>
  <c r="N134" i="1" s="1"/>
  <c r="O134" i="1" s="1"/>
  <c r="T67" i="1"/>
  <c r="U67" i="1" s="1"/>
  <c r="N67" i="1" s="1"/>
  <c r="M67" i="1" s="1"/>
  <c r="K67" i="1" s="1"/>
  <c r="T225" i="1"/>
  <c r="U225" i="1" s="1"/>
  <c r="N225" i="1" s="1"/>
  <c r="O225" i="1" s="1"/>
  <c r="T165" i="1"/>
  <c r="U165" i="1" s="1"/>
  <c r="N165" i="1" s="1"/>
  <c r="O165" i="1" s="1"/>
  <c r="T93" i="1"/>
  <c r="U93" i="1" s="1"/>
  <c r="N93" i="1" s="1"/>
  <c r="O93" i="1" s="1"/>
  <c r="T315" i="1"/>
  <c r="U315" i="1" s="1"/>
  <c r="N315" i="1" s="1"/>
  <c r="M315" i="1" s="1"/>
  <c r="K315" i="1" s="1"/>
  <c r="T250" i="1"/>
  <c r="U250" i="1" s="1"/>
  <c r="N250" i="1" s="1"/>
  <c r="T302" i="1"/>
  <c r="U302" i="1" s="1"/>
  <c r="N302" i="1" s="1"/>
  <c r="M302" i="1" s="1"/>
  <c r="K302" i="1" s="1"/>
  <c r="T176" i="1"/>
  <c r="U176" i="1" s="1"/>
  <c r="N176" i="1" s="1"/>
  <c r="M176" i="1" s="1"/>
  <c r="K176" i="1" s="1"/>
  <c r="T25" i="1"/>
  <c r="U25" i="1" s="1"/>
  <c r="N25" i="1" s="1"/>
  <c r="M25" i="1" s="1"/>
  <c r="K25" i="1" s="1"/>
  <c r="T268" i="1"/>
  <c r="U268" i="1" s="1"/>
  <c r="N268" i="1" s="1"/>
  <c r="M268" i="1" s="1"/>
  <c r="K268" i="1" s="1"/>
  <c r="T59" i="1"/>
  <c r="U59" i="1" s="1"/>
  <c r="N59" i="1" s="1"/>
  <c r="T149" i="1"/>
  <c r="U149" i="1" s="1"/>
  <c r="N149" i="1" s="1"/>
  <c r="M149" i="1" s="1"/>
  <c r="K149" i="1" s="1"/>
  <c r="T269" i="1"/>
  <c r="U269" i="1" s="1"/>
  <c r="N269" i="1" s="1"/>
  <c r="T217" i="1"/>
  <c r="U217" i="1" s="1"/>
  <c r="N217" i="1" s="1"/>
  <c r="M217" i="1" s="1"/>
  <c r="K217" i="1" s="1"/>
  <c r="T118" i="1"/>
  <c r="U118" i="1" s="1"/>
  <c r="N118" i="1" s="1"/>
  <c r="M118" i="1" s="1"/>
  <c r="K118" i="1" s="1"/>
  <c r="T122" i="1"/>
  <c r="U122" i="1" s="1"/>
  <c r="N122" i="1" s="1"/>
  <c r="O122" i="1" s="1"/>
  <c r="T201" i="1"/>
  <c r="U201" i="1" s="1"/>
  <c r="N201" i="1" s="1"/>
  <c r="O201" i="1" s="1"/>
  <c r="T138" i="1"/>
  <c r="U138" i="1" s="1"/>
  <c r="N138" i="1" s="1"/>
  <c r="O138" i="1" s="1"/>
  <c r="T49" i="1"/>
  <c r="U49" i="1" s="1"/>
  <c r="N49" i="1" s="1"/>
  <c r="O49" i="1" s="1"/>
  <c r="T99" i="1"/>
  <c r="U99" i="1" s="1"/>
  <c r="N99" i="1" s="1"/>
  <c r="O99" i="1" s="1"/>
  <c r="T258" i="1"/>
  <c r="U258" i="1" s="1"/>
  <c r="N258" i="1" s="1"/>
  <c r="M258" i="1" s="1"/>
  <c r="K258" i="1" s="1"/>
  <c r="T246" i="1"/>
  <c r="U246" i="1" s="1"/>
  <c r="N246" i="1" s="1"/>
  <c r="M246" i="1" s="1"/>
  <c r="K246" i="1" s="1"/>
  <c r="T50" i="1"/>
  <c r="U50" i="1" s="1"/>
  <c r="N50" i="1" s="1"/>
  <c r="O50" i="1" s="1"/>
  <c r="T271" i="1"/>
  <c r="U271" i="1" s="1"/>
  <c r="N271" i="1" s="1"/>
  <c r="T151" i="1"/>
  <c r="U151" i="1" s="1"/>
  <c r="N151" i="1" s="1"/>
  <c r="O151" i="1" s="1"/>
  <c r="T188" i="1"/>
  <c r="U188" i="1" s="1"/>
  <c r="N188" i="1" s="1"/>
  <c r="T314" i="1"/>
  <c r="U314" i="1" s="1"/>
  <c r="N314" i="1" s="1"/>
  <c r="M314" i="1" s="1"/>
  <c r="K314" i="1" s="1"/>
  <c r="T142" i="1"/>
  <c r="U142" i="1" s="1"/>
  <c r="N142" i="1" s="1"/>
  <c r="T284" i="1"/>
  <c r="U284" i="1" s="1"/>
  <c r="N284" i="1" s="1"/>
  <c r="T290" i="1"/>
  <c r="U290" i="1" s="1"/>
  <c r="N290" i="1" s="1"/>
  <c r="T58" i="1"/>
  <c r="U58" i="1" s="1"/>
  <c r="N58" i="1" s="1"/>
  <c r="T278" i="1"/>
  <c r="U278" i="1" s="1"/>
  <c r="N278" i="1" s="1"/>
  <c r="T279" i="1"/>
  <c r="U279" i="1" s="1"/>
  <c r="N279" i="1" s="1"/>
  <c r="M279" i="1" s="1"/>
  <c r="K279" i="1" s="1"/>
  <c r="T66" i="1"/>
  <c r="U66" i="1" s="1"/>
  <c r="N66" i="1" s="1"/>
  <c r="M66" i="1" s="1"/>
  <c r="K66" i="1" s="1"/>
  <c r="T112" i="1"/>
  <c r="U112" i="1" s="1"/>
  <c r="N112" i="1" s="1"/>
  <c r="T298" i="1"/>
  <c r="U298" i="1" s="1"/>
  <c r="N298" i="1" s="1"/>
  <c r="T115" i="1"/>
  <c r="U115" i="1" s="1"/>
  <c r="N115" i="1" s="1"/>
  <c r="T12" i="1"/>
  <c r="U12" i="1" s="1"/>
  <c r="N12" i="1" s="1"/>
  <c r="O12" i="1" s="1"/>
  <c r="T124" i="1"/>
  <c r="U124" i="1" s="1"/>
  <c r="N124" i="1" s="1"/>
  <c r="O124" i="1" s="1"/>
  <c r="T26" i="1"/>
  <c r="U26" i="1" s="1"/>
  <c r="N26" i="1" s="1"/>
  <c r="T87" i="1"/>
  <c r="U87" i="1" s="1"/>
  <c r="N87" i="1" s="1"/>
  <c r="O87" i="1" s="1"/>
  <c r="T23" i="1"/>
  <c r="U23" i="1" s="1"/>
  <c r="N23" i="1" s="1"/>
  <c r="T178" i="1"/>
  <c r="U178" i="1" s="1"/>
  <c r="N178" i="1" s="1"/>
  <c r="T299" i="1"/>
  <c r="U299" i="1" s="1"/>
  <c r="N299" i="1" s="1"/>
  <c r="M299" i="1" s="1"/>
  <c r="K299" i="1" s="1"/>
  <c r="T63" i="1"/>
  <c r="U63" i="1" s="1"/>
  <c r="N63" i="1" s="1"/>
  <c r="Y222" i="3" l="1"/>
  <c r="W246" i="3"/>
  <c r="N246" i="3" s="1"/>
  <c r="Y26" i="3"/>
  <c r="W255" i="3"/>
  <c r="N255" i="3" s="1"/>
  <c r="Y65" i="3"/>
  <c r="M57" i="2"/>
  <c r="K57" i="2" s="1"/>
  <c r="O57" i="2"/>
  <c r="Y181" i="3"/>
  <c r="Y206" i="3"/>
  <c r="O61" i="2"/>
  <c r="Y152" i="3"/>
  <c r="Y221" i="3"/>
  <c r="M267" i="2"/>
  <c r="K267" i="2" s="1"/>
  <c r="W157" i="3"/>
  <c r="N157" i="3" s="1"/>
  <c r="Y179" i="3"/>
  <c r="W179" i="3"/>
  <c r="N179" i="3" s="1"/>
  <c r="Y102" i="3"/>
  <c r="W102" i="3"/>
  <c r="N102" i="3" s="1"/>
  <c r="Y155" i="3"/>
  <c r="W248" i="3"/>
  <c r="N248" i="3" s="1"/>
  <c r="Y173" i="3"/>
  <c r="M189" i="2"/>
  <c r="K189" i="2" s="1"/>
  <c r="W223" i="3"/>
  <c r="N223" i="3" s="1"/>
  <c r="Y57" i="3"/>
  <c r="Y97" i="3"/>
  <c r="Y231" i="3"/>
  <c r="Y250" i="3"/>
  <c r="W104" i="3"/>
  <c r="N104" i="3" s="1"/>
  <c r="Y201" i="3"/>
  <c r="Y116" i="3"/>
  <c r="Y31" i="3"/>
  <c r="W12" i="3"/>
  <c r="N12" i="3" s="1"/>
  <c r="Y12" i="3"/>
  <c r="W256" i="3"/>
  <c r="N256" i="3" s="1"/>
  <c r="Y256" i="3"/>
  <c r="W195" i="3"/>
  <c r="N195" i="3" s="1"/>
  <c r="Y195" i="3"/>
  <c r="Y215" i="3"/>
  <c r="Y9" i="3"/>
  <c r="Y235" i="3"/>
  <c r="Y247" i="3"/>
  <c r="Y234" i="3"/>
  <c r="Y69" i="3"/>
  <c r="W232" i="3"/>
  <c r="N232" i="3" s="1"/>
  <c r="Y254" i="3"/>
  <c r="W5" i="3"/>
  <c r="N5" i="3" s="1"/>
  <c r="W56" i="3"/>
  <c r="N56" i="3" s="1"/>
  <c r="W55" i="3"/>
  <c r="N55" i="3" s="1"/>
  <c r="Y93" i="3"/>
  <c r="Y60" i="3"/>
  <c r="O284" i="2"/>
  <c r="O194" i="2"/>
  <c r="Y150" i="3"/>
  <c r="Y111" i="3"/>
  <c r="W240" i="3"/>
  <c r="N240" i="3" s="1"/>
  <c r="M5" i="2"/>
  <c r="K5" i="2" s="1"/>
  <c r="Y291" i="3"/>
  <c r="M303" i="2"/>
  <c r="K303" i="2" s="1"/>
  <c r="O303" i="2"/>
  <c r="M115" i="2"/>
  <c r="K115" i="2" s="1"/>
  <c r="O115" i="2"/>
  <c r="M293" i="2"/>
  <c r="K293" i="2" s="1"/>
  <c r="O293" i="2"/>
  <c r="M8" i="2"/>
  <c r="K8" i="2" s="1"/>
  <c r="O8" i="2"/>
  <c r="Y264" i="3"/>
  <c r="W264" i="3"/>
  <c r="N264" i="3" s="1"/>
  <c r="Y309" i="3"/>
  <c r="Y7" i="3"/>
  <c r="Y252" i="3"/>
  <c r="Y110" i="3"/>
  <c r="M193" i="2"/>
  <c r="K193" i="2" s="1"/>
  <c r="W113" i="3"/>
  <c r="N113" i="3" s="1"/>
  <c r="W54" i="3"/>
  <c r="N54" i="3" s="1"/>
  <c r="Y148" i="3"/>
  <c r="M24" i="2"/>
  <c r="K24" i="2" s="1"/>
  <c r="Y251" i="3"/>
  <c r="Y183" i="3"/>
  <c r="Y203" i="3"/>
  <c r="Y22" i="3"/>
  <c r="Y210" i="3"/>
  <c r="Y58" i="3"/>
  <c r="Y242" i="3"/>
  <c r="Y141" i="3"/>
  <c r="W303" i="3"/>
  <c r="N303" i="3" s="1"/>
  <c r="Y303" i="3"/>
  <c r="W177" i="3"/>
  <c r="N177" i="3" s="1"/>
  <c r="Y177" i="3"/>
  <c r="W208" i="3"/>
  <c r="N208" i="3" s="1"/>
  <c r="Y208" i="3"/>
  <c r="Y200" i="3"/>
  <c r="W200" i="3"/>
  <c r="N200" i="3" s="1"/>
  <c r="M26" i="2"/>
  <c r="K26" i="2" s="1"/>
  <c r="O26" i="2"/>
  <c r="Y61" i="3"/>
  <c r="W8" i="3"/>
  <c r="N8" i="3" s="1"/>
  <c r="Y14" i="3"/>
  <c r="Y149" i="3"/>
  <c r="Y63" i="3"/>
  <c r="O180" i="2"/>
  <c r="Y71" i="3"/>
  <c r="O273" i="2"/>
  <c r="O160" i="2"/>
  <c r="M101" i="2"/>
  <c r="K101" i="2" s="1"/>
  <c r="Y274" i="3"/>
  <c r="Y187" i="3"/>
  <c r="Y107" i="3"/>
  <c r="M307" i="2"/>
  <c r="K307" i="2" s="1"/>
  <c r="Y119" i="3"/>
  <c r="Y216" i="3"/>
  <c r="W106" i="3"/>
  <c r="N106" i="3" s="1"/>
  <c r="O243" i="2"/>
  <c r="Y23" i="3"/>
  <c r="Y159" i="3"/>
  <c r="Y214" i="3"/>
  <c r="W218" i="3"/>
  <c r="N218" i="3" s="1"/>
  <c r="M74" i="2"/>
  <c r="K74" i="2" s="1"/>
  <c r="O221" i="2"/>
  <c r="Y193" i="3"/>
  <c r="W270" i="3"/>
  <c r="N270" i="3" s="1"/>
  <c r="Y213" i="3"/>
  <c r="Y211" i="3"/>
  <c r="Y117" i="3"/>
  <c r="M254" i="2"/>
  <c r="K254" i="2" s="1"/>
  <c r="Y95" i="3"/>
  <c r="Y147" i="3"/>
  <c r="Y114" i="3"/>
  <c r="Y249" i="3"/>
  <c r="M286" i="2"/>
  <c r="K286" i="2" s="1"/>
  <c r="Y64" i="3"/>
  <c r="Y281" i="3"/>
  <c r="Y145" i="3"/>
  <c r="Y108" i="3"/>
  <c r="Y238" i="3"/>
  <c r="W67" i="3"/>
  <c r="N67" i="3" s="1"/>
  <c r="Y67" i="3"/>
  <c r="Y72" i="3"/>
  <c r="W72" i="3"/>
  <c r="N72" i="3" s="1"/>
  <c r="W50" i="3"/>
  <c r="N50" i="3" s="1"/>
  <c r="Y50" i="3"/>
  <c r="M213" i="2"/>
  <c r="K213" i="2" s="1"/>
  <c r="O213" i="2"/>
  <c r="Y253" i="3"/>
  <c r="W253" i="3"/>
  <c r="N253" i="3" s="1"/>
  <c r="W228" i="3"/>
  <c r="N228" i="3" s="1"/>
  <c r="Y228" i="3"/>
  <c r="W207" i="3"/>
  <c r="N207" i="3" s="1"/>
  <c r="Y207" i="3"/>
  <c r="Y284" i="3"/>
  <c r="W284" i="3"/>
  <c r="N284" i="3" s="1"/>
  <c r="W68" i="3"/>
  <c r="N68" i="3" s="1"/>
  <c r="Y68" i="3"/>
  <c r="W308" i="3"/>
  <c r="N308" i="3" s="1"/>
  <c r="Y308" i="3"/>
  <c r="W158" i="3"/>
  <c r="N158" i="3" s="1"/>
  <c r="Y158" i="3"/>
  <c r="Y276" i="3"/>
  <c r="W276" i="3"/>
  <c r="N276" i="3" s="1"/>
  <c r="O299" i="2"/>
  <c r="M299" i="2"/>
  <c r="K299" i="2" s="1"/>
  <c r="W229" i="3"/>
  <c r="N229" i="3" s="1"/>
  <c r="Y260" i="3"/>
  <c r="Y153" i="3"/>
  <c r="O238" i="2"/>
  <c r="Y202" i="3"/>
  <c r="Y32" i="3"/>
  <c r="O176" i="2"/>
  <c r="M15" i="2"/>
  <c r="K15" i="2" s="1"/>
  <c r="Y62" i="3"/>
  <c r="W59" i="3"/>
  <c r="N59" i="3" s="1"/>
  <c r="Y151" i="3"/>
  <c r="O276" i="2"/>
  <c r="O195" i="2"/>
  <c r="Y66" i="3"/>
  <c r="W30" i="3"/>
  <c r="N30" i="3" s="1"/>
  <c r="W267" i="3"/>
  <c r="N267" i="3" s="1"/>
  <c r="Y241" i="3"/>
  <c r="W241" i="3"/>
  <c r="N241" i="3" s="1"/>
  <c r="W24" i="3"/>
  <c r="N24" i="3" s="1"/>
  <c r="W233" i="3"/>
  <c r="N233" i="3" s="1"/>
  <c r="Y233" i="3"/>
  <c r="O270" i="2"/>
  <c r="O151" i="2"/>
  <c r="M60" i="2"/>
  <c r="K60" i="2" s="1"/>
  <c r="O99" i="2"/>
  <c r="Y188" i="3"/>
  <c r="Y112" i="3"/>
  <c r="Y27" i="3"/>
  <c r="Y21" i="3"/>
  <c r="Y293" i="3"/>
  <c r="Y236" i="3"/>
  <c r="Y212" i="3"/>
  <c r="W212" i="3"/>
  <c r="N212" i="3" s="1"/>
  <c r="Y140" i="3"/>
  <c r="Y266" i="3"/>
  <c r="Y175" i="3"/>
  <c r="Y268" i="3"/>
  <c r="Y306" i="3"/>
  <c r="O259" i="2"/>
  <c r="M245" i="2"/>
  <c r="K245" i="2" s="1"/>
  <c r="Y115" i="3"/>
  <c r="Y156" i="3"/>
  <c r="Y28" i="3"/>
  <c r="Y160" i="3"/>
  <c r="W98" i="3"/>
  <c r="N98" i="3" s="1"/>
  <c r="Y243" i="3"/>
  <c r="W243" i="3"/>
  <c r="N243" i="3" s="1"/>
  <c r="Y237" i="3"/>
  <c r="M106" i="2"/>
  <c r="K106" i="2" s="1"/>
  <c r="O149" i="2"/>
  <c r="M185" i="2"/>
  <c r="K185" i="2" s="1"/>
  <c r="Y209" i="3"/>
  <c r="Y53" i="3"/>
  <c r="Y239" i="3"/>
  <c r="Y25" i="3"/>
  <c r="Y283" i="3"/>
  <c r="W143" i="3"/>
  <c r="N143" i="3" s="1"/>
  <c r="W100" i="3"/>
  <c r="N100" i="3" s="1"/>
  <c r="Y101" i="3"/>
  <c r="O282" i="2"/>
  <c r="Y118" i="3"/>
  <c r="Y230" i="3"/>
  <c r="W174" i="3"/>
  <c r="N174" i="3" s="1"/>
  <c r="Y174" i="3"/>
  <c r="O266" i="2"/>
  <c r="M266" i="2"/>
  <c r="K266" i="2" s="1"/>
  <c r="W296" i="3"/>
  <c r="N296" i="3" s="1"/>
  <c r="Y296" i="3"/>
  <c r="W265" i="3"/>
  <c r="N265" i="3" s="1"/>
  <c r="Y265" i="3"/>
  <c r="M218" i="2"/>
  <c r="K218" i="2" s="1"/>
  <c r="O218" i="2"/>
  <c r="M23" i="2"/>
  <c r="K23" i="2" s="1"/>
  <c r="O23" i="2"/>
  <c r="M239" i="2"/>
  <c r="K239" i="2" s="1"/>
  <c r="O239" i="2"/>
  <c r="M113" i="2"/>
  <c r="K113" i="2" s="1"/>
  <c r="O113" i="2"/>
  <c r="M197" i="2"/>
  <c r="K197" i="2" s="1"/>
  <c r="O197" i="2"/>
  <c r="W185" i="3"/>
  <c r="N185" i="3" s="1"/>
  <c r="Y185" i="3"/>
  <c r="M108" i="2"/>
  <c r="K108" i="2" s="1"/>
  <c r="O108" i="2"/>
  <c r="W292" i="3"/>
  <c r="N292" i="3" s="1"/>
  <c r="Y292" i="3"/>
  <c r="W282" i="3"/>
  <c r="N282" i="3" s="1"/>
  <c r="Y282" i="3"/>
  <c r="W278" i="3"/>
  <c r="N278" i="3" s="1"/>
  <c r="Y278" i="3"/>
  <c r="W272" i="3"/>
  <c r="N272" i="3" s="1"/>
  <c r="Y272" i="3"/>
  <c r="W190" i="3"/>
  <c r="N190" i="3" s="1"/>
  <c r="Y190" i="3"/>
  <c r="W273" i="3"/>
  <c r="N273" i="3" s="1"/>
  <c r="Y273" i="3"/>
  <c r="W294" i="3"/>
  <c r="N294" i="3" s="1"/>
  <c r="Y294" i="3"/>
  <c r="M183" i="2"/>
  <c r="K183" i="2" s="1"/>
  <c r="O183" i="2"/>
  <c r="Y192" i="3"/>
  <c r="W192" i="3"/>
  <c r="N192" i="3" s="1"/>
  <c r="W186" i="3"/>
  <c r="N186" i="3" s="1"/>
  <c r="Y186" i="3"/>
  <c r="Y290" i="3"/>
  <c r="W290" i="3"/>
  <c r="N290" i="3" s="1"/>
  <c r="O53" i="2"/>
  <c r="O100" i="2"/>
  <c r="W285" i="3"/>
  <c r="N285" i="3" s="1"/>
  <c r="Y285" i="3"/>
  <c r="Y92" i="3"/>
  <c r="W92" i="3"/>
  <c r="N92" i="3" s="1"/>
  <c r="Y70" i="3"/>
  <c r="Y262" i="3"/>
  <c r="W262" i="3"/>
  <c r="N262" i="3" s="1"/>
  <c r="Y103" i="3"/>
  <c r="Y10" i="3"/>
  <c r="Y259" i="3"/>
  <c r="W259" i="3"/>
  <c r="N259" i="3" s="1"/>
  <c r="Y289" i="3"/>
  <c r="W219" i="3"/>
  <c r="N219" i="3" s="1"/>
  <c r="Y219" i="3"/>
  <c r="Y280" i="3"/>
  <c r="W280" i="3"/>
  <c r="N280" i="3" s="1"/>
  <c r="Y180" i="3"/>
  <c r="Y269" i="3"/>
  <c r="W269" i="3"/>
  <c r="N269" i="3" s="1"/>
  <c r="Y271" i="3"/>
  <c r="W271" i="3"/>
  <c r="N271" i="3" s="1"/>
  <c r="Y142" i="3"/>
  <c r="Y99" i="3"/>
  <c r="O55" i="2"/>
  <c r="O271" i="2"/>
  <c r="W305" i="3"/>
  <c r="N305" i="3" s="1"/>
  <c r="Y305" i="3"/>
  <c r="Y51" i="3"/>
  <c r="W51" i="3"/>
  <c r="N51" i="3" s="1"/>
  <c r="Y302" i="3"/>
  <c r="Y275" i="3"/>
  <c r="O102" i="2"/>
  <c r="W288" i="3"/>
  <c r="N288" i="3" s="1"/>
  <c r="Y288" i="3"/>
  <c r="Y105" i="3"/>
  <c r="M111" i="2"/>
  <c r="K111" i="2" s="1"/>
  <c r="O285" i="2"/>
  <c r="O206" i="2"/>
  <c r="Y154" i="3"/>
  <c r="Y52" i="3"/>
  <c r="Y178" i="3"/>
  <c r="W307" i="3"/>
  <c r="N307" i="3" s="1"/>
  <c r="Y307" i="3"/>
  <c r="Y277" i="3"/>
  <c r="Y217" i="3"/>
  <c r="Y176" i="3"/>
  <c r="Y258" i="3"/>
  <c r="Y286" i="3"/>
  <c r="Y300" i="3"/>
  <c r="Y298" i="3"/>
  <c r="W298" i="3"/>
  <c r="N298" i="3" s="1"/>
  <c r="O313" i="2"/>
  <c r="Y94" i="3"/>
  <c r="O291" i="2"/>
  <c r="M158" i="2"/>
  <c r="K158" i="2" s="1"/>
  <c r="W304" i="3"/>
  <c r="N304" i="3" s="1"/>
  <c r="Y304" i="3"/>
  <c r="O236" i="2"/>
  <c r="M62" i="2"/>
  <c r="K62" i="2" s="1"/>
  <c r="Y301" i="3"/>
  <c r="W295" i="3"/>
  <c r="N295" i="3" s="1"/>
  <c r="Y295" i="3"/>
  <c r="O297" i="2"/>
  <c r="M237" i="2"/>
  <c r="K237" i="2" s="1"/>
  <c r="W287" i="3"/>
  <c r="N287" i="3" s="1"/>
  <c r="Y287" i="3"/>
  <c r="W191" i="3"/>
  <c r="N191" i="3" s="1"/>
  <c r="Y191" i="3"/>
  <c r="Y297" i="3"/>
  <c r="Y29" i="3"/>
  <c r="Y244" i="3"/>
  <c r="Y261" i="3"/>
  <c r="W261" i="3"/>
  <c r="N261" i="3" s="1"/>
  <c r="Y279" i="3"/>
  <c r="Y184" i="3"/>
  <c r="O219" i="2"/>
  <c r="W194" i="3"/>
  <c r="N194" i="3" s="1"/>
  <c r="Y194" i="3"/>
  <c r="Y299" i="3"/>
  <c r="W299" i="3"/>
  <c r="N299" i="3" s="1"/>
  <c r="Y144" i="3"/>
  <c r="Y109" i="3"/>
  <c r="Y146" i="3"/>
  <c r="Y13" i="3"/>
  <c r="O256" i="2"/>
  <c r="W263" i="3"/>
  <c r="N263" i="3" s="1"/>
  <c r="Y263" i="3"/>
  <c r="O304" i="2"/>
  <c r="M217" i="2"/>
  <c r="K217" i="2" s="1"/>
  <c r="O150" i="2"/>
  <c r="O105" i="2"/>
  <c r="W220" i="3"/>
  <c r="N220" i="3" s="1"/>
  <c r="Y220" i="3"/>
  <c r="Y205" i="3"/>
  <c r="Y189" i="3"/>
  <c r="W189" i="3"/>
  <c r="N189" i="3" s="1"/>
  <c r="W182" i="3"/>
  <c r="N182" i="3" s="1"/>
  <c r="Y182" i="3"/>
  <c r="Y96" i="3"/>
  <c r="Y204" i="3"/>
  <c r="O234" i="2"/>
  <c r="M234" i="2"/>
  <c r="K234" i="2" s="1"/>
  <c r="M279" i="2"/>
  <c r="K279" i="2" s="1"/>
  <c r="O279" i="2"/>
  <c r="M215" i="2"/>
  <c r="K215" i="2" s="1"/>
  <c r="O215" i="2"/>
  <c r="M119" i="2"/>
  <c r="K119" i="2" s="1"/>
  <c r="O119" i="2"/>
  <c r="M290" i="2"/>
  <c r="K290" i="2" s="1"/>
  <c r="O290" i="2"/>
  <c r="M157" i="2"/>
  <c r="K157" i="2" s="1"/>
  <c r="O157" i="2"/>
  <c r="M207" i="2"/>
  <c r="K207" i="2" s="1"/>
  <c r="O207" i="2"/>
  <c r="O54" i="2"/>
  <c r="M54" i="2"/>
  <c r="K54" i="2" s="1"/>
  <c r="M230" i="2"/>
  <c r="K230" i="2" s="1"/>
  <c r="O230" i="2"/>
  <c r="M265" i="2"/>
  <c r="K265" i="2" s="1"/>
  <c r="O265" i="2"/>
  <c r="O144" i="2"/>
  <c r="O25" i="2"/>
  <c r="M120" i="2"/>
  <c r="K120" i="2" s="1"/>
  <c r="O260" i="2"/>
  <c r="O7" i="2"/>
  <c r="M7" i="2"/>
  <c r="K7" i="2" s="1"/>
  <c r="O309" i="2"/>
  <c r="O244" i="2"/>
  <c r="O107" i="2"/>
  <c r="O306" i="2"/>
  <c r="O252" i="2"/>
  <c r="O184" i="2"/>
  <c r="O295" i="2"/>
  <c r="O287" i="2"/>
  <c r="O103" i="2"/>
  <c r="O145" i="2"/>
  <c r="M225" i="2"/>
  <c r="K225" i="2" s="1"/>
  <c r="M192" i="2"/>
  <c r="K192" i="2" s="1"/>
  <c r="M96" i="2"/>
  <c r="K96" i="2" s="1"/>
  <c r="O305" i="2"/>
  <c r="O11" i="2"/>
  <c r="O94" i="2"/>
  <c r="M301" i="2"/>
  <c r="K301" i="2" s="1"/>
  <c r="O116" i="2"/>
  <c r="O298" i="2"/>
  <c r="O233" i="2"/>
  <c r="O224" i="2"/>
  <c r="M110" i="2"/>
  <c r="K110" i="2" s="1"/>
  <c r="O110" i="2"/>
  <c r="M214" i="2"/>
  <c r="K214" i="2" s="1"/>
  <c r="O214" i="2"/>
  <c r="M231" i="2"/>
  <c r="K231" i="2" s="1"/>
  <c r="O231" i="2"/>
  <c r="M235" i="2"/>
  <c r="K235" i="2" s="1"/>
  <c r="O235" i="2"/>
  <c r="M216" i="2"/>
  <c r="K216" i="2" s="1"/>
  <c r="O216" i="2"/>
  <c r="M159" i="2"/>
  <c r="K159" i="2" s="1"/>
  <c r="O159" i="2"/>
  <c r="M112" i="2"/>
  <c r="K112" i="2" s="1"/>
  <c r="O112" i="2"/>
  <c r="M302" i="2"/>
  <c r="K302" i="2" s="1"/>
  <c r="O302" i="2"/>
  <c r="M196" i="2"/>
  <c r="K196" i="2" s="1"/>
  <c r="O196" i="2"/>
  <c r="M253" i="2"/>
  <c r="K253" i="2" s="1"/>
  <c r="O253" i="2"/>
  <c r="M300" i="2"/>
  <c r="K300" i="2" s="1"/>
  <c r="O300" i="2"/>
  <c r="M156" i="2"/>
  <c r="K156" i="2" s="1"/>
  <c r="O156" i="2"/>
  <c r="M211" i="2"/>
  <c r="K211" i="2" s="1"/>
  <c r="O211" i="2"/>
  <c r="M181" i="2"/>
  <c r="K181" i="2" s="1"/>
  <c r="O181" i="2"/>
  <c r="M258" i="2"/>
  <c r="K258" i="2" s="1"/>
  <c r="O258" i="2"/>
  <c r="O72" i="2"/>
  <c r="O66" i="2"/>
  <c r="O162" i="2"/>
  <c r="O232" i="2"/>
  <c r="O281" i="2"/>
  <c r="O272" i="2"/>
  <c r="O250" i="2"/>
  <c r="M280" i="2"/>
  <c r="K280" i="2" s="1"/>
  <c r="O314" i="2"/>
  <c r="M314" i="2"/>
  <c r="K314" i="2" s="1"/>
  <c r="O222" i="2"/>
  <c r="M283" i="2"/>
  <c r="K283" i="2" s="1"/>
  <c r="O283" i="2"/>
  <c r="O73" i="2"/>
  <c r="O146" i="2"/>
  <c r="M178" i="2"/>
  <c r="K178" i="2" s="1"/>
  <c r="O28" i="2"/>
  <c r="O16" i="2"/>
  <c r="O203" i="2"/>
  <c r="M32" i="2"/>
  <c r="K32" i="2" s="1"/>
  <c r="O315" i="2"/>
  <c r="O288" i="2"/>
  <c r="O70" i="2"/>
  <c r="O109" i="2"/>
  <c r="O143" i="2"/>
  <c r="M182" i="2"/>
  <c r="K182" i="2" s="1"/>
  <c r="O191" i="2"/>
  <c r="O104" i="2"/>
  <c r="O264" i="2"/>
  <c r="O312" i="2"/>
  <c r="O202" i="2"/>
  <c r="M289" i="2"/>
  <c r="K289" i="2" s="1"/>
  <c r="O63" i="2"/>
  <c r="M269" i="2"/>
  <c r="K269" i="2" s="1"/>
  <c r="O9" i="2"/>
  <c r="O13" i="2"/>
  <c r="M13" i="2"/>
  <c r="K13" i="2" s="1"/>
  <c r="O292" i="2"/>
  <c r="O98" i="2"/>
  <c r="O187" i="2"/>
  <c r="O147" i="2"/>
  <c r="O117" i="2"/>
  <c r="O188" i="2"/>
  <c r="O27" i="2"/>
  <c r="M27" i="2"/>
  <c r="K27" i="2" s="1"/>
  <c r="O240" i="2"/>
  <c r="O311" i="2"/>
  <c r="O204" i="2"/>
  <c r="M208" i="2"/>
  <c r="K208" i="2" s="1"/>
  <c r="M212" i="2"/>
  <c r="K212" i="2" s="1"/>
  <c r="O212" i="2"/>
  <c r="M14" i="2"/>
  <c r="K14" i="2" s="1"/>
  <c r="O14" i="2"/>
  <c r="M175" i="2"/>
  <c r="K175" i="2" s="1"/>
  <c r="O175" i="2"/>
  <c r="O33" i="2"/>
  <c r="M33" i="2"/>
  <c r="K33" i="2" s="1"/>
  <c r="M31" i="2"/>
  <c r="K31" i="2" s="1"/>
  <c r="O31" i="2"/>
  <c r="M242" i="2"/>
  <c r="K242" i="2" s="1"/>
  <c r="O242" i="2"/>
  <c r="O262" i="2"/>
  <c r="M262" i="2"/>
  <c r="K262" i="2" s="1"/>
  <c r="M274" i="2"/>
  <c r="K274" i="2" s="1"/>
  <c r="O274" i="2"/>
  <c r="O64" i="2"/>
  <c r="M209" i="2"/>
  <c r="K209" i="2" s="1"/>
  <c r="O209" i="2"/>
  <c r="M205" i="2"/>
  <c r="K205" i="2" s="1"/>
  <c r="O205" i="2"/>
  <c r="O179" i="2"/>
  <c r="M58" i="2"/>
  <c r="K58" i="2" s="1"/>
  <c r="O58" i="2"/>
  <c r="O277" i="2"/>
  <c r="O65" i="2"/>
  <c r="O268" i="2"/>
  <c r="M268" i="2"/>
  <c r="K268" i="2" s="1"/>
  <c r="M186" i="2"/>
  <c r="K186" i="2" s="1"/>
  <c r="O186" i="2"/>
  <c r="O153" i="2"/>
  <c r="O56" i="2"/>
  <c r="M221" i="1"/>
  <c r="K221" i="1" s="1"/>
  <c r="O152" i="2"/>
  <c r="O29" i="2"/>
  <c r="M29" i="2"/>
  <c r="K29" i="2" s="1"/>
  <c r="O275" i="2"/>
  <c r="M275" i="2"/>
  <c r="K275" i="2" s="1"/>
  <c r="O161" i="2"/>
  <c r="M161" i="2"/>
  <c r="K161" i="2" s="1"/>
  <c r="M68" i="2"/>
  <c r="K68" i="2" s="1"/>
  <c r="O68" i="2"/>
  <c r="M296" i="2"/>
  <c r="K296" i="2" s="1"/>
  <c r="O296" i="2"/>
  <c r="O177" i="2"/>
  <c r="M177" i="2"/>
  <c r="K177" i="2" s="1"/>
  <c r="O248" i="2"/>
  <c r="O247" i="2"/>
  <c r="O59" i="2"/>
  <c r="O257" i="2"/>
  <c r="M95" i="2"/>
  <c r="K95" i="2" s="1"/>
  <c r="O95" i="2"/>
  <c r="O148" i="2"/>
  <c r="M148" i="2"/>
  <c r="K148" i="2" s="1"/>
  <c r="M220" i="2"/>
  <c r="K220" i="2" s="1"/>
  <c r="O220" i="2"/>
  <c r="O190" i="2"/>
  <c r="M190" i="2"/>
  <c r="K190" i="2" s="1"/>
  <c r="O97" i="2"/>
  <c r="O255" i="2"/>
  <c r="O114" i="2"/>
  <c r="O294" i="2"/>
  <c r="M154" i="2"/>
  <c r="K154" i="2" s="1"/>
  <c r="O154" i="2"/>
  <c r="O210" i="2"/>
  <c r="O155" i="2"/>
  <c r="O246" i="2"/>
  <c r="M246" i="2"/>
  <c r="K246" i="2" s="1"/>
  <c r="O310" i="2"/>
  <c r="O69" i="2"/>
  <c r="M52" i="2"/>
  <c r="K52" i="2" s="1"/>
  <c r="O52" i="2"/>
  <c r="O241" i="2"/>
  <c r="O278" i="2"/>
  <c r="O263" i="2"/>
  <c r="O251" i="2"/>
  <c r="O71" i="2"/>
  <c r="O118" i="2"/>
  <c r="M118" i="2"/>
  <c r="K118" i="2" s="1"/>
  <c r="O121" i="2"/>
  <c r="M142" i="2"/>
  <c r="K142" i="2" s="1"/>
  <c r="O142" i="2"/>
  <c r="M308" i="2"/>
  <c r="K308" i="2" s="1"/>
  <c r="O308" i="2"/>
  <c r="O262" i="1"/>
  <c r="O34" i="2"/>
  <c r="O223" i="2"/>
  <c r="O67" i="2"/>
  <c r="O30" i="2"/>
  <c r="O10" i="2"/>
  <c r="O310" i="1"/>
  <c r="M223" i="1"/>
  <c r="K223" i="1" s="1"/>
  <c r="O223" i="1"/>
  <c r="O218" i="1"/>
  <c r="M218" i="1"/>
  <c r="K218" i="1" s="1"/>
  <c r="M251" i="1"/>
  <c r="K251" i="1" s="1"/>
  <c r="O251" i="1"/>
  <c r="M114" i="1"/>
  <c r="K114" i="1" s="1"/>
  <c r="O96" i="1"/>
  <c r="M286" i="1"/>
  <c r="K286" i="1" s="1"/>
  <c r="O286" i="1"/>
  <c r="M304" i="1"/>
  <c r="K304" i="1" s="1"/>
  <c r="O304" i="1"/>
  <c r="M28" i="1"/>
  <c r="K28" i="1" s="1"/>
  <c r="O28" i="1"/>
  <c r="M73" i="1"/>
  <c r="K73" i="1" s="1"/>
  <c r="O73" i="1"/>
  <c r="M219" i="1"/>
  <c r="K219" i="1" s="1"/>
  <c r="O219" i="1"/>
  <c r="M162" i="1"/>
  <c r="K162" i="1" s="1"/>
  <c r="O162" i="1"/>
  <c r="O100" i="1"/>
  <c r="M231" i="1"/>
  <c r="K231" i="1" s="1"/>
  <c r="M312" i="1"/>
  <c r="K312" i="1" s="1"/>
  <c r="M225" i="1"/>
  <c r="K225" i="1" s="1"/>
  <c r="O158" i="1"/>
  <c r="M296" i="1"/>
  <c r="K296" i="1" s="1"/>
  <c r="O296" i="1"/>
  <c r="M153" i="1"/>
  <c r="K153" i="1" s="1"/>
  <c r="O153" i="1"/>
  <c r="M64" i="1"/>
  <c r="K64" i="1" s="1"/>
  <c r="O64" i="1"/>
  <c r="O285" i="1"/>
  <c r="M285" i="1"/>
  <c r="K285" i="1" s="1"/>
  <c r="M213" i="1"/>
  <c r="K213" i="1" s="1"/>
  <c r="O213" i="1"/>
  <c r="M186" i="1"/>
  <c r="K186" i="1" s="1"/>
  <c r="O186" i="1"/>
  <c r="M256" i="1"/>
  <c r="K256" i="1" s="1"/>
  <c r="O256" i="1"/>
  <c r="M103" i="1"/>
  <c r="K103" i="1" s="1"/>
  <c r="O103" i="1"/>
  <c r="M276" i="1"/>
  <c r="K276" i="1" s="1"/>
  <c r="O276" i="1"/>
  <c r="O154" i="1"/>
  <c r="M110" i="1"/>
  <c r="K110" i="1" s="1"/>
  <c r="M72" i="1"/>
  <c r="K72" i="1" s="1"/>
  <c r="O222" i="1"/>
  <c r="O157" i="1"/>
  <c r="O104" i="1"/>
  <c r="O147" i="1"/>
  <c r="O118" i="1"/>
  <c r="O24" i="1"/>
  <c r="O67" i="1"/>
  <c r="O143" i="1"/>
  <c r="M143" i="1"/>
  <c r="K143" i="1" s="1"/>
  <c r="M148" i="1"/>
  <c r="K148" i="1" s="1"/>
  <c r="O148" i="1"/>
  <c r="O209" i="1"/>
  <c r="M209" i="1"/>
  <c r="K209" i="1" s="1"/>
  <c r="M292" i="1"/>
  <c r="K292" i="1" s="1"/>
  <c r="O292" i="1"/>
  <c r="M177" i="1"/>
  <c r="K177" i="1" s="1"/>
  <c r="O177" i="1"/>
  <c r="M269" i="1"/>
  <c r="K269" i="1" s="1"/>
  <c r="O269" i="1"/>
  <c r="M120" i="1"/>
  <c r="K120" i="1" s="1"/>
  <c r="O120" i="1"/>
  <c r="O203" i="1"/>
  <c r="O220" i="1"/>
  <c r="M307" i="1"/>
  <c r="K307" i="1" s="1"/>
  <c r="O161" i="1"/>
  <c r="M197" i="1"/>
  <c r="K197" i="1" s="1"/>
  <c r="M69" i="1"/>
  <c r="K69" i="1" s="1"/>
  <c r="O300" i="1"/>
  <c r="O111" i="1"/>
  <c r="M283" i="1"/>
  <c r="K283" i="1" s="1"/>
  <c r="O194" i="1"/>
  <c r="O295" i="1"/>
  <c r="M215" i="1"/>
  <c r="K215" i="1" s="1"/>
  <c r="O253" i="1"/>
  <c r="O274" i="1"/>
  <c r="O113" i="1"/>
  <c r="O152" i="1"/>
  <c r="O313" i="1"/>
  <c r="M71" i="1"/>
  <c r="K71" i="1" s="1"/>
  <c r="O55" i="1"/>
  <c r="O244" i="1"/>
  <c r="M211" i="1"/>
  <c r="K211" i="1" s="1"/>
  <c r="O211" i="1"/>
  <c r="M272" i="1"/>
  <c r="K272" i="1" s="1"/>
  <c r="O272" i="1"/>
  <c r="M278" i="1"/>
  <c r="K278" i="1" s="1"/>
  <c r="O278" i="1"/>
  <c r="M70" i="1"/>
  <c r="K70" i="1" s="1"/>
  <c r="O70" i="1"/>
  <c r="M155" i="1"/>
  <c r="K155" i="1" s="1"/>
  <c r="O155" i="1"/>
  <c r="M245" i="1"/>
  <c r="K245" i="1" s="1"/>
  <c r="O245" i="1"/>
  <c r="M108" i="1"/>
  <c r="K108" i="1" s="1"/>
  <c r="O108" i="1"/>
  <c r="M11" i="1"/>
  <c r="K11" i="1" s="1"/>
  <c r="O11" i="1"/>
  <c r="M107" i="1"/>
  <c r="K107" i="1" s="1"/>
  <c r="O107" i="1"/>
  <c r="M237" i="1"/>
  <c r="K237" i="1" s="1"/>
  <c r="O237" i="1"/>
  <c r="O309" i="1"/>
  <c r="O184" i="1"/>
  <c r="O181" i="1"/>
  <c r="M31" i="1"/>
  <c r="K31" i="1" s="1"/>
  <c r="O146" i="1"/>
  <c r="O210" i="1"/>
  <c r="O61" i="1"/>
  <c r="O191" i="1"/>
  <c r="M101" i="1"/>
  <c r="K101" i="1" s="1"/>
  <c r="M180" i="1"/>
  <c r="K180" i="1" s="1"/>
  <c r="O13" i="1"/>
  <c r="O202" i="1"/>
  <c r="O150" i="1"/>
  <c r="M52" i="1"/>
  <c r="K52" i="1" s="1"/>
  <c r="O238" i="1"/>
  <c r="O98" i="1"/>
  <c r="O30" i="1"/>
  <c r="O236" i="1"/>
  <c r="O308" i="1"/>
  <c r="M252" i="1"/>
  <c r="K252" i="1" s="1"/>
  <c r="M144" i="1"/>
  <c r="K144" i="1" s="1"/>
  <c r="O149" i="1"/>
  <c r="O302" i="1"/>
  <c r="O196" i="1"/>
  <c r="M99" i="1"/>
  <c r="K99" i="1" s="1"/>
  <c r="O282" i="1"/>
  <c r="O207" i="1"/>
  <c r="O175" i="1"/>
  <c r="O25" i="1"/>
  <c r="O277" i="1"/>
  <c r="M250" i="1"/>
  <c r="K250" i="1" s="1"/>
  <c r="O250" i="1"/>
  <c r="M102" i="1"/>
  <c r="K102" i="1" s="1"/>
  <c r="O102" i="1"/>
  <c r="M206" i="1"/>
  <c r="K206" i="1" s="1"/>
  <c r="O206" i="1"/>
  <c r="M142" i="1"/>
  <c r="K142" i="1" s="1"/>
  <c r="O142" i="1"/>
  <c r="M298" i="1"/>
  <c r="K298" i="1" s="1"/>
  <c r="O298" i="1"/>
  <c r="M188" i="1"/>
  <c r="K188" i="1" s="1"/>
  <c r="O188" i="1"/>
  <c r="M58" i="1"/>
  <c r="K58" i="1" s="1"/>
  <c r="O58" i="1"/>
  <c r="M57" i="1"/>
  <c r="K57" i="1" s="1"/>
  <c r="O57" i="1"/>
  <c r="M266" i="1"/>
  <c r="K266" i="1" s="1"/>
  <c r="O266" i="1"/>
  <c r="M115" i="1"/>
  <c r="K115" i="1" s="1"/>
  <c r="O115" i="1"/>
  <c r="M235" i="1"/>
  <c r="K235" i="1" s="1"/>
  <c r="O235" i="1"/>
  <c r="M233" i="1"/>
  <c r="K233" i="1" s="1"/>
  <c r="O233" i="1"/>
  <c r="M287" i="1"/>
  <c r="K287" i="1" s="1"/>
  <c r="O287" i="1"/>
  <c r="M112" i="1"/>
  <c r="K112" i="1" s="1"/>
  <c r="O112" i="1"/>
  <c r="O192" i="1"/>
  <c r="M14" i="1"/>
  <c r="K14" i="1" s="1"/>
  <c r="O279" i="1"/>
  <c r="O187" i="1"/>
  <c r="O32" i="1"/>
  <c r="O306" i="1"/>
  <c r="O8" i="1"/>
  <c r="O66" i="1"/>
  <c r="O95" i="1"/>
  <c r="O259" i="1"/>
  <c r="O314" i="1"/>
  <c r="M10" i="1"/>
  <c r="K10" i="1" s="1"/>
  <c r="M214" i="1"/>
  <c r="K214" i="1" s="1"/>
  <c r="O54" i="1"/>
  <c r="O5" i="1"/>
  <c r="O268" i="1"/>
  <c r="O33" i="1"/>
  <c r="M33" i="1"/>
  <c r="K33" i="1" s="1"/>
  <c r="O260" i="1"/>
  <c r="M293" i="1"/>
  <c r="K293" i="1" s="1"/>
  <c r="O289" i="1"/>
  <c r="O267" i="1"/>
  <c r="O94" i="1"/>
  <c r="M264" i="1"/>
  <c r="K264" i="1" s="1"/>
  <c r="O230" i="1"/>
  <c r="M257" i="1"/>
  <c r="K257" i="1" s="1"/>
  <c r="O240" i="1"/>
  <c r="O116" i="1"/>
  <c r="O34" i="1"/>
  <c r="O311" i="1"/>
  <c r="M311" i="1"/>
  <c r="K311" i="1" s="1"/>
  <c r="O190" i="1"/>
  <c r="O105" i="1"/>
  <c r="O255" i="1"/>
  <c r="O15" i="1"/>
  <c r="O97" i="1"/>
  <c r="M151" i="1"/>
  <c r="K151" i="1" s="1"/>
  <c r="O263" i="1"/>
  <c r="O280" i="1"/>
  <c r="O239" i="1"/>
  <c r="O281" i="1"/>
  <c r="M254" i="1"/>
  <c r="K254" i="1" s="1"/>
  <c r="O176" i="1"/>
  <c r="O74" i="1"/>
  <c r="O183" i="1"/>
  <c r="O9" i="1"/>
  <c r="O159" i="1"/>
  <c r="O246" i="1"/>
  <c r="O291" i="1"/>
  <c r="O270" i="1"/>
  <c r="O68" i="1"/>
  <c r="O315" i="1"/>
  <c r="O247" i="1"/>
  <c r="M247" i="1"/>
  <c r="K247" i="1" s="1"/>
  <c r="O185" i="1"/>
  <c r="O216" i="1"/>
  <c r="O106" i="1"/>
  <c r="M63" i="1"/>
  <c r="K63" i="1" s="1"/>
  <c r="O63" i="1"/>
  <c r="M60" i="1"/>
  <c r="K60" i="1" s="1"/>
  <c r="O60" i="1"/>
  <c r="O145" i="1"/>
  <c r="M27" i="1"/>
  <c r="K27" i="1" s="1"/>
  <c r="O27" i="1"/>
  <c r="O53" i="1"/>
  <c r="M53" i="1"/>
  <c r="K53" i="1" s="1"/>
  <c r="O305" i="1"/>
  <c r="O205" i="1"/>
  <c r="O275" i="1"/>
  <c r="O232" i="1"/>
  <c r="M232" i="1"/>
  <c r="K232" i="1" s="1"/>
  <c r="O121" i="1"/>
  <c r="M59" i="1"/>
  <c r="K59" i="1" s="1"/>
  <c r="O59" i="1"/>
  <c r="M271" i="1"/>
  <c r="K271" i="1" s="1"/>
  <c r="O271" i="1"/>
  <c r="M56" i="1"/>
  <c r="K56" i="1" s="1"/>
  <c r="O56" i="1"/>
  <c r="M273" i="1"/>
  <c r="K273" i="1" s="1"/>
  <c r="O273" i="1"/>
  <c r="M224" i="1"/>
  <c r="K224" i="1" s="1"/>
  <c r="O224" i="1"/>
  <c r="O7" i="1"/>
  <c r="O182" i="1"/>
  <c r="M23" i="1"/>
  <c r="K23" i="1" s="1"/>
  <c r="O23" i="1"/>
  <c r="M195" i="1"/>
  <c r="K195" i="1" s="1"/>
  <c r="O195" i="1"/>
  <c r="O212" i="1"/>
  <c r="O294" i="1"/>
  <c r="M294" i="1"/>
  <c r="K294" i="1" s="1"/>
  <c r="O284" i="1"/>
  <c r="M284" i="1"/>
  <c r="K284" i="1" s="1"/>
  <c r="O193" i="1"/>
  <c r="O243" i="1"/>
  <c r="O242" i="1"/>
  <c r="O265" i="1"/>
  <c r="O119" i="1"/>
  <c r="M26" i="1"/>
  <c r="K26" i="1" s="1"/>
  <c r="O26" i="1"/>
  <c r="O297" i="1"/>
  <c r="O288" i="1"/>
  <c r="M288" i="1"/>
  <c r="K288" i="1" s="1"/>
  <c r="O208" i="1"/>
  <c r="O160" i="1"/>
  <c r="M178" i="1"/>
  <c r="K178" i="1" s="1"/>
  <c r="O178" i="1"/>
  <c r="O179" i="1"/>
  <c r="O156" i="1"/>
  <c r="M117" i="1"/>
  <c r="K117" i="1" s="1"/>
  <c r="O117" i="1"/>
  <c r="O241" i="1"/>
  <c r="M204" i="1"/>
  <c r="K204" i="1" s="1"/>
  <c r="O204" i="1"/>
  <c r="O258" i="1"/>
  <c r="O299" i="1"/>
  <c r="M290" i="1"/>
  <c r="K290" i="1" s="1"/>
  <c r="O290" i="1"/>
  <c r="O109" i="1"/>
  <c r="O248" i="1"/>
  <c r="O301" i="1"/>
  <c r="O65" i="1"/>
  <c r="O303" i="1"/>
  <c r="O189" i="1"/>
  <c r="O217" i="1"/>
  <c r="O234" i="1"/>
  <c r="O29" i="1"/>
  <c r="O16" i="1"/>
  <c r="O62" i="1"/>
</calcChain>
</file>

<file path=xl/sharedStrings.xml><?xml version="1.0" encoding="utf-8"?>
<sst xmlns="http://schemas.openxmlformats.org/spreadsheetml/2006/main" count="170" uniqueCount="30">
  <si>
    <t>进浆时间</t>
  </si>
  <si>
    <t>反应浓度</t>
  </si>
  <si>
    <t>粉煤灰</t>
  </si>
  <si>
    <t>一级底部压力</t>
  </si>
  <si>
    <t>烟气量</t>
  </si>
  <si>
    <t>进气CO2浓度</t>
  </si>
  <si>
    <t>排气CO2浓度</t>
  </si>
  <si>
    <t>烟气温度</t>
  </si>
  <si>
    <t>初始pH</t>
  </si>
  <si>
    <t>排浆pH</t>
  </si>
  <si>
    <t>反应时间</t>
  </si>
  <si>
    <t>周期</t>
  </si>
  <si>
    <t>处理能力</t>
  </si>
  <si>
    <t>排浆时间</t>
  </si>
  <si>
    <t>min</t>
  </si>
  <si>
    <t/>
  </si>
  <si>
    <t>t</t>
  </si>
  <si>
    <t>kPa</t>
  </si>
  <si>
    <t>Nm³/h</t>
  </si>
  <si>
    <t>%</t>
  </si>
  <si>
    <t>℃</t>
  </si>
  <si>
    <t>pH</t>
  </si>
  <si>
    <t>t/h</t>
  </si>
  <si>
    <t>59..3</t>
  </si>
  <si>
    <t>　7.78-14.38</t>
  </si>
  <si>
    <t>　7.74-14.4　</t>
  </si>
  <si>
    <t>降碱速率</t>
  </si>
  <si>
    <t>降碱速率</t>
    <phoneticPr fontId="1" type="noConversion"/>
  </si>
  <si>
    <t>气液比</t>
  </si>
  <si>
    <t>气液比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</si>
</sst>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0"/>
    <numFmt numFmtId="178" formatCode="0.00_);[Red]\(0.00\)"/>
  </numFmts>
  <fonts count="5" x14ac:knownFonts="1">
    <font>
      <sz val="11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2"/>
      <charset val="134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/>
    <xf numFmtId="0" fontId="0" fillId="2" borderId="0" xfId="0" applyFill="1"/>
    <xf numFmtId="176" fontId="0" fillId="0" borderId="0" xfId="0" applyNumberFormat="1"/>
    <xf numFmtId="176" fontId="0" fillId="2" borderId="0" xfId="0" applyNumberFormat="1" applyFill="1"/>
    <xf numFmtId="0" fontId="4" fillId="0" borderId="0" xfId="0" applyFont="1"/>
    <xf numFmtId="0" fontId="4" fillId="2" borderId="0" xfId="0" applyFont="1" applyFill="1"/>
    <xf numFmtId="176" fontId="4" fillId="2" borderId="0" xfId="0" applyNumberFormat="1" applyFont="1" applyFill="1"/>
    <xf numFmtId="9" fontId="0" fillId="0" borderId="0" xfId="1" applyFont="1" applyAlignment="1"/>
    <xf numFmtId="9" fontId="0" fillId="2" borderId="0" xfId="1" applyFont="1" applyFill="1" applyAlignment="1"/>
    <xf numFmtId="9" fontId="4" fillId="2" borderId="0" xfId="1" applyFont="1" applyFill="1" applyAlignment="1"/>
    <xf numFmtId="9" fontId="4" fillId="0" borderId="0" xfId="1" applyFont="1" applyAlignment="1"/>
    <xf numFmtId="1" fontId="0" fillId="0" borderId="0" xfId="0" applyNumberFormat="1"/>
    <xf numFmtId="1" fontId="0" fillId="2" borderId="0" xfId="0" applyNumberFormat="1" applyFill="1"/>
    <xf numFmtId="1" fontId="4" fillId="2" borderId="0" xfId="0" applyNumberFormat="1" applyFont="1" applyFill="1"/>
    <xf numFmtId="177" fontId="0" fillId="0" borderId="0" xfId="0" applyNumberFormat="1"/>
    <xf numFmtId="177" fontId="4" fillId="0" borderId="0" xfId="0" applyNumberFormat="1" applyFont="1"/>
    <xf numFmtId="177" fontId="4" fillId="2" borderId="0" xfId="0" applyNumberFormat="1" applyFont="1" applyFill="1"/>
    <xf numFmtId="177" fontId="0" fillId="2" borderId="0" xfId="0" applyNumberFormat="1" applyFill="1"/>
    <xf numFmtId="178" fontId="0" fillId="0" borderId="0" xfId="1" applyNumberFormat="1" applyFont="1" applyAlignment="1"/>
    <xf numFmtId="10" fontId="0" fillId="0" borderId="0" xfId="0" applyNumberFormat="1"/>
    <xf numFmtId="10" fontId="4" fillId="0" borderId="0" xfId="0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F4AA-CE54-408E-B6E3-502F824550B5}">
  <dimension ref="A1:AE309"/>
  <sheetViews>
    <sheetView workbookViewId="0">
      <pane xSplit="1" ySplit="3" topLeftCell="B290" activePane="bottomRight" state="frozen"/>
      <selection pane="topRight" activeCell="B1" sqref="B1"/>
      <selection pane="bottomLeft" activeCell="A4" sqref="A4"/>
      <selection pane="bottomRight" activeCell="J3" sqref="J3:O309"/>
    </sheetView>
  </sheetViews>
  <sheetFormatPr defaultRowHeight="14.25" x14ac:dyDescent="0.45"/>
  <cols>
    <col min="2" max="2" width="13.796875" customWidth="1"/>
    <col min="4" max="4" width="12.46484375" customWidth="1"/>
    <col min="12" max="12" width="13.796875" customWidth="1"/>
    <col min="13" max="13" width="12.19921875" bestFit="1" customWidth="1"/>
    <col min="16" max="16" width="17.265625" customWidth="1"/>
  </cols>
  <sheetData>
    <row r="1" spans="1:31" x14ac:dyDescent="0.45">
      <c r="A1" t="s">
        <v>0</v>
      </c>
      <c r="B1" t="s">
        <v>4</v>
      </c>
      <c r="C1" t="s">
        <v>2</v>
      </c>
      <c r="D1" t="s">
        <v>3</v>
      </c>
      <c r="E1" t="s">
        <v>1</v>
      </c>
      <c r="J1" t="s">
        <v>1</v>
      </c>
      <c r="O1" t="s">
        <v>7</v>
      </c>
      <c r="P1" t="s">
        <v>5</v>
      </c>
      <c r="Q1" t="s">
        <v>6</v>
      </c>
      <c r="S1" t="s">
        <v>8</v>
      </c>
      <c r="T1" t="s">
        <v>9</v>
      </c>
      <c r="W1" t="s">
        <v>10</v>
      </c>
      <c r="X1" t="s">
        <v>11</v>
      </c>
      <c r="Y1" t="s">
        <v>12</v>
      </c>
      <c r="Z1" t="s">
        <v>12</v>
      </c>
      <c r="AA1" t="s">
        <v>13</v>
      </c>
    </row>
    <row r="2" spans="1:31" x14ac:dyDescent="0.45">
      <c r="A2" t="s">
        <v>14</v>
      </c>
      <c r="B2" t="s">
        <v>18</v>
      </c>
      <c r="C2" t="s">
        <v>16</v>
      </c>
      <c r="D2" t="s">
        <v>17</v>
      </c>
      <c r="E2" t="s">
        <v>15</v>
      </c>
      <c r="J2" t="s">
        <v>15</v>
      </c>
      <c r="O2" t="s">
        <v>20</v>
      </c>
      <c r="P2" t="s">
        <v>19</v>
      </c>
      <c r="Q2" t="s">
        <v>19</v>
      </c>
      <c r="S2" t="s">
        <v>21</v>
      </c>
      <c r="T2" t="s">
        <v>21</v>
      </c>
      <c r="W2" t="s">
        <v>14</v>
      </c>
      <c r="X2" t="s">
        <v>14</v>
      </c>
      <c r="Y2" t="s">
        <v>22</v>
      </c>
      <c r="Z2" t="s">
        <v>22</v>
      </c>
      <c r="AA2" t="s">
        <v>14</v>
      </c>
    </row>
    <row r="3" spans="1:31" ht="14.65" x14ac:dyDescent="0.45">
      <c r="A3" t="s">
        <v>0</v>
      </c>
      <c r="B3" t="s">
        <v>4</v>
      </c>
      <c r="C3" t="s">
        <v>2</v>
      </c>
      <c r="D3" t="s">
        <v>3</v>
      </c>
      <c r="E3" t="s">
        <v>1</v>
      </c>
      <c r="J3" t="s">
        <v>1</v>
      </c>
      <c r="K3" s="1" t="s">
        <v>29</v>
      </c>
      <c r="L3" t="s">
        <v>4</v>
      </c>
      <c r="M3" t="s">
        <v>5</v>
      </c>
      <c r="N3" s="1" t="s">
        <v>27</v>
      </c>
      <c r="O3" t="s">
        <v>7</v>
      </c>
      <c r="Q3" t="s">
        <v>6</v>
      </c>
      <c r="S3" t="s">
        <v>8</v>
      </c>
      <c r="T3" t="s">
        <v>9</v>
      </c>
      <c r="V3" s="1"/>
      <c r="W3" t="s">
        <v>10</v>
      </c>
      <c r="X3" t="s">
        <v>11</v>
      </c>
      <c r="Y3" t="s">
        <v>12</v>
      </c>
      <c r="Z3" t="s">
        <v>12</v>
      </c>
      <c r="AA3" t="s">
        <v>13</v>
      </c>
    </row>
    <row r="4" spans="1:31" x14ac:dyDescent="0.45">
      <c r="A4">
        <f t="shared" ref="A4:A67" ca="1" si="0">RANDBETWEEN(16,22)</f>
        <v>21</v>
      </c>
      <c r="B4" s="3">
        <v>4778</v>
      </c>
      <c r="C4">
        <f t="shared" ref="C4:C67" ca="1" si="1">RANDBETWEEN(145,165)/10</f>
        <v>15.9</v>
      </c>
      <c r="D4">
        <v>31.77</v>
      </c>
      <c r="E4">
        <v>0</v>
      </c>
      <c r="J4">
        <v>0</v>
      </c>
      <c r="L4" s="3">
        <f t="shared" ref="L4:L35" si="2">ROUND(B4/100,0)*100</f>
        <v>4800</v>
      </c>
      <c r="M4" s="3">
        <f>ROUND(P4,0)</f>
        <v>7</v>
      </c>
      <c r="N4" t="e">
        <f t="shared" ref="N4:N67" si="3">(S4-T4)/W4</f>
        <v>#DIV/0!</v>
      </c>
      <c r="O4">
        <v>51.2</v>
      </c>
      <c r="P4">
        <v>6.74</v>
      </c>
      <c r="Q4">
        <v>10.17</v>
      </c>
      <c r="S4">
        <v>12.54</v>
      </c>
      <c r="X4">
        <f t="shared" ref="X4:X67" ca="1" si="4">AE4</f>
        <v>49.764133460965674</v>
      </c>
      <c r="Y4">
        <f ca="1">C4/X4*60</f>
        <v>19.170433274967102</v>
      </c>
      <c r="Z4">
        <v>37.847999999999999</v>
      </c>
      <c r="AA4">
        <v>4.5</v>
      </c>
      <c r="AB4">
        <f t="shared" ref="AB4:AB67" ca="1" si="5">RANDBETWEEN(190,200)/10</f>
        <v>19</v>
      </c>
      <c r="AC4">
        <f t="shared" ref="AC4:AC67" ca="1" si="6">RAND()</f>
        <v>0.1704332749670997</v>
      </c>
      <c r="AD4">
        <f t="shared" ref="AD4:AD67" ca="1" si="7">AB4+AC4</f>
        <v>19.170433274967099</v>
      </c>
      <c r="AE4">
        <f ca="1">C4*60/AD4</f>
        <v>49.764133460965674</v>
      </c>
    </row>
    <row r="5" spans="1:31" x14ac:dyDescent="0.45">
      <c r="A5">
        <f t="shared" ca="1" si="0"/>
        <v>16</v>
      </c>
      <c r="B5" s="3">
        <v>6355</v>
      </c>
      <c r="C5">
        <f t="shared" ca="1" si="1"/>
        <v>16.399999999999999</v>
      </c>
      <c r="D5">
        <v>38.5</v>
      </c>
      <c r="E5" s="8">
        <v>0.21</v>
      </c>
      <c r="F5" s="19">
        <f t="shared" ref="F5:F68" si="8">1/(E5/2.26+1-E5)</f>
        <v>1.1326049914804048</v>
      </c>
      <c r="G5" s="19">
        <f>D5/9.8/F5+0.5</f>
        <v>3.9686156763590392</v>
      </c>
      <c r="H5" s="19">
        <f ca="1">C5/E5/F5/(4*PI())</f>
        <v>5.4870158918113301</v>
      </c>
      <c r="I5" s="19">
        <f>G5*4*4/4*PI()</f>
        <v>49.871095415083381</v>
      </c>
      <c r="J5" s="8">
        <v>0.21</v>
      </c>
      <c r="K5" s="19">
        <f>ROUND(L5/I5,0)</f>
        <v>128</v>
      </c>
      <c r="L5" s="3">
        <f t="shared" si="2"/>
        <v>6400</v>
      </c>
      <c r="M5" s="3">
        <f t="shared" ref="M5:M68" si="9">ROUND(P5,0)</f>
        <v>8</v>
      </c>
      <c r="N5">
        <f t="shared" ca="1" si="3"/>
        <v>0.1813094267829283</v>
      </c>
      <c r="O5">
        <v>62.2</v>
      </c>
      <c r="P5">
        <v>7.88</v>
      </c>
      <c r="Q5">
        <v>10.52</v>
      </c>
      <c r="S5">
        <v>12.31</v>
      </c>
      <c r="T5">
        <v>7.39</v>
      </c>
      <c r="W5">
        <f ca="1">X5-A5-AA5</f>
        <v>27.135930476965456</v>
      </c>
      <c r="X5">
        <f t="shared" ca="1" si="4"/>
        <v>47.635930476965456</v>
      </c>
      <c r="Y5">
        <f ca="1">C5/X5*60</f>
        <v>20.65667638161948</v>
      </c>
      <c r="Z5">
        <v>9.0466666666666704</v>
      </c>
      <c r="AA5">
        <v>4.5</v>
      </c>
      <c r="AB5">
        <f t="shared" ca="1" si="5"/>
        <v>20</v>
      </c>
      <c r="AC5">
        <f t="shared" ca="1" si="6"/>
        <v>0.65667638161947883</v>
      </c>
      <c r="AD5">
        <f t="shared" ca="1" si="7"/>
        <v>20.65667638161948</v>
      </c>
      <c r="AE5">
        <f ca="1">C5*60/AD5</f>
        <v>47.635930476965456</v>
      </c>
    </row>
    <row r="6" spans="1:31" x14ac:dyDescent="0.45">
      <c r="A6">
        <f t="shared" ca="1" si="0"/>
        <v>21</v>
      </c>
      <c r="B6" s="3">
        <v>4877</v>
      </c>
      <c r="C6">
        <f t="shared" ca="1" si="1"/>
        <v>15.1</v>
      </c>
      <c r="D6">
        <v>31.15</v>
      </c>
      <c r="E6" s="8">
        <v>0.22</v>
      </c>
      <c r="F6" s="19">
        <f t="shared" si="8"/>
        <v>1.1398022997780917</v>
      </c>
      <c r="G6" s="19">
        <f t="shared" ref="G6:G69" si="10">D6/9.8/F6+0.5</f>
        <v>3.2887041719342602</v>
      </c>
      <c r="H6" s="19">
        <f t="shared" ref="H6:H69" ca="1" si="11">C6/E6/F6/(4*PI())</f>
        <v>4.7919786399390709</v>
      </c>
      <c r="I6" s="19">
        <f t="shared" ref="I6:I69" si="12">G6*4*4/4*PI()</f>
        <v>41.327075465515101</v>
      </c>
      <c r="J6" s="8">
        <v>0.22</v>
      </c>
      <c r="K6" s="19">
        <f t="shared" ref="K6:K69" si="13">ROUND(L6/I6,0)</f>
        <v>119</v>
      </c>
      <c r="L6" s="3">
        <f t="shared" si="2"/>
        <v>4900</v>
      </c>
      <c r="M6" s="3">
        <f t="shared" si="9"/>
        <v>1</v>
      </c>
      <c r="N6">
        <f t="shared" si="3"/>
        <v>0.11355555555555555</v>
      </c>
      <c r="O6">
        <v>53</v>
      </c>
      <c r="P6">
        <v>0.5</v>
      </c>
      <c r="Q6">
        <v>7.07</v>
      </c>
      <c r="S6">
        <v>12.26</v>
      </c>
      <c r="T6">
        <v>7.15</v>
      </c>
      <c r="W6">
        <v>45</v>
      </c>
      <c r="X6">
        <f t="shared" ca="1" si="4"/>
        <v>44.116490287600953</v>
      </c>
      <c r="Y6">
        <f ca="1">C6/X6*60</f>
        <v>20.536538471072198</v>
      </c>
      <c r="Z6">
        <v>13.474285714285701</v>
      </c>
      <c r="AA6">
        <v>4.5</v>
      </c>
      <c r="AB6">
        <f t="shared" ca="1" si="5"/>
        <v>20</v>
      </c>
      <c r="AC6">
        <f t="shared" ca="1" si="6"/>
        <v>0.5365384710721971</v>
      </c>
      <c r="AD6">
        <f t="shared" ca="1" si="7"/>
        <v>20.536538471072198</v>
      </c>
      <c r="AE6">
        <f ca="1">C6*60/AD6</f>
        <v>44.116490287600953</v>
      </c>
    </row>
    <row r="7" spans="1:31" s="2" customFormat="1" x14ac:dyDescent="0.45">
      <c r="A7" s="2">
        <f t="shared" ca="1" si="0"/>
        <v>21</v>
      </c>
      <c r="B7" s="4">
        <v>6255</v>
      </c>
      <c r="C7" s="2">
        <f t="shared" ca="1" si="1"/>
        <v>15.8</v>
      </c>
      <c r="D7" s="2">
        <v>33.200000000000003</v>
      </c>
      <c r="E7" s="9">
        <v>0.24</v>
      </c>
      <c r="F7" s="19">
        <f t="shared" si="8"/>
        <v>1.1544748671843075</v>
      </c>
      <c r="G7" s="19">
        <f t="shared" si="10"/>
        <v>3.4344554813075669</v>
      </c>
      <c r="H7" s="19">
        <f t="shared" ca="1" si="11"/>
        <v>4.5378642350919716</v>
      </c>
      <c r="I7" s="19">
        <f t="shared" si="12"/>
        <v>43.158640436628197</v>
      </c>
      <c r="J7" s="9">
        <v>0.24</v>
      </c>
      <c r="K7" s="19">
        <f t="shared" si="13"/>
        <v>146</v>
      </c>
      <c r="L7" s="3">
        <f t="shared" si="2"/>
        <v>6300</v>
      </c>
      <c r="M7" s="3">
        <f t="shared" si="9"/>
        <v>13</v>
      </c>
      <c r="N7" s="2">
        <f t="shared" ca="1" si="3"/>
        <v>0.18064943416059337</v>
      </c>
      <c r="O7" s="2">
        <v>61.3</v>
      </c>
      <c r="P7" s="2">
        <v>13.24</v>
      </c>
      <c r="Q7" s="2">
        <v>8.14</v>
      </c>
      <c r="S7" s="2">
        <v>10.81</v>
      </c>
      <c r="T7" s="2">
        <v>7.06</v>
      </c>
      <c r="W7" s="2">
        <f ca="1">X7-A7-AA7</f>
        <v>20.758437564029862</v>
      </c>
      <c r="X7" s="2">
        <f t="shared" ca="1" si="4"/>
        <v>46.258437564029862</v>
      </c>
      <c r="Y7" s="2">
        <f ca="1">C7/X7*60</f>
        <v>20.493558579184615</v>
      </c>
      <c r="Z7" s="2">
        <v>10.275</v>
      </c>
      <c r="AA7" s="2">
        <v>4.5</v>
      </c>
      <c r="AB7" s="2">
        <f t="shared" ca="1" si="5"/>
        <v>19.8</v>
      </c>
      <c r="AC7" s="2">
        <f t="shared" ca="1" si="6"/>
        <v>0.69355857918461561</v>
      </c>
      <c r="AD7" s="2">
        <f t="shared" ca="1" si="7"/>
        <v>20.493558579184615</v>
      </c>
      <c r="AE7" s="2">
        <f ca="1">C7*60/AD7</f>
        <v>46.258437564029862</v>
      </c>
    </row>
    <row r="8" spans="1:31" s="2" customFormat="1" x14ac:dyDescent="0.45">
      <c r="A8" s="2">
        <f t="shared" ca="1" si="0"/>
        <v>18</v>
      </c>
      <c r="B8" s="4">
        <v>6453</v>
      </c>
      <c r="C8" s="2">
        <f t="shared" ca="1" si="1"/>
        <v>15.1</v>
      </c>
      <c r="D8" s="2">
        <v>32.1</v>
      </c>
      <c r="E8" s="9">
        <v>0.24</v>
      </c>
      <c r="F8" s="19">
        <f t="shared" si="8"/>
        <v>1.1544748671843075</v>
      </c>
      <c r="G8" s="19">
        <f t="shared" si="10"/>
        <v>3.3372295466859305</v>
      </c>
      <c r="H8" s="19">
        <f t="shared" ca="1" si="11"/>
        <v>4.3368196170815665</v>
      </c>
      <c r="I8" s="19">
        <f t="shared" si="12"/>
        <v>41.936863308845261</v>
      </c>
      <c r="J8" s="9">
        <v>0.24</v>
      </c>
      <c r="K8" s="19">
        <f t="shared" si="13"/>
        <v>155</v>
      </c>
      <c r="L8" s="3">
        <f t="shared" si="2"/>
        <v>6500</v>
      </c>
      <c r="M8" s="3">
        <f t="shared" si="9"/>
        <v>13</v>
      </c>
      <c r="N8" s="2">
        <f t="shared" ca="1" si="3"/>
        <v>0.24616994888207505</v>
      </c>
      <c r="O8" s="2">
        <v>56.2</v>
      </c>
      <c r="P8" s="2">
        <v>13.23</v>
      </c>
      <c r="Q8" s="2">
        <v>8.74</v>
      </c>
      <c r="S8" s="2">
        <v>12.53</v>
      </c>
      <c r="T8" s="2">
        <v>7.2</v>
      </c>
      <c r="W8" s="2">
        <f ca="1">X8-A8-AA8</f>
        <v>21.65170860295899</v>
      </c>
      <c r="X8" s="2">
        <f t="shared" ca="1" si="4"/>
        <v>44.15170860295899</v>
      </c>
      <c r="Y8" s="2">
        <f ca="1">C8/X8*60</f>
        <v>20.520157173244279</v>
      </c>
      <c r="Z8" s="2">
        <v>10.425882352941199</v>
      </c>
      <c r="AA8" s="2">
        <v>4.5</v>
      </c>
      <c r="AB8" s="2">
        <f t="shared" ca="1" si="5"/>
        <v>19.899999999999999</v>
      </c>
      <c r="AC8" s="2">
        <f t="shared" ca="1" si="6"/>
        <v>0.62015717324428132</v>
      </c>
      <c r="AD8" s="2">
        <f t="shared" ca="1" si="7"/>
        <v>20.520157173244279</v>
      </c>
      <c r="AE8" s="2">
        <f ca="1">C8*60/AD8</f>
        <v>44.15170860295899</v>
      </c>
    </row>
    <row r="9" spans="1:31" x14ac:dyDescent="0.45">
      <c r="A9">
        <f t="shared" ca="1" si="0"/>
        <v>18</v>
      </c>
      <c r="B9" s="3">
        <v>6538</v>
      </c>
      <c r="C9">
        <f t="shared" ca="1" si="1"/>
        <v>16.3</v>
      </c>
      <c r="D9">
        <v>40.590000000000003</v>
      </c>
      <c r="E9" s="8">
        <v>0.25</v>
      </c>
      <c r="F9" s="19">
        <f t="shared" si="8"/>
        <v>1.1619537275064267</v>
      </c>
      <c r="G9" s="19">
        <f t="shared" si="10"/>
        <v>4.0645453314068991</v>
      </c>
      <c r="H9" s="19">
        <f t="shared" ca="1" si="11"/>
        <v>4.4652820693043402</v>
      </c>
      <c r="I9" s="19">
        <f t="shared" si="12"/>
        <v>51.07658301332242</v>
      </c>
      <c r="J9" s="8">
        <v>0.25</v>
      </c>
      <c r="K9" s="19">
        <f t="shared" si="13"/>
        <v>127</v>
      </c>
      <c r="L9" s="3">
        <f t="shared" si="2"/>
        <v>6500</v>
      </c>
      <c r="M9" s="3">
        <f t="shared" si="9"/>
        <v>10</v>
      </c>
      <c r="N9">
        <f t="shared" ca="1" si="3"/>
        <v>0.21788443546828257</v>
      </c>
      <c r="O9">
        <v>54.3</v>
      </c>
      <c r="P9">
        <v>10.43</v>
      </c>
      <c r="Q9">
        <v>9.61</v>
      </c>
      <c r="S9">
        <v>12.61</v>
      </c>
      <c r="T9">
        <v>7.24</v>
      </c>
      <c r="W9">
        <f ca="1">X9-A9-AA9</f>
        <v>24.646092725525179</v>
      </c>
      <c r="X9">
        <f t="shared" ca="1" si="4"/>
        <v>47.146092725525179</v>
      </c>
      <c r="Y9">
        <f ca="1">C9/X9*60</f>
        <v>20.744030808527743</v>
      </c>
      <c r="Z9">
        <v>11.0383561643836</v>
      </c>
      <c r="AA9">
        <v>4.5</v>
      </c>
      <c r="AB9">
        <f t="shared" ca="1" si="5"/>
        <v>19.899999999999999</v>
      </c>
      <c r="AC9">
        <f t="shared" ca="1" si="6"/>
        <v>0.84403080852774426</v>
      </c>
      <c r="AD9">
        <f t="shared" ca="1" si="7"/>
        <v>20.744030808527743</v>
      </c>
      <c r="AE9">
        <f ca="1">C9*60/AD9</f>
        <v>47.146092725525179</v>
      </c>
    </row>
    <row r="10" spans="1:31" x14ac:dyDescent="0.45">
      <c r="A10">
        <f t="shared" ca="1" si="0"/>
        <v>22</v>
      </c>
      <c r="B10" s="3">
        <v>6125</v>
      </c>
      <c r="C10">
        <f t="shared" ca="1" si="1"/>
        <v>15.5</v>
      </c>
      <c r="D10">
        <v>35.799999999999997</v>
      </c>
      <c r="E10" s="8">
        <v>0.26</v>
      </c>
      <c r="F10" s="19">
        <f t="shared" si="8"/>
        <v>1.1695301179879942</v>
      </c>
      <c r="G10" s="19">
        <f t="shared" si="10"/>
        <v>3.6235289868159648</v>
      </c>
      <c r="H10" s="19">
        <f t="shared" ca="1" si="11"/>
        <v>4.0563654582003634</v>
      </c>
      <c r="I10" s="19">
        <f t="shared" si="12"/>
        <v>45.534608180202802</v>
      </c>
      <c r="J10" s="8">
        <v>0.26</v>
      </c>
      <c r="K10" s="19">
        <f t="shared" si="13"/>
        <v>134</v>
      </c>
      <c r="L10" s="3">
        <f t="shared" si="2"/>
        <v>6100</v>
      </c>
      <c r="M10" s="3">
        <f t="shared" si="9"/>
        <v>5</v>
      </c>
      <c r="N10">
        <f t="shared" ca="1" si="3"/>
        <v>0.25800636794431236</v>
      </c>
      <c r="O10">
        <v>61.25</v>
      </c>
      <c r="P10">
        <v>4.95</v>
      </c>
      <c r="Q10">
        <v>8.1199999999999992</v>
      </c>
      <c r="S10">
        <v>12.86</v>
      </c>
      <c r="T10">
        <v>7.4</v>
      </c>
      <c r="W10">
        <f ca="1">X10-A10-AA10</f>
        <v>21.162268371525137</v>
      </c>
      <c r="X10">
        <f t="shared" ca="1" si="4"/>
        <v>47.662268371525137</v>
      </c>
      <c r="Y10">
        <f ca="1">C10/X10*60</f>
        <v>19.512289947064499</v>
      </c>
      <c r="Z10">
        <v>12.4026315789474</v>
      </c>
      <c r="AA10">
        <v>4.5</v>
      </c>
      <c r="AB10">
        <f t="shared" ca="1" si="5"/>
        <v>19.100000000000001</v>
      </c>
      <c r="AC10">
        <f t="shared" ca="1" si="6"/>
        <v>0.41228994706449451</v>
      </c>
      <c r="AD10">
        <f t="shared" ca="1" si="7"/>
        <v>19.512289947064495</v>
      </c>
      <c r="AE10">
        <f ca="1">C10*60/AD10</f>
        <v>47.662268371525137</v>
      </c>
    </row>
    <row r="11" spans="1:31" x14ac:dyDescent="0.45">
      <c r="A11">
        <f t="shared" ca="1" si="0"/>
        <v>19</v>
      </c>
      <c r="B11" s="3">
        <v>5559</v>
      </c>
      <c r="C11">
        <f t="shared" ca="1" si="1"/>
        <v>16.399999999999999</v>
      </c>
      <c r="D11">
        <v>44.71</v>
      </c>
      <c r="E11" s="8">
        <v>0.26</v>
      </c>
      <c r="F11" s="19">
        <f t="shared" si="8"/>
        <v>1.1695301179879942</v>
      </c>
      <c r="G11" s="19">
        <f t="shared" si="10"/>
        <v>4.400921256998374</v>
      </c>
      <c r="H11" s="19">
        <f t="shared" ca="1" si="11"/>
        <v>4.2918963557732877</v>
      </c>
      <c r="I11" s="19">
        <f t="shared" si="12"/>
        <v>55.303607560052995</v>
      </c>
      <c r="J11" s="8">
        <v>0.26</v>
      </c>
      <c r="K11" s="19">
        <f t="shared" si="13"/>
        <v>101</v>
      </c>
      <c r="L11" s="3">
        <f t="shared" si="2"/>
        <v>5600</v>
      </c>
      <c r="M11" s="3">
        <f t="shared" si="9"/>
        <v>8</v>
      </c>
      <c r="N11">
        <f t="shared" si="3"/>
        <v>3.586776859504133E-2</v>
      </c>
      <c r="O11">
        <v>53.2</v>
      </c>
      <c r="P11">
        <v>7.53</v>
      </c>
      <c r="Q11">
        <v>5.43</v>
      </c>
      <c r="S11">
        <v>11.64</v>
      </c>
      <c r="T11">
        <v>7.3</v>
      </c>
      <c r="W11">
        <v>121</v>
      </c>
      <c r="X11">
        <f t="shared" ca="1" si="4"/>
        <v>49.644767452579579</v>
      </c>
      <c r="Y11">
        <f ca="1">C11/X11*60</f>
        <v>19.820820007665692</v>
      </c>
      <c r="Z11">
        <v>8.4352941176470608</v>
      </c>
      <c r="AA11">
        <v>4.5</v>
      </c>
      <c r="AB11">
        <f t="shared" ca="1" si="5"/>
        <v>19.8</v>
      </c>
      <c r="AC11">
        <f t="shared" ca="1" si="6"/>
        <v>2.0820007665689255E-2</v>
      </c>
      <c r="AD11">
        <f t="shared" ca="1" si="7"/>
        <v>19.820820007665692</v>
      </c>
      <c r="AE11">
        <f ca="1">C11*60/AD11</f>
        <v>49.644767452579579</v>
      </c>
    </row>
    <row r="12" spans="1:31" x14ac:dyDescent="0.45">
      <c r="A12">
        <f t="shared" ca="1" si="0"/>
        <v>22</v>
      </c>
      <c r="B12" s="3">
        <v>6587</v>
      </c>
      <c r="C12">
        <f t="shared" ca="1" si="1"/>
        <v>15.1</v>
      </c>
      <c r="D12">
        <v>36.770000000000003</v>
      </c>
      <c r="E12" s="8">
        <v>0.27</v>
      </c>
      <c r="F12" s="19">
        <f t="shared" si="8"/>
        <v>1.1772059589540576</v>
      </c>
      <c r="G12" s="19">
        <f t="shared" si="10"/>
        <v>3.6872424598157854</v>
      </c>
      <c r="H12" s="19">
        <f t="shared" ca="1" si="11"/>
        <v>3.7805141447001742</v>
      </c>
      <c r="I12" s="19">
        <f t="shared" si="12"/>
        <v>46.335255295046515</v>
      </c>
      <c r="J12" s="8">
        <v>0.27</v>
      </c>
      <c r="K12" s="19">
        <f t="shared" si="13"/>
        <v>142</v>
      </c>
      <c r="L12" s="3">
        <f t="shared" si="2"/>
        <v>6600</v>
      </c>
      <c r="M12" s="3">
        <f t="shared" si="9"/>
        <v>10</v>
      </c>
      <c r="N12">
        <f t="shared" ca="1" si="3"/>
        <v>0.26611630977646666</v>
      </c>
      <c r="O12">
        <v>60.26</v>
      </c>
      <c r="P12">
        <v>9.6</v>
      </c>
      <c r="Q12">
        <v>9.91</v>
      </c>
      <c r="S12">
        <v>12.48</v>
      </c>
      <c r="T12">
        <v>7.25</v>
      </c>
      <c r="W12">
        <f ca="1">X12-A12-AA12</f>
        <v>19.653060740219622</v>
      </c>
      <c r="X12">
        <f t="shared" ca="1" si="4"/>
        <v>46.153060740219622</v>
      </c>
      <c r="Y12">
        <f ca="1">C12/X12*60</f>
        <v>19.630334055190307</v>
      </c>
      <c r="Z12">
        <v>9.5857142857142907</v>
      </c>
      <c r="AA12">
        <v>4.5</v>
      </c>
      <c r="AB12">
        <f t="shared" ca="1" si="5"/>
        <v>19.399999999999999</v>
      </c>
      <c r="AC12">
        <f t="shared" ca="1" si="6"/>
        <v>0.23033405519030703</v>
      </c>
      <c r="AD12">
        <f t="shared" ca="1" si="7"/>
        <v>19.630334055190307</v>
      </c>
      <c r="AE12">
        <f ca="1">C12*60/AD12</f>
        <v>46.153060740219622</v>
      </c>
    </row>
    <row r="13" spans="1:31" x14ac:dyDescent="0.45">
      <c r="A13">
        <f t="shared" ca="1" si="0"/>
        <v>17</v>
      </c>
      <c r="B13" s="3">
        <v>4351</v>
      </c>
      <c r="C13">
        <f t="shared" ca="1" si="1"/>
        <v>16.399999999999999</v>
      </c>
      <c r="D13">
        <v>34.119999999999997</v>
      </c>
      <c r="E13" s="8">
        <v>0.27</v>
      </c>
      <c r="F13" s="19">
        <f t="shared" si="8"/>
        <v>1.1772059589540576</v>
      </c>
      <c r="G13" s="19">
        <f t="shared" si="10"/>
        <v>3.4575391005959908</v>
      </c>
      <c r="H13" s="19">
        <f t="shared" ca="1" si="11"/>
        <v>4.1059888723895934</v>
      </c>
      <c r="I13" s="19">
        <f t="shared" si="12"/>
        <v>43.448717751727301</v>
      </c>
      <c r="J13" s="8">
        <v>0.27</v>
      </c>
      <c r="K13" s="19">
        <f t="shared" si="13"/>
        <v>101</v>
      </c>
      <c r="L13" s="3">
        <f t="shared" si="2"/>
        <v>4400</v>
      </c>
      <c r="M13" s="3">
        <f t="shared" si="9"/>
        <v>2</v>
      </c>
      <c r="N13">
        <f t="shared" ca="1" si="3"/>
        <v>0.18271132136816332</v>
      </c>
      <c r="O13">
        <v>53</v>
      </c>
      <c r="P13">
        <v>1.85</v>
      </c>
      <c r="Q13">
        <v>12.21</v>
      </c>
      <c r="S13">
        <v>12.37</v>
      </c>
      <c r="T13">
        <v>7.17</v>
      </c>
      <c r="W13">
        <f ca="1">X13-A13-AA13</f>
        <v>28.460195903908982</v>
      </c>
      <c r="X13">
        <f t="shared" ca="1" si="4"/>
        <v>49.960195903908982</v>
      </c>
      <c r="Y13">
        <f ca="1">C13/X13*60</f>
        <v>19.695679374287838</v>
      </c>
      <c r="Z13">
        <v>9.9296703296703299</v>
      </c>
      <c r="AA13">
        <v>4.5</v>
      </c>
      <c r="AB13">
        <f t="shared" ca="1" si="5"/>
        <v>19.399999999999999</v>
      </c>
      <c r="AC13">
        <f t="shared" ca="1" si="6"/>
        <v>0.2956793742878393</v>
      </c>
      <c r="AD13">
        <f t="shared" ca="1" si="7"/>
        <v>19.695679374287838</v>
      </c>
      <c r="AE13">
        <f ca="1">C13*60/AD13</f>
        <v>49.960195903908982</v>
      </c>
    </row>
    <row r="14" spans="1:31" x14ac:dyDescent="0.45">
      <c r="A14">
        <f t="shared" ca="1" si="0"/>
        <v>20</v>
      </c>
      <c r="B14" s="3">
        <v>6634</v>
      </c>
      <c r="C14">
        <f t="shared" ca="1" si="1"/>
        <v>15.7</v>
      </c>
      <c r="D14">
        <v>38</v>
      </c>
      <c r="E14" s="8">
        <v>0.28000000000000003</v>
      </c>
      <c r="F14" s="19">
        <f t="shared" si="8"/>
        <v>1.1849832214765101</v>
      </c>
      <c r="G14" s="19">
        <f t="shared" si="10"/>
        <v>3.7722412858948888</v>
      </c>
      <c r="H14" s="19">
        <f t="shared" ca="1" si="11"/>
        <v>3.7654731567622828</v>
      </c>
      <c r="I14" s="19">
        <f t="shared" si="12"/>
        <v>47.403382045341992</v>
      </c>
      <c r="J14" s="8">
        <v>0.28000000000000003</v>
      </c>
      <c r="K14" s="19">
        <f t="shared" si="13"/>
        <v>139</v>
      </c>
      <c r="L14" s="3">
        <f t="shared" si="2"/>
        <v>6600</v>
      </c>
      <c r="M14" s="3">
        <f t="shared" si="9"/>
        <v>11</v>
      </c>
      <c r="N14">
        <f t="shared" ca="1" si="3"/>
        <v>0.22448318000286677</v>
      </c>
      <c r="O14">
        <v>61.58</v>
      </c>
      <c r="P14">
        <v>11.24</v>
      </c>
      <c r="Q14">
        <v>10.55</v>
      </c>
      <c r="S14">
        <v>12.37</v>
      </c>
      <c r="T14">
        <v>7.35</v>
      </c>
      <c r="W14">
        <f ca="1">X14-A14-AA14</f>
        <v>22.362477224065927</v>
      </c>
      <c r="X14">
        <f t="shared" ca="1" si="4"/>
        <v>46.862477224065927</v>
      </c>
      <c r="Y14">
        <f ca="1">C14/X14*60</f>
        <v>20.101370132354887</v>
      </c>
      <c r="Z14">
        <v>7.0074626865671599</v>
      </c>
      <c r="AA14">
        <v>4.5</v>
      </c>
      <c r="AB14">
        <f t="shared" ca="1" si="5"/>
        <v>19.5</v>
      </c>
      <c r="AC14">
        <f t="shared" ca="1" si="6"/>
        <v>0.6013701323548879</v>
      </c>
      <c r="AD14">
        <f t="shared" ca="1" si="7"/>
        <v>20.101370132354887</v>
      </c>
      <c r="AE14">
        <f ca="1">C14*60/AD14</f>
        <v>46.862477224065927</v>
      </c>
    </row>
    <row r="15" spans="1:31" x14ac:dyDescent="0.45">
      <c r="A15">
        <f t="shared" ca="1" si="0"/>
        <v>22</v>
      </c>
      <c r="B15" s="3">
        <v>7403</v>
      </c>
      <c r="C15">
        <f t="shared" ca="1" si="1"/>
        <v>15.6</v>
      </c>
      <c r="D15">
        <v>32.07</v>
      </c>
      <c r="E15" s="8">
        <v>0.28000000000000003</v>
      </c>
      <c r="F15" s="19">
        <f t="shared" si="8"/>
        <v>1.1849832214765101</v>
      </c>
      <c r="G15" s="19">
        <f t="shared" si="10"/>
        <v>3.2615994220697124</v>
      </c>
      <c r="H15" s="19">
        <f t="shared" ca="1" si="11"/>
        <v>3.741489251305198</v>
      </c>
      <c r="I15" s="19">
        <f t="shared" si="12"/>
        <v>40.986467133307691</v>
      </c>
      <c r="J15" s="8">
        <v>0.28000000000000003</v>
      </c>
      <c r="K15" s="19">
        <f t="shared" si="13"/>
        <v>181</v>
      </c>
      <c r="L15" s="3">
        <f t="shared" si="2"/>
        <v>7400</v>
      </c>
      <c r="M15" s="3">
        <f t="shared" si="9"/>
        <v>13</v>
      </c>
      <c r="N15">
        <f t="shared" si="3"/>
        <v>0.12599999999999997</v>
      </c>
      <c r="O15">
        <v>52.7</v>
      </c>
      <c r="P15">
        <v>12.73</v>
      </c>
      <c r="Q15">
        <v>11.86</v>
      </c>
      <c r="S15">
        <v>12.29</v>
      </c>
      <c r="T15">
        <v>7.25</v>
      </c>
      <c r="W15">
        <v>40</v>
      </c>
      <c r="X15">
        <f t="shared" ca="1" si="4"/>
        <v>47.968420943444769</v>
      </c>
      <c r="Y15">
        <f ca="1">C15/X15*60</f>
        <v>19.512837437437287</v>
      </c>
      <c r="Z15">
        <v>15.222580645161299</v>
      </c>
      <c r="AA15">
        <v>4.5</v>
      </c>
      <c r="AB15">
        <f t="shared" ca="1" si="5"/>
        <v>19.2</v>
      </c>
      <c r="AC15">
        <f t="shared" ca="1" si="6"/>
        <v>0.31283743743728964</v>
      </c>
      <c r="AD15">
        <f t="shared" ca="1" si="7"/>
        <v>19.512837437437287</v>
      </c>
      <c r="AE15">
        <f ca="1">C15*60/AD15</f>
        <v>47.968420943444769</v>
      </c>
    </row>
    <row r="16" spans="1:31" x14ac:dyDescent="0.45">
      <c r="A16">
        <f t="shared" ca="1" si="0"/>
        <v>18</v>
      </c>
      <c r="B16" s="3">
        <v>9198</v>
      </c>
      <c r="C16">
        <f t="shared" ca="1" si="1"/>
        <v>14.7</v>
      </c>
      <c r="D16">
        <v>32.85</v>
      </c>
      <c r="E16" s="8">
        <v>0.28000000000000003</v>
      </c>
      <c r="F16" s="19">
        <f t="shared" si="8"/>
        <v>1.1849832214765101</v>
      </c>
      <c r="G16" s="19">
        <f t="shared" si="10"/>
        <v>3.3287664800433445</v>
      </c>
      <c r="H16" s="19">
        <f t="shared" ca="1" si="11"/>
        <v>3.5256341021914368</v>
      </c>
      <c r="I16" s="19">
        <f t="shared" si="12"/>
        <v>41.830513276880502</v>
      </c>
      <c r="J16" s="8">
        <v>0.28000000000000003</v>
      </c>
      <c r="K16" s="19">
        <f t="shared" si="13"/>
        <v>220</v>
      </c>
      <c r="L16" s="3">
        <f t="shared" si="2"/>
        <v>9200</v>
      </c>
      <c r="M16" s="3">
        <f t="shared" si="9"/>
        <v>7</v>
      </c>
      <c r="N16">
        <f t="shared" si="3"/>
        <v>9.6415094339622642E-2</v>
      </c>
      <c r="O16">
        <v>30</v>
      </c>
      <c r="P16">
        <v>7.22</v>
      </c>
      <c r="Q16">
        <v>6.83</v>
      </c>
      <c r="S16">
        <v>12.41</v>
      </c>
      <c r="T16">
        <v>7.3</v>
      </c>
      <c r="W16">
        <v>53</v>
      </c>
      <c r="X16">
        <f t="shared" ca="1" si="4"/>
        <v>42.73290773151944</v>
      </c>
      <c r="Y16">
        <f ca="1">C16/X16*60</f>
        <v>20.639831147025927</v>
      </c>
      <c r="Z16">
        <v>10.4866666666667</v>
      </c>
      <c r="AA16">
        <v>4.5</v>
      </c>
      <c r="AB16">
        <f t="shared" ca="1" si="5"/>
        <v>19.899999999999999</v>
      </c>
      <c r="AC16">
        <f t="shared" ca="1" si="6"/>
        <v>0.73983114702592945</v>
      </c>
      <c r="AD16">
        <f t="shared" ca="1" si="7"/>
        <v>20.639831147025927</v>
      </c>
      <c r="AE16">
        <f ca="1">C16*60/AD16</f>
        <v>42.73290773151944</v>
      </c>
    </row>
    <row r="17" spans="1:31" x14ac:dyDescent="0.45">
      <c r="A17">
        <f t="shared" ca="1" si="0"/>
        <v>21</v>
      </c>
      <c r="B17" s="3">
        <v>7792</v>
      </c>
      <c r="C17">
        <f t="shared" ca="1" si="1"/>
        <v>16.399999999999999</v>
      </c>
      <c r="D17">
        <v>31.78</v>
      </c>
      <c r="E17" s="8">
        <v>0.28000000000000003</v>
      </c>
      <c r="F17" s="19">
        <f t="shared" si="8"/>
        <v>1.1849832214765101</v>
      </c>
      <c r="G17" s="19">
        <f t="shared" si="10"/>
        <v>3.2366270543615676</v>
      </c>
      <c r="H17" s="19">
        <f t="shared" ca="1" si="11"/>
        <v>3.9333604949618746</v>
      </c>
      <c r="I17" s="19">
        <f t="shared" si="12"/>
        <v>40.672655105569092</v>
      </c>
      <c r="J17" s="8">
        <v>0.28000000000000003</v>
      </c>
      <c r="K17" s="19">
        <f t="shared" si="13"/>
        <v>192</v>
      </c>
      <c r="L17" s="3">
        <f t="shared" si="2"/>
        <v>7800</v>
      </c>
      <c r="M17" s="3">
        <f t="shared" si="9"/>
        <v>13</v>
      </c>
      <c r="N17">
        <f t="shared" si="3"/>
        <v>9.4444444444444456E-2</v>
      </c>
      <c r="O17">
        <v>52.8</v>
      </c>
      <c r="P17">
        <v>13.15</v>
      </c>
      <c r="Q17">
        <v>12.37</v>
      </c>
      <c r="S17">
        <v>12.4</v>
      </c>
      <c r="T17">
        <v>7.3</v>
      </c>
      <c r="W17">
        <v>54</v>
      </c>
      <c r="X17">
        <f t="shared" ca="1" si="4"/>
        <v>49.286739103695268</v>
      </c>
      <c r="Y17">
        <f ca="1">C17/X17*60</f>
        <v>19.964802255019233</v>
      </c>
      <c r="Z17">
        <v>12.2337662337662</v>
      </c>
      <c r="AA17">
        <v>4.5</v>
      </c>
      <c r="AB17">
        <f t="shared" ca="1" si="5"/>
        <v>19</v>
      </c>
      <c r="AC17">
        <f t="shared" ca="1" si="6"/>
        <v>0.96480225501923256</v>
      </c>
      <c r="AD17">
        <f t="shared" ca="1" si="7"/>
        <v>19.964802255019233</v>
      </c>
      <c r="AE17">
        <f ca="1">C17*60/AD17</f>
        <v>49.286739103695268</v>
      </c>
    </row>
    <row r="18" spans="1:31" x14ac:dyDescent="0.45">
      <c r="A18">
        <f t="shared" ca="1" si="0"/>
        <v>22</v>
      </c>
      <c r="B18" s="3">
        <v>7941</v>
      </c>
      <c r="C18">
        <f t="shared" ca="1" si="1"/>
        <v>14.8</v>
      </c>
      <c r="D18">
        <v>31.93</v>
      </c>
      <c r="E18" s="8">
        <v>0.28000000000000003</v>
      </c>
      <c r="F18" s="19">
        <f t="shared" si="8"/>
        <v>1.1849832214765101</v>
      </c>
      <c r="G18" s="19">
        <f t="shared" si="10"/>
        <v>3.2495437962795735</v>
      </c>
      <c r="H18" s="19">
        <f t="shared" ca="1" si="11"/>
        <v>3.5496180076485215</v>
      </c>
      <c r="I18" s="19">
        <f t="shared" si="12"/>
        <v>40.83497167164078</v>
      </c>
      <c r="J18" s="8">
        <v>0.28000000000000003</v>
      </c>
      <c r="K18" s="19">
        <f t="shared" si="13"/>
        <v>193</v>
      </c>
      <c r="L18" s="3">
        <f t="shared" si="2"/>
        <v>7900</v>
      </c>
      <c r="M18" s="3">
        <f t="shared" si="9"/>
        <v>12</v>
      </c>
      <c r="N18">
        <f t="shared" si="3"/>
        <v>8.8965517241379299E-2</v>
      </c>
      <c r="O18">
        <v>59.3</v>
      </c>
      <c r="P18">
        <v>12.33</v>
      </c>
      <c r="Q18">
        <v>11.24</v>
      </c>
      <c r="S18">
        <v>12.45</v>
      </c>
      <c r="T18">
        <v>7.29</v>
      </c>
      <c r="W18">
        <v>58</v>
      </c>
      <c r="X18">
        <f t="shared" ca="1" si="4"/>
        <v>42.628283699918256</v>
      </c>
      <c r="Y18">
        <f ca="1">C18/X18*60</f>
        <v>20.83123979963807</v>
      </c>
      <c r="Z18">
        <v>11.6296296296296</v>
      </c>
      <c r="AA18">
        <v>4.5</v>
      </c>
      <c r="AB18">
        <f t="shared" ca="1" si="5"/>
        <v>20</v>
      </c>
      <c r="AC18">
        <f t="shared" ca="1" si="6"/>
        <v>0.83123979963806782</v>
      </c>
      <c r="AD18">
        <f t="shared" ca="1" si="7"/>
        <v>20.83123979963807</v>
      </c>
      <c r="AE18">
        <f ca="1">C18*60/AD18</f>
        <v>42.628283699918256</v>
      </c>
    </row>
    <row r="19" spans="1:31" x14ac:dyDescent="0.45">
      <c r="A19">
        <f t="shared" ca="1" si="0"/>
        <v>19</v>
      </c>
      <c r="B19" s="3">
        <v>8222</v>
      </c>
      <c r="C19">
        <f t="shared" ca="1" si="1"/>
        <v>14.5</v>
      </c>
      <c r="D19">
        <v>31.99</v>
      </c>
      <c r="E19" s="8">
        <v>0.28000000000000003</v>
      </c>
      <c r="F19" s="19">
        <f t="shared" si="8"/>
        <v>1.1849832214765101</v>
      </c>
      <c r="G19" s="19">
        <f t="shared" si="10"/>
        <v>3.2547104930467756</v>
      </c>
      <c r="H19" s="19">
        <f t="shared" ca="1" si="11"/>
        <v>3.4776662912772669</v>
      </c>
      <c r="I19" s="19">
        <f t="shared" si="12"/>
        <v>40.899898298069452</v>
      </c>
      <c r="J19" s="8">
        <v>0.28000000000000003</v>
      </c>
      <c r="K19" s="19">
        <f t="shared" si="13"/>
        <v>200</v>
      </c>
      <c r="L19" s="3">
        <f t="shared" si="2"/>
        <v>8200</v>
      </c>
      <c r="M19" s="3">
        <f t="shared" si="9"/>
        <v>12</v>
      </c>
      <c r="N19">
        <f t="shared" si="3"/>
        <v>8.7258064516129039E-2</v>
      </c>
      <c r="O19">
        <v>50.6</v>
      </c>
      <c r="P19">
        <v>11.74</v>
      </c>
      <c r="Q19">
        <v>8.2899999999999991</v>
      </c>
      <c r="S19">
        <v>12.58</v>
      </c>
      <c r="T19">
        <v>7.17</v>
      </c>
      <c r="W19">
        <v>62</v>
      </c>
      <c r="X19">
        <f t="shared" ca="1" si="4"/>
        <v>43.525260271538926</v>
      </c>
      <c r="Y19">
        <f ca="1">C19/X19*60</f>
        <v>19.988392822291544</v>
      </c>
      <c r="Z19">
        <v>11.061176470588199</v>
      </c>
      <c r="AA19">
        <v>4.5</v>
      </c>
      <c r="AB19">
        <f t="shared" ca="1" si="5"/>
        <v>19.8</v>
      </c>
      <c r="AC19">
        <f t="shared" ca="1" si="6"/>
        <v>0.18839282229154308</v>
      </c>
      <c r="AD19">
        <f t="shared" ca="1" si="7"/>
        <v>19.988392822291544</v>
      </c>
      <c r="AE19">
        <f ca="1">C19*60/AD19</f>
        <v>43.525260271538926</v>
      </c>
    </row>
    <row r="20" spans="1:31" x14ac:dyDescent="0.45">
      <c r="A20">
        <f t="shared" ca="1" si="0"/>
        <v>16</v>
      </c>
      <c r="B20" s="3">
        <v>7914</v>
      </c>
      <c r="C20">
        <f t="shared" ca="1" si="1"/>
        <v>16</v>
      </c>
      <c r="D20">
        <v>31.47</v>
      </c>
      <c r="E20" s="8">
        <v>0.28000000000000003</v>
      </c>
      <c r="F20" s="19">
        <f t="shared" si="8"/>
        <v>1.1849832214765101</v>
      </c>
      <c r="G20" s="19">
        <f t="shared" si="10"/>
        <v>3.2099324543976877</v>
      </c>
      <c r="H20" s="19">
        <f t="shared" ca="1" si="11"/>
        <v>3.8374248731335365</v>
      </c>
      <c r="I20" s="19">
        <f t="shared" si="12"/>
        <v>40.337200869020919</v>
      </c>
      <c r="J20" s="8">
        <v>0.28000000000000003</v>
      </c>
      <c r="K20" s="19">
        <f t="shared" si="13"/>
        <v>196</v>
      </c>
      <c r="L20" s="3">
        <f t="shared" si="2"/>
        <v>7900</v>
      </c>
      <c r="M20" s="3">
        <f t="shared" si="9"/>
        <v>12</v>
      </c>
      <c r="N20">
        <f t="shared" si="3"/>
        <v>7.5694444444444439E-2</v>
      </c>
      <c r="O20">
        <v>50.8</v>
      </c>
      <c r="P20">
        <v>11.88</v>
      </c>
      <c r="Q20">
        <v>11.56</v>
      </c>
      <c r="S20">
        <v>12.7</v>
      </c>
      <c r="T20">
        <v>7.25</v>
      </c>
      <c r="W20">
        <v>72</v>
      </c>
      <c r="X20">
        <f t="shared" ca="1" si="4"/>
        <v>48.627314074403508</v>
      </c>
      <c r="Y20">
        <f ca="1">C20/X20*60</f>
        <v>19.741991065579455</v>
      </c>
      <c r="Z20">
        <v>9.7113402061855698</v>
      </c>
      <c r="AA20">
        <v>4.5</v>
      </c>
      <c r="AB20">
        <f t="shared" ca="1" si="5"/>
        <v>19</v>
      </c>
      <c r="AC20">
        <f t="shared" ca="1" si="6"/>
        <v>0.7419910655794516</v>
      </c>
      <c r="AD20">
        <f t="shared" ca="1" si="7"/>
        <v>19.741991065579452</v>
      </c>
      <c r="AE20">
        <f ca="1">C20*60/AD20</f>
        <v>48.627314074403508</v>
      </c>
    </row>
    <row r="21" spans="1:31" x14ac:dyDescent="0.45">
      <c r="A21">
        <f t="shared" ca="1" si="0"/>
        <v>22</v>
      </c>
      <c r="B21" s="7">
        <v>6324</v>
      </c>
      <c r="C21">
        <f t="shared" ca="1" si="1"/>
        <v>14.5</v>
      </c>
      <c r="D21">
        <v>35.07</v>
      </c>
      <c r="E21" s="8">
        <v>0.28999999999999998</v>
      </c>
      <c r="F21" s="19">
        <f t="shared" si="8"/>
        <v>1.1928639290615433</v>
      </c>
      <c r="G21" s="19">
        <f t="shared" si="10"/>
        <v>3.4999829329962071</v>
      </c>
      <c r="H21" s="19">
        <f t="shared" ca="1" si="11"/>
        <v>3.3355636635166475</v>
      </c>
      <c r="I21" s="19">
        <f t="shared" si="12"/>
        <v>43.982082679962168</v>
      </c>
      <c r="J21" s="8">
        <v>0.28999999999999998</v>
      </c>
      <c r="K21" s="19">
        <f t="shared" si="13"/>
        <v>143</v>
      </c>
      <c r="L21" s="3">
        <f t="shared" si="2"/>
        <v>6300</v>
      </c>
      <c r="M21" s="3">
        <f t="shared" si="9"/>
        <v>11</v>
      </c>
      <c r="N21" s="6">
        <f t="shared" ca="1" si="3"/>
        <v>0.23612929998472221</v>
      </c>
      <c r="O21" s="6">
        <v>62.1</v>
      </c>
      <c r="P21" s="6">
        <v>11.47</v>
      </c>
      <c r="Q21" s="6">
        <v>12.97</v>
      </c>
      <c r="S21" s="6">
        <v>11.56</v>
      </c>
      <c r="T21" s="6">
        <v>7.39</v>
      </c>
      <c r="W21">
        <f ca="1">X21-A21-AA21</f>
        <v>17.659816042608028</v>
      </c>
      <c r="X21">
        <f t="shared" ca="1" si="4"/>
        <v>44.159816042608028</v>
      </c>
      <c r="Y21">
        <f ca="1">C21/X21*60</f>
        <v>19.701169025717228</v>
      </c>
      <c r="Z21">
        <v>8.8043478260869605</v>
      </c>
      <c r="AA21">
        <v>4.5</v>
      </c>
      <c r="AB21">
        <f t="shared" ca="1" si="5"/>
        <v>19.3</v>
      </c>
      <c r="AC21">
        <f t="shared" ca="1" si="6"/>
        <v>0.4011690257172259</v>
      </c>
      <c r="AD21">
        <f t="shared" ca="1" si="7"/>
        <v>19.701169025717228</v>
      </c>
      <c r="AE21">
        <f ca="1">C21*60/AD21</f>
        <v>44.159816042608028</v>
      </c>
    </row>
    <row r="22" spans="1:31" x14ac:dyDescent="0.45">
      <c r="A22">
        <f t="shared" ca="1" si="0"/>
        <v>16</v>
      </c>
      <c r="B22" s="3">
        <v>6527</v>
      </c>
      <c r="C22">
        <f t="shared" ca="1" si="1"/>
        <v>15.5</v>
      </c>
      <c r="D22">
        <v>36.5</v>
      </c>
      <c r="E22" s="8">
        <v>0.28999999999999998</v>
      </c>
      <c r="F22" s="19">
        <f t="shared" si="8"/>
        <v>1.1928639290615433</v>
      </c>
      <c r="G22" s="19">
        <f t="shared" si="10"/>
        <v>3.6223090121004153</v>
      </c>
      <c r="H22" s="19">
        <f t="shared" ca="1" si="11"/>
        <v>3.5656025368626234</v>
      </c>
      <c r="I22" s="19">
        <f t="shared" si="12"/>
        <v>45.519277525787061</v>
      </c>
      <c r="J22" s="8">
        <v>0.28999999999999998</v>
      </c>
      <c r="K22" s="19">
        <f t="shared" si="13"/>
        <v>143</v>
      </c>
      <c r="L22" s="3">
        <f t="shared" si="2"/>
        <v>6500</v>
      </c>
      <c r="M22" s="3">
        <f t="shared" si="9"/>
        <v>8</v>
      </c>
      <c r="N22">
        <f t="shared" ca="1" si="3"/>
        <v>0.18532261411371326</v>
      </c>
      <c r="O22">
        <v>61.3</v>
      </c>
      <c r="P22">
        <v>8.14</v>
      </c>
      <c r="Q22">
        <v>10.58</v>
      </c>
      <c r="S22">
        <v>12</v>
      </c>
      <c r="T22">
        <v>7.28</v>
      </c>
      <c r="W22">
        <f ca="1">X22-A22-AA22</f>
        <v>25.469098968698042</v>
      </c>
      <c r="X22">
        <f t="shared" ca="1" si="4"/>
        <v>45.969098968698042</v>
      </c>
      <c r="Y22">
        <f ca="1">C22/X22*60</f>
        <v>20.230981699973484</v>
      </c>
      <c r="Z22">
        <v>9.0066666666666695</v>
      </c>
      <c r="AA22">
        <v>4.5</v>
      </c>
      <c r="AB22">
        <f t="shared" ca="1" si="5"/>
        <v>19.3</v>
      </c>
      <c r="AC22">
        <f t="shared" ca="1" si="6"/>
        <v>0.93098169997348412</v>
      </c>
      <c r="AD22">
        <f t="shared" ca="1" si="7"/>
        <v>20.230981699973484</v>
      </c>
      <c r="AE22">
        <f ca="1">C22*60/AD22</f>
        <v>45.969098968698042</v>
      </c>
    </row>
    <row r="23" spans="1:31" x14ac:dyDescent="0.45">
      <c r="A23">
        <f t="shared" ca="1" si="0"/>
        <v>21</v>
      </c>
      <c r="B23" s="3">
        <v>6521</v>
      </c>
      <c r="C23">
        <f t="shared" ca="1" si="1"/>
        <v>15.9</v>
      </c>
      <c r="D23">
        <v>35.33</v>
      </c>
      <c r="E23" s="8">
        <v>0.28999999999999998</v>
      </c>
      <c r="F23" s="19">
        <f t="shared" si="8"/>
        <v>1.1928639290615433</v>
      </c>
      <c r="G23" s="19">
        <f t="shared" si="10"/>
        <v>3.5222240382878813</v>
      </c>
      <c r="H23" s="19">
        <f t="shared" ca="1" si="11"/>
        <v>3.6576180862010137</v>
      </c>
      <c r="I23" s="19">
        <f t="shared" si="12"/>
        <v>44.261572651930329</v>
      </c>
      <c r="J23" s="8">
        <v>0.28999999999999998</v>
      </c>
      <c r="K23" s="19">
        <f t="shared" si="13"/>
        <v>147</v>
      </c>
      <c r="L23" s="3">
        <f t="shared" si="2"/>
        <v>6500</v>
      </c>
      <c r="M23" s="3">
        <f t="shared" si="9"/>
        <v>12</v>
      </c>
      <c r="N23">
        <f t="shared" ca="1" si="3"/>
        <v>0.23150798597225394</v>
      </c>
      <c r="O23">
        <v>56.8</v>
      </c>
      <c r="P23">
        <v>11.73</v>
      </c>
      <c r="Q23">
        <v>10.85</v>
      </c>
      <c r="S23">
        <v>12.65</v>
      </c>
      <c r="T23">
        <v>7.35</v>
      </c>
      <c r="W23">
        <f ca="1">X23-A23-AA23</f>
        <v>22.89337872186924</v>
      </c>
      <c r="X23">
        <f t="shared" ca="1" si="4"/>
        <v>48.39337872186924</v>
      </c>
      <c r="Y23">
        <f ca="1">C23/X23*60</f>
        <v>19.713440664742883</v>
      </c>
      <c r="Z23">
        <v>11.117647058823501</v>
      </c>
      <c r="AA23">
        <v>4.5</v>
      </c>
      <c r="AB23">
        <f t="shared" ca="1" si="5"/>
        <v>19.399999999999999</v>
      </c>
      <c r="AC23">
        <f t="shared" ca="1" si="6"/>
        <v>0.31344066474288534</v>
      </c>
      <c r="AD23">
        <f t="shared" ca="1" si="7"/>
        <v>19.713440664742883</v>
      </c>
      <c r="AE23">
        <f ca="1">C23*60/AD23</f>
        <v>48.39337872186924</v>
      </c>
    </row>
    <row r="24" spans="1:31" x14ac:dyDescent="0.45">
      <c r="A24">
        <f t="shared" ca="1" si="0"/>
        <v>21</v>
      </c>
      <c r="B24" s="3">
        <v>6684</v>
      </c>
      <c r="C24">
        <f t="shared" ca="1" si="1"/>
        <v>16.3</v>
      </c>
      <c r="D24">
        <v>37.54</v>
      </c>
      <c r="E24" s="8">
        <v>0.28999999999999998</v>
      </c>
      <c r="F24" s="19">
        <f t="shared" si="8"/>
        <v>1.1928639290615433</v>
      </c>
      <c r="G24" s="19">
        <f t="shared" si="10"/>
        <v>3.7112734332671118</v>
      </c>
      <c r="H24" s="19">
        <f t="shared" ca="1" si="11"/>
        <v>3.749633635539404</v>
      </c>
      <c r="I24" s="19">
        <f t="shared" si="12"/>
        <v>46.637237413659712</v>
      </c>
      <c r="J24" s="8">
        <v>0.28999999999999998</v>
      </c>
      <c r="K24" s="19">
        <f t="shared" si="13"/>
        <v>144</v>
      </c>
      <c r="L24" s="3">
        <f t="shared" si="2"/>
        <v>6700</v>
      </c>
      <c r="M24" s="3">
        <f t="shared" si="9"/>
        <v>10</v>
      </c>
      <c r="N24">
        <f t="shared" ca="1" si="3"/>
        <v>0.16800180842742402</v>
      </c>
      <c r="O24">
        <v>52.5</v>
      </c>
      <c r="P24">
        <v>9.57</v>
      </c>
      <c r="Q24">
        <v>11.63</v>
      </c>
      <c r="S24">
        <v>11.3</v>
      </c>
      <c r="T24">
        <v>7.4</v>
      </c>
      <c r="W24">
        <f ca="1">X24-A24-AA24</f>
        <v>23.214035827982066</v>
      </c>
      <c r="X24">
        <f t="shared" ca="1" si="4"/>
        <v>48.714035827982066</v>
      </c>
      <c r="Y24">
        <f ca="1">C24/X24*60</f>
        <v>20.076349318572007</v>
      </c>
      <c r="Z24">
        <v>12.0379746835443</v>
      </c>
      <c r="AA24">
        <v>4.5</v>
      </c>
      <c r="AB24">
        <f t="shared" ca="1" si="5"/>
        <v>19.399999999999999</v>
      </c>
      <c r="AC24">
        <f t="shared" ca="1" si="6"/>
        <v>0.67634931857200786</v>
      </c>
      <c r="AD24">
        <f t="shared" ca="1" si="7"/>
        <v>20.076349318572007</v>
      </c>
      <c r="AE24">
        <f ca="1">C24*60/AD24</f>
        <v>48.714035827982066</v>
      </c>
    </row>
    <row r="25" spans="1:31" x14ac:dyDescent="0.45">
      <c r="A25">
        <f t="shared" ca="1" si="0"/>
        <v>17</v>
      </c>
      <c r="B25" s="3">
        <v>6346</v>
      </c>
      <c r="C25">
        <f t="shared" ca="1" si="1"/>
        <v>15.4</v>
      </c>
      <c r="D25">
        <v>41.59</v>
      </c>
      <c r="E25" s="8">
        <v>0.28999999999999998</v>
      </c>
      <c r="F25" s="19">
        <f t="shared" si="8"/>
        <v>1.1928639290615433</v>
      </c>
      <c r="G25" s="19">
        <f t="shared" si="10"/>
        <v>4.0577214195412683</v>
      </c>
      <c r="H25" s="19">
        <f t="shared" ca="1" si="11"/>
        <v>3.5425986495280255</v>
      </c>
      <c r="I25" s="19">
        <f t="shared" si="12"/>
        <v>50.990831207779181</v>
      </c>
      <c r="J25" s="8">
        <v>0.28999999999999998</v>
      </c>
      <c r="K25" s="19">
        <f t="shared" si="13"/>
        <v>124</v>
      </c>
      <c r="L25" s="3">
        <f t="shared" si="2"/>
        <v>6300</v>
      </c>
      <c r="M25" s="3">
        <f t="shared" si="9"/>
        <v>11</v>
      </c>
      <c r="N25">
        <f t="shared" ca="1" si="3"/>
        <v>0.210491316990608</v>
      </c>
      <c r="O25">
        <v>63.78</v>
      </c>
      <c r="P25">
        <v>11.03</v>
      </c>
      <c r="Q25">
        <v>11.38</v>
      </c>
      <c r="S25">
        <v>12.57</v>
      </c>
      <c r="T25">
        <v>7.37</v>
      </c>
      <c r="W25">
        <f ca="1">X25-A25-AA25</f>
        <v>24.704106916828408</v>
      </c>
      <c r="X25">
        <f t="shared" ca="1" si="4"/>
        <v>46.204106916828408</v>
      </c>
      <c r="Y25">
        <f ca="1">C25/X25*60</f>
        <v>19.998222271956994</v>
      </c>
      <c r="Z25">
        <v>15.858823529411801</v>
      </c>
      <c r="AA25">
        <v>4.5</v>
      </c>
      <c r="AB25">
        <f t="shared" ca="1" si="5"/>
        <v>19.8</v>
      </c>
      <c r="AC25">
        <f t="shared" ca="1" si="6"/>
        <v>0.19822227195699405</v>
      </c>
      <c r="AD25">
        <f t="shared" ca="1" si="7"/>
        <v>19.998222271956994</v>
      </c>
      <c r="AE25">
        <f ca="1">C25*60/AD25</f>
        <v>46.204106916828408</v>
      </c>
    </row>
    <row r="26" spans="1:31" x14ac:dyDescent="0.45">
      <c r="A26">
        <f t="shared" ca="1" si="0"/>
        <v>19</v>
      </c>
      <c r="B26" s="3">
        <v>6296</v>
      </c>
      <c r="C26">
        <f t="shared" ca="1" si="1"/>
        <v>15.5</v>
      </c>
      <c r="D26">
        <v>46.49</v>
      </c>
      <c r="E26" s="8">
        <v>0.28999999999999998</v>
      </c>
      <c r="F26" s="19">
        <f t="shared" si="8"/>
        <v>1.1928639290615433</v>
      </c>
      <c r="G26" s="19">
        <f t="shared" si="10"/>
        <v>4.4768807115766664</v>
      </c>
      <c r="H26" s="19">
        <f t="shared" ca="1" si="11"/>
        <v>3.5656025368626234</v>
      </c>
      <c r="I26" s="19">
        <f t="shared" si="12"/>
        <v>56.258142217948404</v>
      </c>
      <c r="J26" s="8">
        <v>0.28999999999999998</v>
      </c>
      <c r="K26" s="19">
        <f t="shared" si="13"/>
        <v>112</v>
      </c>
      <c r="L26" s="3">
        <f t="shared" si="2"/>
        <v>6300</v>
      </c>
      <c r="M26" s="3">
        <f t="shared" si="9"/>
        <v>10</v>
      </c>
      <c r="N26">
        <f t="shared" ca="1" si="3"/>
        <v>0.23546295964205552</v>
      </c>
      <c r="O26">
        <v>62.8</v>
      </c>
      <c r="P26">
        <v>9.74</v>
      </c>
      <c r="Q26">
        <v>9.4600000000000009</v>
      </c>
      <c r="S26">
        <v>12.56</v>
      </c>
      <c r="T26">
        <v>7.21</v>
      </c>
      <c r="W26">
        <f ca="1">X26-A26-AA26</f>
        <v>22.721195758912259</v>
      </c>
      <c r="X26">
        <f t="shared" ca="1" si="4"/>
        <v>46.221195758912259</v>
      </c>
      <c r="Y26">
        <f ca="1">C26/X26*60</f>
        <v>20.120639129520566</v>
      </c>
      <c r="Z26">
        <v>9.7476923076923097</v>
      </c>
      <c r="AA26">
        <v>4.5</v>
      </c>
      <c r="AB26">
        <f t="shared" ca="1" si="5"/>
        <v>19.2</v>
      </c>
      <c r="AC26">
        <f t="shared" ca="1" si="6"/>
        <v>0.92063912952056781</v>
      </c>
      <c r="AD26">
        <f t="shared" ca="1" si="7"/>
        <v>20.120639129520566</v>
      </c>
      <c r="AE26">
        <f ca="1">C26*60/AD26</f>
        <v>46.221195758912259</v>
      </c>
    </row>
    <row r="27" spans="1:31" x14ac:dyDescent="0.45">
      <c r="A27">
        <f t="shared" ca="1" si="0"/>
        <v>17</v>
      </c>
      <c r="B27" s="7">
        <v>6584</v>
      </c>
      <c r="C27">
        <f t="shared" ca="1" si="1"/>
        <v>15.5</v>
      </c>
      <c r="D27" s="6">
        <v>38.229999999999997</v>
      </c>
      <c r="E27" s="8">
        <v>0.28999999999999998</v>
      </c>
      <c r="F27" s="19">
        <f t="shared" si="8"/>
        <v>1.1928639290615433</v>
      </c>
      <c r="G27" s="19">
        <f t="shared" si="10"/>
        <v>3.770297905002709</v>
      </c>
      <c r="H27" s="19">
        <f t="shared" ca="1" si="11"/>
        <v>3.5656025368626234</v>
      </c>
      <c r="I27" s="19">
        <f t="shared" si="12"/>
        <v>47.378960800805991</v>
      </c>
      <c r="J27" s="8">
        <v>0.28999999999999998</v>
      </c>
      <c r="K27" s="19">
        <f t="shared" si="13"/>
        <v>139</v>
      </c>
      <c r="L27" s="3">
        <f t="shared" si="2"/>
        <v>6600</v>
      </c>
      <c r="M27" s="3">
        <f t="shared" si="9"/>
        <v>13</v>
      </c>
      <c r="N27" s="6">
        <f t="shared" ca="1" si="3"/>
        <v>0.2379754202141143</v>
      </c>
      <c r="O27" s="6">
        <v>56.2</v>
      </c>
      <c r="P27" s="6">
        <v>13.34</v>
      </c>
      <c r="Q27" s="6">
        <v>12.41</v>
      </c>
      <c r="S27" s="6">
        <v>12.63</v>
      </c>
      <c r="T27" s="6">
        <v>7.18</v>
      </c>
      <c r="W27">
        <f ca="1">X27-A27-AA27</f>
        <v>22.901524851165121</v>
      </c>
      <c r="X27">
        <f t="shared" ca="1" si="4"/>
        <v>44.401524851165121</v>
      </c>
      <c r="Y27">
        <f ca="1">C27/X27*60</f>
        <v>20.945226613666541</v>
      </c>
      <c r="Z27">
        <v>14.1272727272727</v>
      </c>
      <c r="AA27">
        <v>4.5</v>
      </c>
      <c r="AB27">
        <f t="shared" ca="1" si="5"/>
        <v>20</v>
      </c>
      <c r="AC27">
        <f t="shared" ca="1" si="6"/>
        <v>0.94522661366654326</v>
      </c>
      <c r="AD27">
        <f t="shared" ca="1" si="7"/>
        <v>20.945226613666541</v>
      </c>
      <c r="AE27">
        <f ca="1">C27*60/AD27</f>
        <v>44.401524851165121</v>
      </c>
    </row>
    <row r="28" spans="1:31" x14ac:dyDescent="0.45">
      <c r="A28">
        <f t="shared" ca="1" si="0"/>
        <v>21</v>
      </c>
      <c r="B28" s="3">
        <v>6482</v>
      </c>
      <c r="C28">
        <f t="shared" ca="1" si="1"/>
        <v>16.100000000000001</v>
      </c>
      <c r="D28">
        <v>36.299999999999997</v>
      </c>
      <c r="E28" s="8">
        <v>0.28999999999999998</v>
      </c>
      <c r="F28" s="19">
        <f t="shared" si="8"/>
        <v>1.1928639290615433</v>
      </c>
      <c r="G28" s="19">
        <f t="shared" si="10"/>
        <v>3.6052004695683579</v>
      </c>
      <c r="H28" s="19">
        <f t="shared" ca="1" si="11"/>
        <v>3.7036258608702091</v>
      </c>
      <c r="I28" s="19">
        <f t="shared" si="12"/>
        <v>45.304285239657702</v>
      </c>
      <c r="J28" s="8">
        <v>0.28999999999999998</v>
      </c>
      <c r="K28" s="19">
        <f t="shared" si="13"/>
        <v>143</v>
      </c>
      <c r="L28" s="3">
        <f t="shared" si="2"/>
        <v>6500</v>
      </c>
      <c r="M28" s="3">
        <f t="shared" si="9"/>
        <v>6</v>
      </c>
      <c r="N28">
        <f t="shared" ca="1" si="3"/>
        <v>0.22631652652617068</v>
      </c>
      <c r="O28">
        <v>58.9</v>
      </c>
      <c r="P28">
        <v>5.93</v>
      </c>
      <c r="Q28">
        <v>6.95</v>
      </c>
      <c r="S28">
        <v>12.14</v>
      </c>
      <c r="T28">
        <v>7.1</v>
      </c>
      <c r="W28">
        <f ca="1">X28-A28-AA28</f>
        <v>22.269694915175307</v>
      </c>
      <c r="X28">
        <f t="shared" ca="1" si="4"/>
        <v>47.769694915175307</v>
      </c>
      <c r="Y28">
        <f ca="1">C28/X28*60</f>
        <v>20.22202573651197</v>
      </c>
      <c r="Z28">
        <v>11.756521739130401</v>
      </c>
      <c r="AA28">
        <v>4.5</v>
      </c>
      <c r="AB28">
        <f t="shared" ca="1" si="5"/>
        <v>19.399999999999999</v>
      </c>
      <c r="AC28">
        <f t="shared" ca="1" si="6"/>
        <v>0.82202573651197131</v>
      </c>
      <c r="AD28">
        <f t="shared" ca="1" si="7"/>
        <v>20.22202573651197</v>
      </c>
      <c r="AE28">
        <f ca="1">C28*60/AD28</f>
        <v>47.769694915175307</v>
      </c>
    </row>
    <row r="29" spans="1:31" x14ac:dyDescent="0.45">
      <c r="A29">
        <f t="shared" ca="1" si="0"/>
        <v>16</v>
      </c>
      <c r="B29" s="3">
        <v>6421</v>
      </c>
      <c r="C29">
        <f t="shared" ca="1" si="1"/>
        <v>16.399999999999999</v>
      </c>
      <c r="D29">
        <v>37.65</v>
      </c>
      <c r="E29" s="8">
        <v>0.28999999999999998</v>
      </c>
      <c r="F29" s="19">
        <f t="shared" si="8"/>
        <v>1.1928639290615433</v>
      </c>
      <c r="G29" s="19">
        <f t="shared" si="10"/>
        <v>3.7206831316597433</v>
      </c>
      <c r="H29" s="19">
        <f t="shared" ca="1" si="11"/>
        <v>3.772637522874001</v>
      </c>
      <c r="I29" s="19">
        <f t="shared" si="12"/>
        <v>46.75548317103086</v>
      </c>
      <c r="J29" s="8">
        <v>0.28999999999999998</v>
      </c>
      <c r="K29" s="19">
        <f t="shared" si="13"/>
        <v>137</v>
      </c>
      <c r="L29" s="3">
        <f t="shared" si="2"/>
        <v>6400</v>
      </c>
      <c r="M29" s="3">
        <f t="shared" si="9"/>
        <v>11</v>
      </c>
      <c r="N29">
        <f t="shared" ca="1" si="3"/>
        <v>0.21731773451885519</v>
      </c>
      <c r="O29">
        <v>61.28</v>
      </c>
      <c r="P29">
        <v>11.44</v>
      </c>
      <c r="Q29">
        <v>12.68</v>
      </c>
      <c r="S29">
        <v>13.07</v>
      </c>
      <c r="T29">
        <v>7.23</v>
      </c>
      <c r="W29">
        <f ca="1">X29-A29-AA29</f>
        <v>26.873094425219598</v>
      </c>
      <c r="X29">
        <f t="shared" ca="1" si="4"/>
        <v>47.373094425219598</v>
      </c>
      <c r="Y29">
        <f ca="1">C29/X29*60</f>
        <v>20.771284036623044</v>
      </c>
      <c r="Z29">
        <v>12.64</v>
      </c>
      <c r="AA29">
        <v>4.5</v>
      </c>
      <c r="AB29">
        <f t="shared" ca="1" si="5"/>
        <v>19.8</v>
      </c>
      <c r="AC29">
        <f t="shared" ca="1" si="6"/>
        <v>0.97128403662304297</v>
      </c>
      <c r="AD29">
        <f t="shared" ca="1" si="7"/>
        <v>20.771284036623044</v>
      </c>
      <c r="AE29">
        <f ca="1">C29*60/AD29</f>
        <v>47.373094425219598</v>
      </c>
    </row>
    <row r="30" spans="1:31" x14ac:dyDescent="0.45">
      <c r="A30">
        <f t="shared" ca="1" si="0"/>
        <v>21</v>
      </c>
      <c r="B30" s="3">
        <v>6919</v>
      </c>
      <c r="C30">
        <f t="shared" ca="1" si="1"/>
        <v>14.9</v>
      </c>
      <c r="D30">
        <v>35.01</v>
      </c>
      <c r="E30" s="8">
        <v>0.28999999999999998</v>
      </c>
      <c r="F30" s="19">
        <f t="shared" si="8"/>
        <v>1.1928639290615433</v>
      </c>
      <c r="G30" s="19">
        <f t="shared" si="10"/>
        <v>3.4948503702365898</v>
      </c>
      <c r="H30" s="19">
        <f t="shared" ca="1" si="11"/>
        <v>3.4275792128550382</v>
      </c>
      <c r="I30" s="19">
        <f t="shared" si="12"/>
        <v>43.917584994123359</v>
      </c>
      <c r="J30" s="8">
        <v>0.28999999999999998</v>
      </c>
      <c r="K30" s="19">
        <f t="shared" si="13"/>
        <v>157</v>
      </c>
      <c r="L30" s="3">
        <f t="shared" si="2"/>
        <v>6900</v>
      </c>
      <c r="M30" s="3">
        <f t="shared" si="9"/>
        <v>15</v>
      </c>
      <c r="N30">
        <f t="shared" ca="1" si="3"/>
        <v>0.29848012530751888</v>
      </c>
      <c r="O30">
        <v>57.7</v>
      </c>
      <c r="P30">
        <v>15.23</v>
      </c>
      <c r="Q30">
        <v>13.24</v>
      </c>
      <c r="S30">
        <v>13.1</v>
      </c>
      <c r="T30">
        <v>7.07</v>
      </c>
      <c r="W30">
        <f ca="1">X30-A30-AA30</f>
        <v>20.202350135666137</v>
      </c>
      <c r="X30">
        <f t="shared" ca="1" si="4"/>
        <v>45.702350135666137</v>
      </c>
      <c r="Y30">
        <f ca="1">C30/X30*60</f>
        <v>19.56135729007778</v>
      </c>
      <c r="Z30">
        <v>10.088888888888899</v>
      </c>
      <c r="AA30">
        <v>4.5</v>
      </c>
      <c r="AB30">
        <f t="shared" ca="1" si="5"/>
        <v>19.3</v>
      </c>
      <c r="AC30">
        <f t="shared" ca="1" si="6"/>
        <v>0.26135729007777941</v>
      </c>
      <c r="AD30">
        <f t="shared" ca="1" si="7"/>
        <v>19.56135729007778</v>
      </c>
      <c r="AE30">
        <f ca="1">C30*60/AD30</f>
        <v>45.702350135666137</v>
      </c>
    </row>
    <row r="31" spans="1:31" x14ac:dyDescent="0.45">
      <c r="A31">
        <f t="shared" ca="1" si="0"/>
        <v>21</v>
      </c>
      <c r="B31" s="3">
        <v>6571</v>
      </c>
      <c r="C31">
        <f t="shared" ca="1" si="1"/>
        <v>16.100000000000001</v>
      </c>
      <c r="D31">
        <v>39.39</v>
      </c>
      <c r="E31" s="8">
        <v>0.28999999999999998</v>
      </c>
      <c r="F31" s="19">
        <f t="shared" si="8"/>
        <v>1.1928639290615433</v>
      </c>
      <c r="G31" s="19">
        <f t="shared" si="10"/>
        <v>3.86952745168864</v>
      </c>
      <c r="H31" s="19">
        <f t="shared" ca="1" si="11"/>
        <v>3.7036258608702091</v>
      </c>
      <c r="I31" s="19">
        <f t="shared" si="12"/>
        <v>48.625916060356261</v>
      </c>
      <c r="J31" s="8">
        <v>0.28999999999999998</v>
      </c>
      <c r="K31" s="19">
        <f t="shared" si="13"/>
        <v>136</v>
      </c>
      <c r="L31" s="3">
        <f t="shared" si="2"/>
        <v>6600</v>
      </c>
      <c r="M31" s="3">
        <f t="shared" si="9"/>
        <v>10</v>
      </c>
      <c r="N31">
        <f t="shared" ca="1" si="3"/>
        <v>0.20818067493186548</v>
      </c>
      <c r="O31">
        <v>56.3</v>
      </c>
      <c r="P31">
        <v>10.08</v>
      </c>
      <c r="Q31">
        <v>11.89</v>
      </c>
      <c r="S31">
        <v>12.34</v>
      </c>
      <c r="T31">
        <v>7.19</v>
      </c>
      <c r="W31">
        <f ca="1">X31-A31-AA31</f>
        <v>24.738127118117568</v>
      </c>
      <c r="X31">
        <f t="shared" ca="1" si="4"/>
        <v>50.238127118117568</v>
      </c>
      <c r="Y31">
        <f ca="1">C31/X31*60</f>
        <v>19.228423817010246</v>
      </c>
      <c r="Z31">
        <v>13.6941176470588</v>
      </c>
      <c r="AA31">
        <v>4.5</v>
      </c>
      <c r="AB31">
        <f t="shared" ca="1" si="5"/>
        <v>19.100000000000001</v>
      </c>
      <c r="AC31">
        <f t="shared" ca="1" si="6"/>
        <v>0.12842381701024574</v>
      </c>
      <c r="AD31">
        <f t="shared" ca="1" si="7"/>
        <v>19.228423817010246</v>
      </c>
      <c r="AE31">
        <f ca="1">C31*60/AD31</f>
        <v>50.238127118117568</v>
      </c>
    </row>
    <row r="32" spans="1:31" x14ac:dyDescent="0.45">
      <c r="A32">
        <f t="shared" ca="1" si="0"/>
        <v>18</v>
      </c>
      <c r="B32" s="3">
        <v>4604</v>
      </c>
      <c r="C32">
        <f t="shared" ca="1" si="1"/>
        <v>15.2</v>
      </c>
      <c r="D32">
        <v>31.48</v>
      </c>
      <c r="E32" s="8">
        <v>0.28999999999999998</v>
      </c>
      <c r="F32" s="19">
        <f t="shared" si="8"/>
        <v>1.1928639290615433</v>
      </c>
      <c r="G32" s="19">
        <f t="shared" si="10"/>
        <v>3.1928845945457831</v>
      </c>
      <c r="H32" s="19">
        <f t="shared" ca="1" si="11"/>
        <v>3.496590874858831</v>
      </c>
      <c r="I32" s="19">
        <f t="shared" si="12"/>
        <v>40.122971143940227</v>
      </c>
      <c r="J32" s="8">
        <v>0.28999999999999998</v>
      </c>
      <c r="K32" s="19">
        <f t="shared" si="13"/>
        <v>115</v>
      </c>
      <c r="L32" s="3">
        <f t="shared" si="2"/>
        <v>4600</v>
      </c>
      <c r="M32" s="3">
        <f t="shared" si="9"/>
        <v>6</v>
      </c>
      <c r="N32">
        <f t="shared" ca="1" si="3"/>
        <v>0.21146487221612939</v>
      </c>
      <c r="O32">
        <v>52</v>
      </c>
      <c r="P32">
        <v>6.05</v>
      </c>
      <c r="Q32">
        <v>14.08</v>
      </c>
      <c r="S32">
        <v>11.98</v>
      </c>
      <c r="T32">
        <v>7.33</v>
      </c>
      <c r="W32">
        <f ca="1">X32-A32-AA32</f>
        <v>21.989467807435318</v>
      </c>
      <c r="X32">
        <f t="shared" ca="1" si="4"/>
        <v>44.489467807435318</v>
      </c>
      <c r="Y32">
        <f ca="1">C32/X32*60</f>
        <v>20.499233750051324</v>
      </c>
      <c r="Z32">
        <v>15.125806451612901</v>
      </c>
      <c r="AA32">
        <v>4.5</v>
      </c>
      <c r="AB32">
        <f t="shared" ca="1" si="5"/>
        <v>19.600000000000001</v>
      </c>
      <c r="AC32">
        <f t="shared" ca="1" si="6"/>
        <v>0.89923375005132222</v>
      </c>
      <c r="AD32">
        <f t="shared" ca="1" si="7"/>
        <v>20.499233750051324</v>
      </c>
      <c r="AE32">
        <f ca="1">C32*60/AD32</f>
        <v>44.489467807435318</v>
      </c>
    </row>
    <row r="33" spans="1:31" x14ac:dyDescent="0.45">
      <c r="A33">
        <f t="shared" ca="1" si="0"/>
        <v>19</v>
      </c>
      <c r="B33" s="3">
        <v>7184</v>
      </c>
      <c r="C33">
        <f t="shared" ca="1" si="1"/>
        <v>14.6</v>
      </c>
      <c r="D33">
        <v>31.08</v>
      </c>
      <c r="E33" s="8">
        <v>0.28999999999999998</v>
      </c>
      <c r="F33" s="19">
        <f t="shared" si="8"/>
        <v>1.1928639290615433</v>
      </c>
      <c r="G33" s="19">
        <f t="shared" si="10"/>
        <v>3.1586675094816683</v>
      </c>
      <c r="H33" s="19">
        <f t="shared" ca="1" si="11"/>
        <v>3.3585675508512454</v>
      </c>
      <c r="I33" s="19">
        <f t="shared" si="12"/>
        <v>39.692986571681509</v>
      </c>
      <c r="J33" s="8">
        <v>0.28999999999999998</v>
      </c>
      <c r="K33" s="19">
        <f t="shared" si="13"/>
        <v>181</v>
      </c>
      <c r="L33" s="3">
        <f t="shared" si="2"/>
        <v>7200</v>
      </c>
      <c r="M33" s="3">
        <f t="shared" si="9"/>
        <v>13</v>
      </c>
      <c r="N33">
        <f t="shared" si="3"/>
        <v>0.14564102564102563</v>
      </c>
      <c r="O33">
        <v>57.7</v>
      </c>
      <c r="P33">
        <v>13.35</v>
      </c>
      <c r="Q33">
        <v>9.6999999999999993</v>
      </c>
      <c r="S33">
        <v>12.95</v>
      </c>
      <c r="T33">
        <v>7.27</v>
      </c>
      <c r="W33">
        <v>39</v>
      </c>
      <c r="X33">
        <f t="shared" ca="1" si="4"/>
        <v>42.778691784357171</v>
      </c>
      <c r="Y33">
        <f ca="1">C33/X33*60</f>
        <v>20.477484548050761</v>
      </c>
      <c r="Z33">
        <v>15.540983606557401</v>
      </c>
      <c r="AA33">
        <v>4.5</v>
      </c>
      <c r="AB33">
        <f t="shared" ca="1" si="5"/>
        <v>19.600000000000001</v>
      </c>
      <c r="AC33">
        <f t="shared" ca="1" si="6"/>
        <v>0.87748454805075915</v>
      </c>
      <c r="AD33">
        <f t="shared" ca="1" si="7"/>
        <v>20.477484548050761</v>
      </c>
      <c r="AE33">
        <f ca="1">C33*60/AD33</f>
        <v>42.778691784357171</v>
      </c>
    </row>
    <row r="34" spans="1:31" x14ac:dyDescent="0.45">
      <c r="A34">
        <f t="shared" ca="1" si="0"/>
        <v>22</v>
      </c>
      <c r="B34" s="3">
        <v>8786</v>
      </c>
      <c r="C34">
        <f t="shared" ca="1" si="1"/>
        <v>14.8</v>
      </c>
      <c r="D34">
        <v>32.590000000000003</v>
      </c>
      <c r="E34" s="8">
        <v>0.28999999999999998</v>
      </c>
      <c r="F34" s="19">
        <f t="shared" si="8"/>
        <v>1.1928639290615433</v>
      </c>
      <c r="G34" s="19">
        <f t="shared" si="10"/>
        <v>3.2878370055986998</v>
      </c>
      <c r="H34" s="19">
        <f t="shared" ca="1" si="11"/>
        <v>3.4045753255204407</v>
      </c>
      <c r="I34" s="19">
        <f t="shared" si="12"/>
        <v>41.316178331958156</v>
      </c>
      <c r="J34" s="8">
        <v>0.28999999999999998</v>
      </c>
      <c r="K34" s="19">
        <f t="shared" si="13"/>
        <v>213</v>
      </c>
      <c r="L34" s="3">
        <f t="shared" si="2"/>
        <v>8800</v>
      </c>
      <c r="M34" s="3">
        <f t="shared" si="9"/>
        <v>13</v>
      </c>
      <c r="N34">
        <f t="shared" si="3"/>
        <v>0.17030303030303029</v>
      </c>
      <c r="O34">
        <v>69.7</v>
      </c>
      <c r="P34">
        <v>12.97</v>
      </c>
      <c r="Q34">
        <v>9.19</v>
      </c>
      <c r="S34">
        <v>12.94</v>
      </c>
      <c r="T34">
        <v>7.32</v>
      </c>
      <c r="W34">
        <v>33</v>
      </c>
      <c r="X34">
        <f t="shared" ca="1" si="4"/>
        <v>44.685358881837871</v>
      </c>
      <c r="Y34">
        <f ca="1">C34/X34*60</f>
        <v>19.872280814576225</v>
      </c>
      <c r="Z34">
        <v>17.116363636363602</v>
      </c>
      <c r="AA34">
        <v>4.5</v>
      </c>
      <c r="AB34">
        <f t="shared" ca="1" si="5"/>
        <v>19.8</v>
      </c>
      <c r="AC34">
        <f t="shared" ca="1" si="6"/>
        <v>7.2280814576224928E-2</v>
      </c>
      <c r="AD34">
        <f t="shared" ca="1" si="7"/>
        <v>19.872280814576225</v>
      </c>
      <c r="AE34">
        <f ca="1">C34*60/AD34</f>
        <v>44.685358881837871</v>
      </c>
    </row>
    <row r="35" spans="1:31" x14ac:dyDescent="0.45">
      <c r="A35">
        <f t="shared" ca="1" si="0"/>
        <v>19</v>
      </c>
      <c r="B35" s="3">
        <v>9200</v>
      </c>
      <c r="C35">
        <f t="shared" ca="1" si="1"/>
        <v>16.5</v>
      </c>
      <c r="D35">
        <v>32.56</v>
      </c>
      <c r="E35" s="8">
        <v>0.28999999999999998</v>
      </c>
      <c r="F35" s="19">
        <f t="shared" si="8"/>
        <v>1.1928639290615433</v>
      </c>
      <c r="G35" s="19">
        <f t="shared" si="10"/>
        <v>3.2852707242188912</v>
      </c>
      <c r="H35" s="19">
        <f t="shared" ca="1" si="11"/>
        <v>3.7956414102085994</v>
      </c>
      <c r="I35" s="19">
        <f t="shared" si="12"/>
        <v>41.283929489038755</v>
      </c>
      <c r="J35" s="8">
        <v>0.28999999999999998</v>
      </c>
      <c r="K35" s="19">
        <f t="shared" si="13"/>
        <v>223</v>
      </c>
      <c r="L35" s="3">
        <f t="shared" si="2"/>
        <v>9200</v>
      </c>
      <c r="M35" s="3">
        <f t="shared" si="9"/>
        <v>13</v>
      </c>
      <c r="N35">
        <f t="shared" si="3"/>
        <v>0.16558823529411767</v>
      </c>
      <c r="O35">
        <v>72</v>
      </c>
      <c r="P35">
        <v>13.24</v>
      </c>
      <c r="Q35">
        <v>12.11</v>
      </c>
      <c r="S35">
        <v>12.98</v>
      </c>
      <c r="T35">
        <v>7.35</v>
      </c>
      <c r="W35">
        <v>34</v>
      </c>
      <c r="X35">
        <f t="shared" ca="1" si="4"/>
        <v>51.292956591122568</v>
      </c>
      <c r="Y35">
        <f ca="1">C35/X35*60</f>
        <v>19.300895596479272</v>
      </c>
      <c r="Z35">
        <v>16.832142857142902</v>
      </c>
      <c r="AA35">
        <v>4.5</v>
      </c>
      <c r="AB35">
        <f t="shared" ca="1" si="5"/>
        <v>19.2</v>
      </c>
      <c r="AC35">
        <f t="shared" ca="1" si="6"/>
        <v>0.10089559647927149</v>
      </c>
      <c r="AD35">
        <f t="shared" ca="1" si="7"/>
        <v>19.300895596479272</v>
      </c>
      <c r="AE35">
        <f ca="1">C35*60/AD35</f>
        <v>51.292956591122568</v>
      </c>
    </row>
    <row r="36" spans="1:31" x14ac:dyDescent="0.45">
      <c r="A36">
        <f t="shared" ca="1" si="0"/>
        <v>22</v>
      </c>
      <c r="B36" s="3">
        <v>9398</v>
      </c>
      <c r="C36">
        <f t="shared" ca="1" si="1"/>
        <v>16.5</v>
      </c>
      <c r="D36">
        <v>32.119999999999997</v>
      </c>
      <c r="E36" s="8">
        <v>0.28999999999999998</v>
      </c>
      <c r="F36" s="19">
        <f t="shared" si="8"/>
        <v>1.1928639290615433</v>
      </c>
      <c r="G36" s="19">
        <f t="shared" si="10"/>
        <v>3.2476319306483652</v>
      </c>
      <c r="H36" s="19">
        <f t="shared" ca="1" si="11"/>
        <v>3.7956414102085994</v>
      </c>
      <c r="I36" s="19">
        <f t="shared" si="12"/>
        <v>40.81094645955416</v>
      </c>
      <c r="J36" s="8">
        <v>0.28999999999999998</v>
      </c>
      <c r="K36" s="19">
        <f t="shared" si="13"/>
        <v>230</v>
      </c>
      <c r="L36" s="3">
        <f t="shared" ref="L36:L66" si="14">ROUND(B36/100,0)*100</f>
        <v>9400</v>
      </c>
      <c r="M36" s="3">
        <f t="shared" si="9"/>
        <v>13</v>
      </c>
      <c r="N36">
        <f t="shared" si="3"/>
        <v>0.13459459459459458</v>
      </c>
      <c r="O36">
        <v>52.6</v>
      </c>
      <c r="P36">
        <v>13.47</v>
      </c>
      <c r="Q36">
        <v>12.58</v>
      </c>
      <c r="S36">
        <v>12.34</v>
      </c>
      <c r="T36">
        <v>7.36</v>
      </c>
      <c r="W36">
        <v>37</v>
      </c>
      <c r="X36">
        <f t="shared" ca="1" si="4"/>
        <v>48.187848159418465</v>
      </c>
      <c r="Y36">
        <f ca="1">C36/X36*60</f>
        <v>20.544598644969817</v>
      </c>
      <c r="Z36">
        <v>15.945762711864401</v>
      </c>
      <c r="AA36">
        <v>4.5</v>
      </c>
      <c r="AB36">
        <f t="shared" ca="1" si="5"/>
        <v>19.899999999999999</v>
      </c>
      <c r="AC36">
        <f t="shared" ca="1" si="6"/>
        <v>0.64459864496982167</v>
      </c>
      <c r="AD36">
        <f t="shared" ca="1" si="7"/>
        <v>20.54459864496982</v>
      </c>
      <c r="AE36">
        <f ca="1">C36*60/AD36</f>
        <v>48.187848159418465</v>
      </c>
    </row>
    <row r="37" spans="1:31" x14ac:dyDescent="0.45">
      <c r="A37">
        <f t="shared" ca="1" si="0"/>
        <v>16</v>
      </c>
      <c r="B37" s="3">
        <v>7284</v>
      </c>
      <c r="C37">
        <f t="shared" ca="1" si="1"/>
        <v>16.2</v>
      </c>
      <c r="D37">
        <v>31.28</v>
      </c>
      <c r="E37" s="8">
        <v>0.28999999999999998</v>
      </c>
      <c r="F37" s="19">
        <f t="shared" si="8"/>
        <v>1.1928639290615433</v>
      </c>
      <c r="G37" s="19">
        <f t="shared" si="10"/>
        <v>3.1757760520137261</v>
      </c>
      <c r="H37" s="19">
        <f t="shared" ca="1" si="11"/>
        <v>3.7266297482048061</v>
      </c>
      <c r="I37" s="19">
        <f t="shared" si="12"/>
        <v>39.907978857810875</v>
      </c>
      <c r="J37" s="8">
        <v>0.28999999999999998</v>
      </c>
      <c r="K37" s="19">
        <f t="shared" si="13"/>
        <v>183</v>
      </c>
      <c r="L37" s="3">
        <f t="shared" si="14"/>
        <v>7300</v>
      </c>
      <c r="M37" s="3">
        <f t="shared" si="9"/>
        <v>13</v>
      </c>
      <c r="N37">
        <f t="shared" si="3"/>
        <v>0.14789473684210525</v>
      </c>
      <c r="O37">
        <v>51.2</v>
      </c>
      <c r="P37">
        <v>13.42</v>
      </c>
      <c r="Q37">
        <v>13.02</v>
      </c>
      <c r="S37">
        <v>12.94</v>
      </c>
      <c r="T37">
        <v>7.32</v>
      </c>
      <c r="W37">
        <v>38</v>
      </c>
      <c r="X37">
        <f t="shared" ca="1" si="4"/>
        <v>48.005967552231631</v>
      </c>
      <c r="Y37">
        <f ca="1">C37/X37*60</f>
        <v>20.247482751856651</v>
      </c>
      <c r="Z37">
        <v>15.472131147541001</v>
      </c>
      <c r="AA37">
        <v>4.5</v>
      </c>
      <c r="AB37">
        <f t="shared" ca="1" si="5"/>
        <v>19.5</v>
      </c>
      <c r="AC37">
        <f t="shared" ca="1" si="6"/>
        <v>0.74748275185665236</v>
      </c>
      <c r="AD37">
        <f t="shared" ca="1" si="7"/>
        <v>20.247482751856651</v>
      </c>
      <c r="AE37">
        <f ca="1">C37*60/AD37</f>
        <v>48.005967552231631</v>
      </c>
    </row>
    <row r="38" spans="1:31" x14ac:dyDescent="0.45">
      <c r="A38">
        <f t="shared" ca="1" si="0"/>
        <v>18</v>
      </c>
      <c r="B38" s="3">
        <v>9886</v>
      </c>
      <c r="C38">
        <f t="shared" ca="1" si="1"/>
        <v>16.5</v>
      </c>
      <c r="D38">
        <v>31.23</v>
      </c>
      <c r="E38" s="8">
        <v>0.28999999999999998</v>
      </c>
      <c r="F38" s="19">
        <f t="shared" si="8"/>
        <v>1.1928639290615433</v>
      </c>
      <c r="G38" s="19">
        <f t="shared" si="10"/>
        <v>3.1714989163807115</v>
      </c>
      <c r="H38" s="19">
        <f t="shared" ca="1" si="11"/>
        <v>3.7956414102085994</v>
      </c>
      <c r="I38" s="19">
        <f t="shared" si="12"/>
        <v>39.854230786278528</v>
      </c>
      <c r="J38" s="8">
        <v>0.28999999999999998</v>
      </c>
      <c r="K38" s="19">
        <f t="shared" si="13"/>
        <v>248</v>
      </c>
      <c r="L38" s="3">
        <f t="shared" si="14"/>
        <v>9900</v>
      </c>
      <c r="M38" s="3">
        <f t="shared" si="9"/>
        <v>11</v>
      </c>
      <c r="N38">
        <f t="shared" si="3"/>
        <v>0.11581395348837208</v>
      </c>
      <c r="O38">
        <v>51</v>
      </c>
      <c r="P38">
        <v>11.48</v>
      </c>
      <c r="Q38">
        <v>9.3800000000000008</v>
      </c>
      <c r="S38">
        <v>12.11</v>
      </c>
      <c r="T38">
        <v>7.13</v>
      </c>
      <c r="W38">
        <v>43</v>
      </c>
      <c r="X38">
        <f t="shared" ca="1" si="4"/>
        <v>49.81954371749422</v>
      </c>
      <c r="Y38">
        <f ca="1">C38/X38*60</f>
        <v>19.87171953267729</v>
      </c>
      <c r="Z38">
        <v>13.233802816901401</v>
      </c>
      <c r="AA38">
        <v>4.5</v>
      </c>
      <c r="AB38">
        <f t="shared" ca="1" si="5"/>
        <v>19.3</v>
      </c>
      <c r="AC38">
        <f t="shared" ca="1" si="6"/>
        <v>0.57171953267729048</v>
      </c>
      <c r="AD38">
        <f t="shared" ca="1" si="7"/>
        <v>19.87171953267729</v>
      </c>
      <c r="AE38">
        <f ca="1">C38*60/AD38</f>
        <v>49.81954371749422</v>
      </c>
    </row>
    <row r="39" spans="1:31" x14ac:dyDescent="0.45">
      <c r="A39">
        <f t="shared" ca="1" si="0"/>
        <v>16</v>
      </c>
      <c r="B39" s="3">
        <v>7907</v>
      </c>
      <c r="C39">
        <f t="shared" ca="1" si="1"/>
        <v>16.5</v>
      </c>
      <c r="D39">
        <v>31.7</v>
      </c>
      <c r="E39" s="8">
        <v>0.28999999999999998</v>
      </c>
      <c r="F39" s="19">
        <f t="shared" si="8"/>
        <v>1.1928639290615433</v>
      </c>
      <c r="G39" s="19">
        <f t="shared" si="10"/>
        <v>3.2117039913310452</v>
      </c>
      <c r="H39" s="19">
        <f t="shared" ca="1" si="11"/>
        <v>3.7956414102085994</v>
      </c>
      <c r="I39" s="19">
        <f t="shared" si="12"/>
        <v>40.35946265868251</v>
      </c>
      <c r="J39" s="8">
        <v>0.28999999999999998</v>
      </c>
      <c r="K39" s="19">
        <f t="shared" si="13"/>
        <v>196</v>
      </c>
      <c r="L39" s="3">
        <f t="shared" si="14"/>
        <v>7900</v>
      </c>
      <c r="M39" s="3">
        <f t="shared" si="9"/>
        <v>12</v>
      </c>
      <c r="N39">
        <f t="shared" si="3"/>
        <v>0.12088235294117648</v>
      </c>
      <c r="O39">
        <v>52</v>
      </c>
      <c r="P39">
        <v>11.52</v>
      </c>
      <c r="Q39">
        <v>13.01</v>
      </c>
      <c r="S39">
        <v>11.25</v>
      </c>
      <c r="T39">
        <v>7.14</v>
      </c>
      <c r="W39">
        <v>34</v>
      </c>
      <c r="X39">
        <f t="shared" ca="1" si="4"/>
        <v>50.231946325761903</v>
      </c>
      <c r="Y39">
        <f ca="1">C39/X39*60</f>
        <v>19.708573376386763</v>
      </c>
      <c r="Z39">
        <v>17.16</v>
      </c>
      <c r="AA39">
        <v>4.5</v>
      </c>
      <c r="AB39">
        <f t="shared" ca="1" si="5"/>
        <v>19.100000000000001</v>
      </c>
      <c r="AC39">
        <f t="shared" ca="1" si="6"/>
        <v>0.60857337638676035</v>
      </c>
      <c r="AD39">
        <f t="shared" ca="1" si="7"/>
        <v>19.708573376386763</v>
      </c>
      <c r="AE39">
        <f ca="1">C39*60/AD39</f>
        <v>50.231946325761903</v>
      </c>
    </row>
    <row r="40" spans="1:31" x14ac:dyDescent="0.45">
      <c r="A40">
        <f t="shared" ca="1" si="0"/>
        <v>20</v>
      </c>
      <c r="B40" s="3">
        <v>7618</v>
      </c>
      <c r="C40">
        <f t="shared" ca="1" si="1"/>
        <v>15.4</v>
      </c>
      <c r="D40">
        <v>34.22</v>
      </c>
      <c r="E40" s="8">
        <v>0.28999999999999998</v>
      </c>
      <c r="F40" s="19">
        <f t="shared" si="8"/>
        <v>1.1928639290615433</v>
      </c>
      <c r="G40" s="19">
        <f t="shared" si="10"/>
        <v>3.4272716272349646</v>
      </c>
      <c r="H40" s="19">
        <f t="shared" ca="1" si="11"/>
        <v>3.5425986495280255</v>
      </c>
      <c r="I40" s="19">
        <f t="shared" si="12"/>
        <v>43.0683654639124</v>
      </c>
      <c r="J40" s="8">
        <v>0.28999999999999998</v>
      </c>
      <c r="K40" s="19">
        <f t="shared" si="13"/>
        <v>176</v>
      </c>
      <c r="L40" s="3">
        <f t="shared" si="14"/>
        <v>7600</v>
      </c>
      <c r="M40" s="3">
        <f t="shared" si="9"/>
        <v>13</v>
      </c>
      <c r="N40">
        <f t="shared" si="3"/>
        <v>0.17343749999999997</v>
      </c>
      <c r="O40">
        <v>52.6</v>
      </c>
      <c r="P40">
        <v>12.6</v>
      </c>
      <c r="Q40">
        <v>13.98</v>
      </c>
      <c r="S40">
        <v>12.78</v>
      </c>
      <c r="T40">
        <v>7.23</v>
      </c>
      <c r="W40">
        <v>32</v>
      </c>
      <c r="X40">
        <f t="shared" ca="1" si="4"/>
        <v>44.61196509070875</v>
      </c>
      <c r="Y40">
        <f ca="1">C40/X40*60</f>
        <v>20.711932283665302</v>
      </c>
      <c r="Z40">
        <v>17.600000000000001</v>
      </c>
      <c r="AA40">
        <v>4.5</v>
      </c>
      <c r="AB40">
        <f t="shared" ca="1" si="5"/>
        <v>19.8</v>
      </c>
      <c r="AC40">
        <f t="shared" ca="1" si="6"/>
        <v>0.91193228366530155</v>
      </c>
      <c r="AD40">
        <f t="shared" ca="1" si="7"/>
        <v>20.711932283665302</v>
      </c>
      <c r="AE40">
        <f ca="1">C40*60/AD40</f>
        <v>44.61196509070875</v>
      </c>
    </row>
    <row r="41" spans="1:31" x14ac:dyDescent="0.45">
      <c r="A41">
        <f t="shared" ca="1" si="0"/>
        <v>22</v>
      </c>
      <c r="B41" s="3">
        <v>7482</v>
      </c>
      <c r="C41">
        <f t="shared" ca="1" si="1"/>
        <v>15.7</v>
      </c>
      <c r="D41">
        <v>31.1</v>
      </c>
      <c r="E41" s="8">
        <v>0.28999999999999998</v>
      </c>
      <c r="F41" s="19">
        <f t="shared" si="8"/>
        <v>1.1928639290615433</v>
      </c>
      <c r="G41" s="19">
        <f t="shared" si="10"/>
        <v>3.1603783637348748</v>
      </c>
      <c r="H41" s="19">
        <f t="shared" ca="1" si="11"/>
        <v>3.6116103115318183</v>
      </c>
      <c r="I41" s="19">
        <f t="shared" si="12"/>
        <v>39.714485800294455</v>
      </c>
      <c r="J41" s="8">
        <v>0.28999999999999998</v>
      </c>
      <c r="K41" s="19">
        <f t="shared" si="13"/>
        <v>189</v>
      </c>
      <c r="L41" s="3">
        <f t="shared" si="14"/>
        <v>7500</v>
      </c>
      <c r="M41" s="3">
        <f t="shared" si="9"/>
        <v>13</v>
      </c>
      <c r="N41">
        <f t="shared" si="3"/>
        <v>0.11585365853658534</v>
      </c>
      <c r="O41">
        <v>53.4</v>
      </c>
      <c r="P41">
        <v>12.65</v>
      </c>
      <c r="Q41">
        <v>13.4</v>
      </c>
      <c r="S41">
        <v>12.12</v>
      </c>
      <c r="T41">
        <v>7.37</v>
      </c>
      <c r="W41">
        <v>41</v>
      </c>
      <c r="X41">
        <f t="shared" ca="1" si="4"/>
        <v>46.91454634236289</v>
      </c>
      <c r="Y41">
        <f ca="1">C41/X41*60</f>
        <v>20.079060194372868</v>
      </c>
      <c r="Z41">
        <v>14.52</v>
      </c>
      <c r="AA41">
        <v>4.5</v>
      </c>
      <c r="AB41">
        <f t="shared" ca="1" si="5"/>
        <v>19.2</v>
      </c>
      <c r="AC41">
        <f t="shared" ca="1" si="6"/>
        <v>0.87906019437286764</v>
      </c>
      <c r="AD41">
        <f t="shared" ca="1" si="7"/>
        <v>20.079060194372868</v>
      </c>
      <c r="AE41">
        <f ca="1">C41*60/AD41</f>
        <v>46.91454634236289</v>
      </c>
    </row>
    <row r="42" spans="1:31" x14ac:dyDescent="0.45">
      <c r="A42">
        <f t="shared" ca="1" si="0"/>
        <v>16</v>
      </c>
      <c r="B42" s="3">
        <v>7829</v>
      </c>
      <c r="C42">
        <f t="shared" ca="1" si="1"/>
        <v>15.8</v>
      </c>
      <c r="D42">
        <v>31.79</v>
      </c>
      <c r="E42" s="8">
        <v>0.28999999999999998</v>
      </c>
      <c r="F42" s="19">
        <f t="shared" si="8"/>
        <v>1.1928639290615433</v>
      </c>
      <c r="G42" s="19">
        <f t="shared" si="10"/>
        <v>3.2194028354704711</v>
      </c>
      <c r="H42" s="19">
        <f t="shared" ca="1" si="11"/>
        <v>3.6346141988664158</v>
      </c>
      <c r="I42" s="19">
        <f t="shared" si="12"/>
        <v>40.456209187440727</v>
      </c>
      <c r="J42" s="8">
        <v>0.28999999999999998</v>
      </c>
      <c r="K42" s="19">
        <f t="shared" si="13"/>
        <v>193</v>
      </c>
      <c r="L42" s="3">
        <f t="shared" si="14"/>
        <v>7800</v>
      </c>
      <c r="M42" s="3">
        <f t="shared" si="9"/>
        <v>13</v>
      </c>
      <c r="N42">
        <f t="shared" si="3"/>
        <v>0.13243902439024391</v>
      </c>
      <c r="O42">
        <v>49.9</v>
      </c>
      <c r="P42">
        <v>12.8</v>
      </c>
      <c r="Q42">
        <v>12.68</v>
      </c>
      <c r="S42">
        <v>12.77</v>
      </c>
      <c r="T42">
        <v>7.34</v>
      </c>
      <c r="W42">
        <v>41</v>
      </c>
      <c r="X42">
        <f t="shared" ca="1" si="4"/>
        <v>49.138533384038581</v>
      </c>
      <c r="Y42">
        <f ca="1">C42/X42*60</f>
        <v>19.292395086173535</v>
      </c>
      <c r="Z42">
        <v>14.709375</v>
      </c>
      <c r="AA42">
        <v>4.5</v>
      </c>
      <c r="AB42">
        <f t="shared" ca="1" si="5"/>
        <v>19</v>
      </c>
      <c r="AC42">
        <f t="shared" ca="1" si="6"/>
        <v>0.29239508617353249</v>
      </c>
      <c r="AD42">
        <f t="shared" ca="1" si="7"/>
        <v>19.292395086173531</v>
      </c>
      <c r="AE42">
        <f ca="1">C42*60/AD42</f>
        <v>49.138533384038581</v>
      </c>
    </row>
    <row r="43" spans="1:31" x14ac:dyDescent="0.45">
      <c r="A43">
        <f t="shared" ca="1" si="0"/>
        <v>17</v>
      </c>
      <c r="B43" s="3">
        <v>7493</v>
      </c>
      <c r="C43">
        <f t="shared" ca="1" si="1"/>
        <v>16.100000000000001</v>
      </c>
      <c r="D43">
        <v>33.19</v>
      </c>
      <c r="E43" s="8">
        <v>0.28999999999999998</v>
      </c>
      <c r="F43" s="19">
        <f t="shared" si="8"/>
        <v>1.1928639290615433</v>
      </c>
      <c r="G43" s="19">
        <f t="shared" si="10"/>
        <v>3.3391626331948707</v>
      </c>
      <c r="H43" s="19">
        <f t="shared" ca="1" si="11"/>
        <v>3.7036258608702091</v>
      </c>
      <c r="I43" s="19">
        <f t="shared" si="12"/>
        <v>41.961155190346219</v>
      </c>
      <c r="J43" s="8">
        <v>0.28999999999999998</v>
      </c>
      <c r="K43" s="19">
        <f t="shared" si="13"/>
        <v>179</v>
      </c>
      <c r="L43" s="3">
        <f t="shared" si="14"/>
        <v>7500</v>
      </c>
      <c r="M43" s="3">
        <f t="shared" si="9"/>
        <v>13</v>
      </c>
      <c r="N43">
        <f t="shared" si="3"/>
        <v>0.14499999999999999</v>
      </c>
      <c r="O43">
        <v>56.5</v>
      </c>
      <c r="P43">
        <v>12.71</v>
      </c>
      <c r="Q43">
        <v>12.61</v>
      </c>
      <c r="S43">
        <v>12.59</v>
      </c>
      <c r="T43">
        <v>7.37</v>
      </c>
      <c r="W43">
        <v>36</v>
      </c>
      <c r="X43">
        <f t="shared" ca="1" si="4"/>
        <v>48.320123310598447</v>
      </c>
      <c r="Y43">
        <f ca="1">C43/X43*60</f>
        <v>19.991670836405326</v>
      </c>
      <c r="Z43">
        <v>16.526315789473699</v>
      </c>
      <c r="AA43">
        <v>4.5</v>
      </c>
      <c r="AB43">
        <f t="shared" ca="1" si="5"/>
        <v>19.7</v>
      </c>
      <c r="AC43">
        <f t="shared" ca="1" si="6"/>
        <v>0.29167083640532709</v>
      </c>
      <c r="AD43">
        <f t="shared" ca="1" si="7"/>
        <v>19.991670836405326</v>
      </c>
      <c r="AE43">
        <f ca="1">C43*60/AD43</f>
        <v>48.320123310598447</v>
      </c>
    </row>
    <row r="44" spans="1:31" x14ac:dyDescent="0.45">
      <c r="A44">
        <f t="shared" ca="1" si="0"/>
        <v>20</v>
      </c>
      <c r="B44" s="3">
        <v>7529</v>
      </c>
      <c r="C44">
        <f t="shared" ca="1" si="1"/>
        <v>15.9</v>
      </c>
      <c r="D44">
        <v>32.15</v>
      </c>
      <c r="E44" s="8">
        <v>0.28999999999999998</v>
      </c>
      <c r="F44" s="19">
        <f t="shared" si="8"/>
        <v>1.1928639290615433</v>
      </c>
      <c r="G44" s="19">
        <f t="shared" si="10"/>
        <v>3.2501982120281738</v>
      </c>
      <c r="H44" s="19">
        <f t="shared" ca="1" si="11"/>
        <v>3.6576180862010137</v>
      </c>
      <c r="I44" s="19">
        <f t="shared" si="12"/>
        <v>40.843195302473568</v>
      </c>
      <c r="J44" s="8">
        <v>0.28999999999999998</v>
      </c>
      <c r="K44" s="19">
        <f t="shared" si="13"/>
        <v>184</v>
      </c>
      <c r="L44" s="3">
        <f t="shared" si="14"/>
        <v>7500</v>
      </c>
      <c r="M44" s="3">
        <f t="shared" si="9"/>
        <v>12</v>
      </c>
      <c r="N44">
        <f t="shared" si="3"/>
        <v>0.15285714285714286</v>
      </c>
      <c r="O44">
        <v>54.9</v>
      </c>
      <c r="P44">
        <v>12.23</v>
      </c>
      <c r="Q44">
        <v>12.52</v>
      </c>
      <c r="S44">
        <v>12.69</v>
      </c>
      <c r="T44">
        <v>7.34</v>
      </c>
      <c r="W44">
        <v>35</v>
      </c>
      <c r="X44">
        <f t="shared" ca="1" si="4"/>
        <v>48.643190465684746</v>
      </c>
      <c r="Y44">
        <f ca="1">C44/X44*60</f>
        <v>19.612200410106684</v>
      </c>
      <c r="Z44">
        <v>16.536842105263201</v>
      </c>
      <c r="AA44">
        <v>4.5</v>
      </c>
      <c r="AB44">
        <f t="shared" ca="1" si="5"/>
        <v>19.3</v>
      </c>
      <c r="AC44">
        <f t="shared" ca="1" si="6"/>
        <v>0.31220041010668353</v>
      </c>
      <c r="AD44">
        <f t="shared" ca="1" si="7"/>
        <v>19.612200410106684</v>
      </c>
      <c r="AE44">
        <f ca="1">C44*60/AD44</f>
        <v>48.643190465684746</v>
      </c>
    </row>
    <row r="45" spans="1:31" x14ac:dyDescent="0.45">
      <c r="A45">
        <f t="shared" ca="1" si="0"/>
        <v>18</v>
      </c>
      <c r="B45" s="3">
        <v>7624</v>
      </c>
      <c r="C45">
        <f t="shared" ca="1" si="1"/>
        <v>16.399999999999999</v>
      </c>
      <c r="D45">
        <v>33.1</v>
      </c>
      <c r="E45" s="8">
        <v>0.28999999999999998</v>
      </c>
      <c r="F45" s="19">
        <f t="shared" si="8"/>
        <v>1.1928639290615433</v>
      </c>
      <c r="G45" s="19">
        <f t="shared" si="10"/>
        <v>3.3314637890554453</v>
      </c>
      <c r="H45" s="19">
        <f t="shared" ca="1" si="11"/>
        <v>3.772637522874001</v>
      </c>
      <c r="I45" s="19">
        <f t="shared" si="12"/>
        <v>41.864408661588016</v>
      </c>
      <c r="J45" s="8">
        <v>0.28999999999999998</v>
      </c>
      <c r="K45" s="19">
        <f t="shared" si="13"/>
        <v>182</v>
      </c>
      <c r="L45" s="3">
        <f t="shared" si="14"/>
        <v>7600</v>
      </c>
      <c r="M45" s="3">
        <f t="shared" si="9"/>
        <v>13</v>
      </c>
      <c r="N45">
        <f t="shared" si="3"/>
        <v>0.12181818181818183</v>
      </c>
      <c r="O45">
        <v>52.4</v>
      </c>
      <c r="P45">
        <v>13.1</v>
      </c>
      <c r="Q45">
        <v>12.91</v>
      </c>
      <c r="S45">
        <v>12.64</v>
      </c>
      <c r="T45">
        <v>7.28</v>
      </c>
      <c r="W45">
        <v>44</v>
      </c>
      <c r="X45">
        <f t="shared" ca="1" si="4"/>
        <v>50.021083679400093</v>
      </c>
      <c r="Y45">
        <f ca="1">C45/X45*60</f>
        <v>19.67170496158673</v>
      </c>
      <c r="Z45">
        <v>14.236363636363601</v>
      </c>
      <c r="AA45">
        <v>4.5</v>
      </c>
      <c r="AB45">
        <f t="shared" ca="1" si="5"/>
        <v>19.2</v>
      </c>
      <c r="AC45">
        <f t="shared" ca="1" si="6"/>
        <v>0.47170496158673103</v>
      </c>
      <c r="AD45">
        <f t="shared" ca="1" si="7"/>
        <v>19.67170496158673</v>
      </c>
      <c r="AE45">
        <f ca="1">C45*60/AD45</f>
        <v>50.021083679400093</v>
      </c>
    </row>
    <row r="46" spans="1:31" x14ac:dyDescent="0.45">
      <c r="A46">
        <f t="shared" ca="1" si="0"/>
        <v>18</v>
      </c>
      <c r="B46" s="3">
        <v>9200</v>
      </c>
      <c r="C46">
        <f t="shared" ca="1" si="1"/>
        <v>16.100000000000001</v>
      </c>
      <c r="D46">
        <v>34.020000000000003</v>
      </c>
      <c r="E46" s="8">
        <v>0.28999999999999998</v>
      </c>
      <c r="F46" s="19">
        <f t="shared" si="8"/>
        <v>1.1928639290615433</v>
      </c>
      <c r="G46" s="19">
        <f t="shared" si="10"/>
        <v>3.4101630847029081</v>
      </c>
      <c r="H46" s="19">
        <f t="shared" ca="1" si="11"/>
        <v>3.7036258608702091</v>
      </c>
      <c r="I46" s="19">
        <f t="shared" si="12"/>
        <v>42.853373177783055</v>
      </c>
      <c r="J46" s="8">
        <v>0.28999999999999998</v>
      </c>
      <c r="K46" s="19">
        <f t="shared" si="13"/>
        <v>215</v>
      </c>
      <c r="L46" s="3">
        <f t="shared" si="14"/>
        <v>9200</v>
      </c>
      <c r="M46" s="3">
        <f t="shared" si="9"/>
        <v>9</v>
      </c>
      <c r="N46">
        <f t="shared" si="3"/>
        <v>6.01219512195122E-2</v>
      </c>
      <c r="O46">
        <v>52</v>
      </c>
      <c r="P46">
        <v>8.94</v>
      </c>
      <c r="Q46">
        <v>8.41</v>
      </c>
      <c r="S46">
        <v>12.23</v>
      </c>
      <c r="T46">
        <v>7.3</v>
      </c>
      <c r="W46">
        <v>82</v>
      </c>
      <c r="X46">
        <f t="shared" ca="1" si="4"/>
        <v>48.287369126183769</v>
      </c>
      <c r="Y46">
        <f ca="1">C46/X46*60</f>
        <v>20.005231543587819</v>
      </c>
      <c r="Z46">
        <v>9</v>
      </c>
      <c r="AA46">
        <v>4.5</v>
      </c>
      <c r="AB46">
        <f t="shared" ca="1" si="5"/>
        <v>20</v>
      </c>
      <c r="AC46">
        <f t="shared" ca="1" si="6"/>
        <v>5.2315435878184102E-3</v>
      </c>
      <c r="AD46">
        <f t="shared" ca="1" si="7"/>
        <v>20.005231543587819</v>
      </c>
      <c r="AE46">
        <f ca="1">C46*60/AD46</f>
        <v>48.287369126183769</v>
      </c>
    </row>
    <row r="47" spans="1:31" x14ac:dyDescent="0.45">
      <c r="A47">
        <f t="shared" ca="1" si="0"/>
        <v>22</v>
      </c>
      <c r="B47" s="3">
        <v>9488</v>
      </c>
      <c r="C47">
        <f t="shared" ca="1" si="1"/>
        <v>14.9</v>
      </c>
      <c r="D47">
        <v>35.119999999999997</v>
      </c>
      <c r="E47" s="8">
        <v>0.28999999999999998</v>
      </c>
      <c r="F47" s="19">
        <f t="shared" si="8"/>
        <v>1.1928639290615433</v>
      </c>
      <c r="G47" s="19">
        <f t="shared" si="10"/>
        <v>3.5042600686292213</v>
      </c>
      <c r="H47" s="19">
        <f t="shared" ca="1" si="11"/>
        <v>3.4275792128550382</v>
      </c>
      <c r="I47" s="19">
        <f t="shared" si="12"/>
        <v>44.035830751494501</v>
      </c>
      <c r="J47" s="8">
        <v>0.28999999999999998</v>
      </c>
      <c r="K47" s="19">
        <f t="shared" si="13"/>
        <v>216</v>
      </c>
      <c r="L47" s="3">
        <f t="shared" si="14"/>
        <v>9500</v>
      </c>
      <c r="M47" s="3">
        <f t="shared" si="9"/>
        <v>13</v>
      </c>
      <c r="N47">
        <f t="shared" si="3"/>
        <v>0.13633333333333336</v>
      </c>
      <c r="O47">
        <v>55</v>
      </c>
      <c r="P47">
        <v>13.47</v>
      </c>
      <c r="Q47">
        <v>14.42</v>
      </c>
      <c r="S47">
        <v>11.39</v>
      </c>
      <c r="T47">
        <v>7.3</v>
      </c>
      <c r="W47">
        <v>30</v>
      </c>
      <c r="X47">
        <f t="shared" ca="1" si="4"/>
        <v>44.631668175588892</v>
      </c>
      <c r="Y47">
        <f ca="1">C47/X47*60</f>
        <v>20.030620331797717</v>
      </c>
      <c r="Z47">
        <v>18.161538461538498</v>
      </c>
      <c r="AA47">
        <v>4.5</v>
      </c>
      <c r="AB47">
        <f t="shared" ca="1" si="5"/>
        <v>19.7</v>
      </c>
      <c r="AC47">
        <f t="shared" ca="1" si="6"/>
        <v>0.33062033179771677</v>
      </c>
      <c r="AD47">
        <f t="shared" ca="1" si="7"/>
        <v>20.030620331797717</v>
      </c>
      <c r="AE47">
        <f ca="1">C47*60/AD47</f>
        <v>44.631668175588892</v>
      </c>
    </row>
    <row r="48" spans="1:31" x14ac:dyDescent="0.45">
      <c r="A48">
        <f t="shared" ca="1" si="0"/>
        <v>20</v>
      </c>
      <c r="B48" s="3">
        <v>7939</v>
      </c>
      <c r="C48">
        <f t="shared" ca="1" si="1"/>
        <v>15.4</v>
      </c>
      <c r="D48">
        <v>31.1</v>
      </c>
      <c r="E48" s="8">
        <v>0.28999999999999998</v>
      </c>
      <c r="F48" s="19">
        <f t="shared" si="8"/>
        <v>1.1928639290615433</v>
      </c>
      <c r="G48" s="19">
        <f t="shared" si="10"/>
        <v>3.1603783637348748</v>
      </c>
      <c r="H48" s="19">
        <f t="shared" ca="1" si="11"/>
        <v>3.5425986495280255</v>
      </c>
      <c r="I48" s="19">
        <f t="shared" si="12"/>
        <v>39.714485800294455</v>
      </c>
      <c r="J48" s="8">
        <v>0.28999999999999998</v>
      </c>
      <c r="K48" s="19">
        <f t="shared" si="13"/>
        <v>199</v>
      </c>
      <c r="L48" s="3">
        <f t="shared" si="14"/>
        <v>7900</v>
      </c>
      <c r="M48" s="3">
        <f t="shared" si="9"/>
        <v>12</v>
      </c>
      <c r="N48">
        <f t="shared" si="3"/>
        <v>9.6153846153846173E-2</v>
      </c>
      <c r="O48">
        <v>68.3</v>
      </c>
      <c r="P48">
        <v>12.37</v>
      </c>
      <c r="Q48">
        <v>13.1</v>
      </c>
      <c r="S48">
        <v>12.3</v>
      </c>
      <c r="T48">
        <v>7.3</v>
      </c>
      <c r="W48">
        <v>52</v>
      </c>
      <c r="X48">
        <f t="shared" ca="1" si="4"/>
        <v>44.4123742461259</v>
      </c>
      <c r="Y48">
        <f ca="1">C48/X48*60</f>
        <v>20.805012469708277</v>
      </c>
      <c r="Z48">
        <v>12.721621621621599</v>
      </c>
      <c r="AA48">
        <v>4.5</v>
      </c>
      <c r="AB48">
        <f t="shared" ca="1" si="5"/>
        <v>19.899999999999999</v>
      </c>
      <c r="AC48">
        <f t="shared" ca="1" si="6"/>
        <v>0.9050124697082752</v>
      </c>
      <c r="AD48">
        <f t="shared" ca="1" si="7"/>
        <v>20.805012469708274</v>
      </c>
      <c r="AE48">
        <f ca="1">C48*60/AD48</f>
        <v>44.4123742461259</v>
      </c>
    </row>
    <row r="49" spans="1:31" x14ac:dyDescent="0.45">
      <c r="A49">
        <f t="shared" ca="1" si="0"/>
        <v>22</v>
      </c>
      <c r="B49" s="3">
        <v>7792</v>
      </c>
      <c r="C49">
        <f t="shared" ca="1" si="1"/>
        <v>14.5</v>
      </c>
      <c r="D49">
        <v>32.28</v>
      </c>
      <c r="E49" s="8">
        <v>0.28999999999999998</v>
      </c>
      <c r="F49" s="19">
        <f t="shared" si="8"/>
        <v>1.1928639290615433</v>
      </c>
      <c r="G49" s="19">
        <f t="shared" si="10"/>
        <v>3.2613187646740114</v>
      </c>
      <c r="H49" s="19">
        <f t="shared" ca="1" si="11"/>
        <v>3.3355636635166475</v>
      </c>
      <c r="I49" s="19">
        <f t="shared" si="12"/>
        <v>40.982940288457655</v>
      </c>
      <c r="J49" s="8">
        <v>0.28999999999999998</v>
      </c>
      <c r="K49" s="19">
        <f t="shared" si="13"/>
        <v>190</v>
      </c>
      <c r="L49" s="3">
        <f t="shared" si="14"/>
        <v>7800</v>
      </c>
      <c r="M49" s="3">
        <f t="shared" si="9"/>
        <v>13</v>
      </c>
      <c r="N49">
        <f t="shared" si="3"/>
        <v>0.11695652173913045</v>
      </c>
      <c r="O49">
        <v>54.6</v>
      </c>
      <c r="P49">
        <v>13.37</v>
      </c>
      <c r="Q49">
        <v>11.83</v>
      </c>
      <c r="S49">
        <v>12.71</v>
      </c>
      <c r="T49">
        <v>7.33</v>
      </c>
      <c r="W49">
        <v>46</v>
      </c>
      <c r="X49">
        <f t="shared" ca="1" si="4"/>
        <v>43.121144636857565</v>
      </c>
      <c r="Y49">
        <f ca="1">C49/X49*60</f>
        <v>20.175716747007968</v>
      </c>
      <c r="Z49">
        <v>13.6782608695652</v>
      </c>
      <c r="AA49">
        <v>4.5</v>
      </c>
      <c r="AB49">
        <f t="shared" ca="1" si="5"/>
        <v>19.600000000000001</v>
      </c>
      <c r="AC49">
        <f t="shared" ca="1" si="6"/>
        <v>0.57571674700796827</v>
      </c>
      <c r="AD49">
        <f t="shared" ca="1" si="7"/>
        <v>20.175716747007968</v>
      </c>
      <c r="AE49">
        <f ca="1">C49*60/AD49</f>
        <v>43.121144636857565</v>
      </c>
    </row>
    <row r="50" spans="1:31" x14ac:dyDescent="0.45">
      <c r="A50">
        <f t="shared" ca="1" si="0"/>
        <v>16</v>
      </c>
      <c r="B50" s="7">
        <v>6537</v>
      </c>
      <c r="C50" s="6">
        <f t="shared" ca="1" si="1"/>
        <v>15.6</v>
      </c>
      <c r="D50" s="6">
        <v>41.32</v>
      </c>
      <c r="E50" s="10">
        <v>0.3</v>
      </c>
      <c r="F50" s="19">
        <f t="shared" si="8"/>
        <v>1.2008501594048886</v>
      </c>
      <c r="G50" s="19">
        <f t="shared" si="10"/>
        <v>4.0111179338992224</v>
      </c>
      <c r="H50" s="19">
        <f t="shared" ca="1" si="11"/>
        <v>3.4459157855631068</v>
      </c>
      <c r="I50" s="19">
        <f t="shared" si="12"/>
        <v>50.405194535280266</v>
      </c>
      <c r="J50" s="10">
        <v>0.3</v>
      </c>
      <c r="K50" s="19">
        <f t="shared" si="13"/>
        <v>129</v>
      </c>
      <c r="L50" s="3">
        <f t="shared" si="14"/>
        <v>6500</v>
      </c>
      <c r="M50" s="3">
        <f t="shared" si="9"/>
        <v>9</v>
      </c>
      <c r="N50" s="6">
        <f t="shared" ca="1" si="3"/>
        <v>0.21611510930766806</v>
      </c>
      <c r="O50" s="6">
        <v>62.5</v>
      </c>
      <c r="P50" s="6">
        <v>9.14</v>
      </c>
      <c r="Q50" s="6">
        <v>9.9</v>
      </c>
      <c r="S50" s="6">
        <v>12.53</v>
      </c>
      <c r="T50" s="6">
        <v>7.2</v>
      </c>
      <c r="W50">
        <f ca="1">X50-A50-AA50</f>
        <v>24.662782796977183</v>
      </c>
      <c r="X50">
        <f t="shared" ca="1" si="4"/>
        <v>45.162782796977183</v>
      </c>
      <c r="Y50">
        <f ca="1">C50/X50*60</f>
        <v>20.725029372252234</v>
      </c>
      <c r="Z50">
        <v>7.5588785046728999</v>
      </c>
      <c r="AA50">
        <v>4.5</v>
      </c>
      <c r="AB50">
        <f t="shared" ca="1" si="5"/>
        <v>20</v>
      </c>
      <c r="AC50">
        <f t="shared" ca="1" si="6"/>
        <v>0.72502937225223407</v>
      </c>
      <c r="AD50">
        <f t="shared" ca="1" si="7"/>
        <v>20.725029372252234</v>
      </c>
      <c r="AE50">
        <f ca="1">C50*60/AD50</f>
        <v>45.162782796977183</v>
      </c>
    </row>
    <row r="51" spans="1:31" x14ac:dyDescent="0.45">
      <c r="A51">
        <f t="shared" ca="1" si="0"/>
        <v>17</v>
      </c>
      <c r="B51" s="3">
        <v>6598</v>
      </c>
      <c r="C51">
        <f t="shared" ca="1" si="1"/>
        <v>16.5</v>
      </c>
      <c r="D51">
        <v>36.67</v>
      </c>
      <c r="E51" s="8">
        <v>0.3</v>
      </c>
      <c r="F51" s="19">
        <f t="shared" si="8"/>
        <v>1.2008501594048886</v>
      </c>
      <c r="G51" s="19">
        <f t="shared" si="10"/>
        <v>3.6159897056167596</v>
      </c>
      <c r="H51" s="19">
        <f t="shared" ca="1" si="11"/>
        <v>3.6447186193455936</v>
      </c>
      <c r="I51" s="19">
        <f t="shared" si="12"/>
        <v>45.439866778487719</v>
      </c>
      <c r="J51" s="8">
        <v>0.3</v>
      </c>
      <c r="K51" s="19">
        <f t="shared" si="13"/>
        <v>145</v>
      </c>
      <c r="L51" s="3">
        <f t="shared" si="14"/>
        <v>6600</v>
      </c>
      <c r="M51" s="3">
        <f t="shared" si="9"/>
        <v>9</v>
      </c>
      <c r="N51">
        <f t="shared" ca="1" si="3"/>
        <v>0.15700585947257556</v>
      </c>
      <c r="O51">
        <v>55.3</v>
      </c>
      <c r="P51">
        <v>9.02</v>
      </c>
      <c r="Q51">
        <v>7.36</v>
      </c>
      <c r="S51">
        <v>11.85</v>
      </c>
      <c r="T51">
        <v>7.43</v>
      </c>
      <c r="W51">
        <f ca="1">X51-A51-AA51</f>
        <v>28.151815574577633</v>
      </c>
      <c r="X51">
        <f t="shared" ca="1" si="4"/>
        <v>49.651815574577633</v>
      </c>
      <c r="Y51">
        <f ca="1">C51/X51*60</f>
        <v>19.938847926175185</v>
      </c>
      <c r="Z51">
        <v>7.7262295081967203</v>
      </c>
      <c r="AA51">
        <v>4.5</v>
      </c>
      <c r="AB51">
        <f t="shared" ca="1" si="5"/>
        <v>19.2</v>
      </c>
      <c r="AC51">
        <f t="shared" ca="1" si="6"/>
        <v>0.73884792617518735</v>
      </c>
      <c r="AD51">
        <f t="shared" ca="1" si="7"/>
        <v>19.938847926175185</v>
      </c>
      <c r="AE51">
        <f ca="1">C51*60/AD51</f>
        <v>49.651815574577633</v>
      </c>
    </row>
    <row r="52" spans="1:31" x14ac:dyDescent="0.45">
      <c r="A52">
        <f t="shared" ca="1" si="0"/>
        <v>19</v>
      </c>
      <c r="B52" s="3">
        <v>6598</v>
      </c>
      <c r="C52">
        <f t="shared" ca="1" si="1"/>
        <v>15.9</v>
      </c>
      <c r="D52">
        <v>35.840000000000003</v>
      </c>
      <c r="E52" s="8">
        <v>0.3</v>
      </c>
      <c r="F52" s="19">
        <f t="shared" si="8"/>
        <v>1.2008501594048886</v>
      </c>
      <c r="G52" s="19">
        <f t="shared" si="10"/>
        <v>3.5454614412136531</v>
      </c>
      <c r="H52" s="19">
        <f t="shared" ca="1" si="11"/>
        <v>3.5121833968239362</v>
      </c>
      <c r="I52" s="19">
        <f t="shared" si="12"/>
        <v>44.553582469210774</v>
      </c>
      <c r="J52" s="8">
        <v>0.3</v>
      </c>
      <c r="K52" s="19">
        <f t="shared" si="13"/>
        <v>148</v>
      </c>
      <c r="L52" s="3">
        <f t="shared" si="14"/>
        <v>6600</v>
      </c>
      <c r="M52" s="3">
        <f t="shared" si="9"/>
        <v>7</v>
      </c>
      <c r="N52">
        <f t="shared" ca="1" si="3"/>
        <v>0.22447914939739605</v>
      </c>
      <c r="O52">
        <v>50.9</v>
      </c>
      <c r="P52">
        <v>6.51</v>
      </c>
      <c r="Q52">
        <v>4.22</v>
      </c>
      <c r="S52">
        <v>12.75</v>
      </c>
      <c r="T52">
        <v>7.32</v>
      </c>
      <c r="W52">
        <f ca="1">X52-A52-AA52</f>
        <v>24.189329007066291</v>
      </c>
      <c r="X52">
        <f t="shared" ca="1" si="4"/>
        <v>47.689329007066291</v>
      </c>
      <c r="Y52">
        <f ca="1">C52/X52*60</f>
        <v>20.004475212025788</v>
      </c>
      <c r="Z52">
        <v>9.7298969072164994</v>
      </c>
      <c r="AA52">
        <v>4.5</v>
      </c>
      <c r="AB52">
        <f t="shared" ca="1" si="5"/>
        <v>20</v>
      </c>
      <c r="AC52">
        <f t="shared" ca="1" si="6"/>
        <v>4.4752120257897099E-3</v>
      </c>
      <c r="AD52">
        <f t="shared" ca="1" si="7"/>
        <v>20.004475212025788</v>
      </c>
      <c r="AE52">
        <f ca="1">C52*60/AD52</f>
        <v>47.689329007066291</v>
      </c>
    </row>
    <row r="53" spans="1:31" x14ac:dyDescent="0.45">
      <c r="A53">
        <f t="shared" ca="1" si="0"/>
        <v>17</v>
      </c>
      <c r="B53" s="3">
        <v>6523</v>
      </c>
      <c r="C53">
        <f t="shared" ca="1" si="1"/>
        <v>14.5</v>
      </c>
      <c r="D53">
        <v>36.880000000000003</v>
      </c>
      <c r="E53" s="8">
        <v>0.3</v>
      </c>
      <c r="F53" s="19">
        <f t="shared" si="8"/>
        <v>1.2008501594048886</v>
      </c>
      <c r="G53" s="19">
        <f t="shared" si="10"/>
        <v>3.6338342062488707</v>
      </c>
      <c r="H53" s="19">
        <f t="shared" ca="1" si="11"/>
        <v>3.202934544273401</v>
      </c>
      <c r="I53" s="19">
        <f t="shared" si="12"/>
        <v>45.664107386858994</v>
      </c>
      <c r="J53" s="8">
        <v>0.3</v>
      </c>
      <c r="K53" s="19">
        <f t="shared" si="13"/>
        <v>142</v>
      </c>
      <c r="L53" s="3">
        <f t="shared" si="14"/>
        <v>6500</v>
      </c>
      <c r="M53" s="3">
        <f t="shared" si="9"/>
        <v>10</v>
      </c>
      <c r="N53">
        <f t="shared" ca="1" si="3"/>
        <v>0.17127823561983388</v>
      </c>
      <c r="O53">
        <v>61.3</v>
      </c>
      <c r="P53">
        <v>9.86</v>
      </c>
      <c r="Q53">
        <v>11.05</v>
      </c>
      <c r="S53">
        <v>11.05</v>
      </c>
      <c r="T53">
        <v>7.35</v>
      </c>
      <c r="W53">
        <f ca="1">X53-A53-AA53</f>
        <v>21.602277642633211</v>
      </c>
      <c r="X53">
        <f t="shared" ca="1" si="4"/>
        <v>43.102277642633211</v>
      </c>
      <c r="Y53">
        <f ca="1">C53/X53*60</f>
        <v>20.184548185905328</v>
      </c>
      <c r="Z53">
        <v>10.527272727272701</v>
      </c>
      <c r="AA53">
        <v>4.5</v>
      </c>
      <c r="AB53">
        <f t="shared" ca="1" si="5"/>
        <v>19.7</v>
      </c>
      <c r="AC53">
        <f t="shared" ca="1" si="6"/>
        <v>0.48454818590532711</v>
      </c>
      <c r="AD53">
        <f t="shared" ca="1" si="7"/>
        <v>20.184548185905328</v>
      </c>
      <c r="AE53">
        <f ca="1">C53*60/AD53</f>
        <v>43.102277642633211</v>
      </c>
    </row>
    <row r="54" spans="1:31" x14ac:dyDescent="0.45">
      <c r="A54">
        <f t="shared" ca="1" si="0"/>
        <v>19</v>
      </c>
      <c r="B54" s="3">
        <v>6325</v>
      </c>
      <c r="C54">
        <f t="shared" ca="1" si="1"/>
        <v>16.5</v>
      </c>
      <c r="D54">
        <v>39.07</v>
      </c>
      <c r="E54" s="8">
        <v>0.3</v>
      </c>
      <c r="F54" s="19">
        <f t="shared" si="8"/>
        <v>1.2008501594048886</v>
      </c>
      <c r="G54" s="19">
        <f t="shared" si="10"/>
        <v>3.8199268556980308</v>
      </c>
      <c r="H54" s="19">
        <f t="shared" ca="1" si="11"/>
        <v>3.6447186193455936</v>
      </c>
      <c r="I54" s="19">
        <f t="shared" si="12"/>
        <v>48.002616588445164</v>
      </c>
      <c r="J54" s="8">
        <v>0.3</v>
      </c>
      <c r="K54" s="19">
        <f t="shared" si="13"/>
        <v>131</v>
      </c>
      <c r="L54" s="3">
        <f t="shared" si="14"/>
        <v>6300</v>
      </c>
      <c r="M54" s="3">
        <f t="shared" si="9"/>
        <v>12</v>
      </c>
      <c r="N54">
        <f t="shared" ca="1" si="3"/>
        <v>0.21001933253750357</v>
      </c>
      <c r="O54">
        <v>60.31</v>
      </c>
      <c r="P54">
        <v>12.26</v>
      </c>
      <c r="Q54">
        <v>0.17</v>
      </c>
      <c r="S54">
        <v>12.46</v>
      </c>
      <c r="T54">
        <v>7.25</v>
      </c>
      <c r="W54">
        <f ca="1">X54-A54-AA54</f>
        <v>24.807240062386356</v>
      </c>
      <c r="X54">
        <f t="shared" ca="1" si="4"/>
        <v>48.307240062386356</v>
      </c>
      <c r="Y54">
        <f ca="1">C54/X54*60</f>
        <v>20.493822431616156</v>
      </c>
      <c r="Z54">
        <v>12.9774193548387</v>
      </c>
      <c r="AA54">
        <v>4.5</v>
      </c>
      <c r="AB54">
        <f t="shared" ca="1" si="5"/>
        <v>19.7</v>
      </c>
      <c r="AC54">
        <f t="shared" ca="1" si="6"/>
        <v>0.79382243161615484</v>
      </c>
      <c r="AD54">
        <f t="shared" ca="1" si="7"/>
        <v>20.493822431616152</v>
      </c>
      <c r="AE54">
        <f ca="1">C54*60/AD54</f>
        <v>48.307240062386356</v>
      </c>
    </row>
    <row r="55" spans="1:31" x14ac:dyDescent="0.45">
      <c r="A55">
        <f t="shared" ca="1" si="0"/>
        <v>22</v>
      </c>
      <c r="B55" s="3">
        <v>6423</v>
      </c>
      <c r="C55">
        <f t="shared" ca="1" si="1"/>
        <v>15.8</v>
      </c>
      <c r="D55">
        <v>41.96</v>
      </c>
      <c r="E55" s="8">
        <v>0.3</v>
      </c>
      <c r="F55" s="19">
        <f t="shared" si="8"/>
        <v>1.2008501594048886</v>
      </c>
      <c r="G55" s="19">
        <f t="shared" si="10"/>
        <v>4.0655011739208948</v>
      </c>
      <c r="H55" s="19">
        <f t="shared" ca="1" si="11"/>
        <v>3.4900941930703269</v>
      </c>
      <c r="I55" s="19">
        <f t="shared" si="12"/>
        <v>51.088594484602254</v>
      </c>
      <c r="J55" s="8">
        <v>0.3</v>
      </c>
      <c r="K55" s="19">
        <f t="shared" si="13"/>
        <v>125</v>
      </c>
      <c r="L55" s="3">
        <f t="shared" si="14"/>
        <v>6400</v>
      </c>
      <c r="M55" s="3">
        <f t="shared" si="9"/>
        <v>12</v>
      </c>
      <c r="N55">
        <f t="shared" ca="1" si="3"/>
        <v>0.25271338686212236</v>
      </c>
      <c r="O55">
        <v>60.58</v>
      </c>
      <c r="P55">
        <v>12.2</v>
      </c>
      <c r="Q55">
        <v>11.29</v>
      </c>
      <c r="S55">
        <v>12.39</v>
      </c>
      <c r="T55">
        <v>7.2</v>
      </c>
      <c r="W55">
        <f ca="1">X55-A55-AA55</f>
        <v>20.537099614875594</v>
      </c>
      <c r="X55">
        <f t="shared" ca="1" si="4"/>
        <v>47.037099614875594</v>
      </c>
      <c r="Y55">
        <f ca="1">C55/X55*60</f>
        <v>20.154303895476428</v>
      </c>
      <c r="Z55">
        <v>15.530434782608699</v>
      </c>
      <c r="AA55">
        <v>4.5</v>
      </c>
      <c r="AB55">
        <f t="shared" ca="1" si="5"/>
        <v>20</v>
      </c>
      <c r="AC55">
        <f t="shared" ca="1" si="6"/>
        <v>0.15430389547642887</v>
      </c>
      <c r="AD55">
        <f t="shared" ca="1" si="7"/>
        <v>20.154303895476428</v>
      </c>
      <c r="AE55">
        <f ca="1">C55*60/AD55</f>
        <v>47.037099614875594</v>
      </c>
    </row>
    <row r="56" spans="1:31" x14ac:dyDescent="0.45">
      <c r="A56">
        <f t="shared" ca="1" si="0"/>
        <v>22</v>
      </c>
      <c r="B56" s="3">
        <v>6487</v>
      </c>
      <c r="C56">
        <f t="shared" ca="1" si="1"/>
        <v>15.6</v>
      </c>
      <c r="D56">
        <v>42</v>
      </c>
      <c r="E56" s="8">
        <v>0.3</v>
      </c>
      <c r="F56" s="19">
        <f t="shared" si="8"/>
        <v>1.2008501594048886</v>
      </c>
      <c r="G56" s="19">
        <f t="shared" si="10"/>
        <v>4.0689001264222497</v>
      </c>
      <c r="H56" s="19">
        <f t="shared" ca="1" si="11"/>
        <v>3.4459157855631068</v>
      </c>
      <c r="I56" s="19">
        <f t="shared" si="12"/>
        <v>51.131306981434882</v>
      </c>
      <c r="J56" s="8">
        <v>0.3</v>
      </c>
      <c r="K56" s="19">
        <f t="shared" si="13"/>
        <v>127</v>
      </c>
      <c r="L56" s="3">
        <f t="shared" si="14"/>
        <v>6500</v>
      </c>
      <c r="M56" s="3">
        <f t="shared" si="9"/>
        <v>8</v>
      </c>
      <c r="N56">
        <f t="shared" ca="1" si="3"/>
        <v>0.25627568625678537</v>
      </c>
      <c r="O56">
        <v>64.3</v>
      </c>
      <c r="P56">
        <v>8.07</v>
      </c>
      <c r="Q56">
        <v>9.0299999999999994</v>
      </c>
      <c r="S56">
        <v>12.4</v>
      </c>
      <c r="T56">
        <v>7.24</v>
      </c>
      <c r="W56">
        <f ca="1">X56-A56-AA56</f>
        <v>20.134567095958289</v>
      </c>
      <c r="X56">
        <f t="shared" ca="1" si="4"/>
        <v>46.634567095958289</v>
      </c>
      <c r="Y56">
        <f ca="1">C56/X56*60</f>
        <v>20.070948617878798</v>
      </c>
      <c r="Z56">
        <v>8.8657894736842096</v>
      </c>
      <c r="AA56">
        <v>4.5</v>
      </c>
      <c r="AB56">
        <f t="shared" ca="1" si="5"/>
        <v>19.100000000000001</v>
      </c>
      <c r="AC56">
        <f t="shared" ca="1" si="6"/>
        <v>0.97094861787879438</v>
      </c>
      <c r="AD56">
        <f t="shared" ca="1" si="7"/>
        <v>20.070948617878795</v>
      </c>
      <c r="AE56">
        <f ca="1">C56*60/AD56</f>
        <v>46.634567095958289</v>
      </c>
    </row>
    <row r="57" spans="1:31" x14ac:dyDescent="0.45">
      <c r="A57">
        <f t="shared" ca="1" si="0"/>
        <v>22</v>
      </c>
      <c r="B57" s="3">
        <v>6521</v>
      </c>
      <c r="C57">
        <f t="shared" ca="1" si="1"/>
        <v>15.3</v>
      </c>
      <c r="D57">
        <v>40.909999999999997</v>
      </c>
      <c r="E57" s="8">
        <v>0.3</v>
      </c>
      <c r="F57" s="19">
        <f t="shared" si="8"/>
        <v>1.2008501594048886</v>
      </c>
      <c r="G57" s="19">
        <f t="shared" si="10"/>
        <v>3.976278670760339</v>
      </c>
      <c r="H57" s="19">
        <f t="shared" ca="1" si="11"/>
        <v>3.3796481743022784</v>
      </c>
      <c r="I57" s="19">
        <f t="shared" si="12"/>
        <v>49.967391442745878</v>
      </c>
      <c r="J57" s="8">
        <v>0.3</v>
      </c>
      <c r="K57" s="19">
        <f t="shared" si="13"/>
        <v>130</v>
      </c>
      <c r="L57" s="3">
        <f t="shared" si="14"/>
        <v>6500</v>
      </c>
      <c r="M57" s="3">
        <f t="shared" si="9"/>
        <v>7</v>
      </c>
      <c r="N57">
        <f t="shared" ca="1" si="3"/>
        <v>0.25218900307768854</v>
      </c>
      <c r="O57">
        <v>61.3</v>
      </c>
      <c r="P57">
        <v>7.26</v>
      </c>
      <c r="Q57">
        <v>7.85</v>
      </c>
      <c r="S57">
        <v>12.4</v>
      </c>
      <c r="T57">
        <v>7.19</v>
      </c>
      <c r="W57">
        <f ca="1">X57-A57-AA57</f>
        <v>20.659108590849314</v>
      </c>
      <c r="X57">
        <f t="shared" ca="1" si="4"/>
        <v>47.159108590849314</v>
      </c>
      <c r="Y57">
        <f ca="1">C57/X57*60</f>
        <v>19.466016797826569</v>
      </c>
      <c r="Z57">
        <v>11.1928571428571</v>
      </c>
      <c r="AA57">
        <v>4.5</v>
      </c>
      <c r="AB57">
        <f t="shared" ca="1" si="5"/>
        <v>19.2</v>
      </c>
      <c r="AC57">
        <f t="shared" ca="1" si="6"/>
        <v>0.26601679782656995</v>
      </c>
      <c r="AD57">
        <f t="shared" ca="1" si="7"/>
        <v>19.466016797826569</v>
      </c>
      <c r="AE57">
        <f ca="1">C57*60/AD57</f>
        <v>47.159108590849314</v>
      </c>
    </row>
    <row r="58" spans="1:31" x14ac:dyDescent="0.45">
      <c r="A58">
        <f t="shared" ca="1" si="0"/>
        <v>22</v>
      </c>
      <c r="B58" s="3">
        <v>6329</v>
      </c>
      <c r="C58">
        <f t="shared" ca="1" si="1"/>
        <v>14.6</v>
      </c>
      <c r="D58">
        <v>42.63</v>
      </c>
      <c r="E58" s="8">
        <v>0.3</v>
      </c>
      <c r="F58" s="19">
        <f t="shared" si="8"/>
        <v>1.2008501594048886</v>
      </c>
      <c r="G58" s="19">
        <f t="shared" si="10"/>
        <v>4.1224336283185838</v>
      </c>
      <c r="H58" s="19">
        <f t="shared" ca="1" si="11"/>
        <v>3.2250237480270103</v>
      </c>
      <c r="I58" s="19">
        <f t="shared" si="12"/>
        <v>51.804028806548715</v>
      </c>
      <c r="J58" s="8">
        <v>0.3</v>
      </c>
      <c r="K58" s="19">
        <f t="shared" si="13"/>
        <v>122</v>
      </c>
      <c r="L58" s="3">
        <f t="shared" si="14"/>
        <v>6300</v>
      </c>
      <c r="M58" s="3">
        <f t="shared" si="9"/>
        <v>10</v>
      </c>
      <c r="N58">
        <f t="shared" ca="1" si="3"/>
        <v>0.31879019164164912</v>
      </c>
      <c r="O58">
        <v>62</v>
      </c>
      <c r="P58">
        <v>9.81</v>
      </c>
      <c r="Q58">
        <v>5.63</v>
      </c>
      <c r="S58">
        <v>13</v>
      </c>
      <c r="T58">
        <v>7.35</v>
      </c>
      <c r="W58">
        <f ca="1">X58-A58-AA58</f>
        <v>17.723255445547537</v>
      </c>
      <c r="X58">
        <f t="shared" ca="1" si="4"/>
        <v>44.223255445547537</v>
      </c>
      <c r="Y58">
        <f ca="1">C58/X58*60</f>
        <v>19.808582411546482</v>
      </c>
      <c r="Z58">
        <v>12.721621621621599</v>
      </c>
      <c r="AA58">
        <v>4.5</v>
      </c>
      <c r="AB58">
        <f t="shared" ca="1" si="5"/>
        <v>19</v>
      </c>
      <c r="AC58">
        <f t="shared" ca="1" si="6"/>
        <v>0.80858241154647947</v>
      </c>
      <c r="AD58">
        <f t="shared" ca="1" si="7"/>
        <v>19.808582411546478</v>
      </c>
      <c r="AE58">
        <f ca="1">C58*60/AD58</f>
        <v>44.223255445547537</v>
      </c>
    </row>
    <row r="59" spans="1:31" x14ac:dyDescent="0.45">
      <c r="A59">
        <f t="shared" ca="1" si="0"/>
        <v>18</v>
      </c>
      <c r="B59" s="3">
        <v>6547</v>
      </c>
      <c r="C59">
        <f t="shared" ca="1" si="1"/>
        <v>14.6</v>
      </c>
      <c r="D59">
        <v>35.61</v>
      </c>
      <c r="E59" s="8">
        <v>0.3</v>
      </c>
      <c r="F59" s="19">
        <f t="shared" si="8"/>
        <v>1.2008501594048886</v>
      </c>
      <c r="G59" s="19">
        <f t="shared" si="10"/>
        <v>3.5259174643308646</v>
      </c>
      <c r="H59" s="19">
        <f t="shared" ca="1" si="11"/>
        <v>3.2250237480270103</v>
      </c>
      <c r="I59" s="19">
        <f t="shared" si="12"/>
        <v>44.307985612423181</v>
      </c>
      <c r="J59" s="8">
        <v>0.3</v>
      </c>
      <c r="K59" s="19">
        <f t="shared" si="13"/>
        <v>147</v>
      </c>
      <c r="L59" s="3">
        <f t="shared" si="14"/>
        <v>6500</v>
      </c>
      <c r="M59" s="3">
        <f t="shared" si="9"/>
        <v>7</v>
      </c>
      <c r="N59">
        <f t="shared" ca="1" si="3"/>
        <v>0.22416127193670374</v>
      </c>
      <c r="O59">
        <v>62.5</v>
      </c>
      <c r="P59">
        <v>6.89</v>
      </c>
      <c r="Q59">
        <v>7.84</v>
      </c>
      <c r="S59">
        <v>12.12</v>
      </c>
      <c r="T59">
        <v>7.38</v>
      </c>
      <c r="W59">
        <f ca="1">X59-A59-AA59</f>
        <v>21.145490293873912</v>
      </c>
      <c r="X59">
        <f t="shared" ca="1" si="4"/>
        <v>43.645490293873912</v>
      </c>
      <c r="Y59">
        <f ca="1">C59/X59*60</f>
        <v>20.070802140191688</v>
      </c>
      <c r="Z59">
        <v>12.8827586206897</v>
      </c>
      <c r="AA59">
        <v>4.5</v>
      </c>
      <c r="AB59">
        <f t="shared" ca="1" si="5"/>
        <v>19.3</v>
      </c>
      <c r="AC59">
        <f t="shared" ca="1" si="6"/>
        <v>0.77080214019168569</v>
      </c>
      <c r="AD59">
        <f t="shared" ca="1" si="7"/>
        <v>20.070802140191688</v>
      </c>
      <c r="AE59">
        <f ca="1">C59*60/AD59</f>
        <v>43.645490293873912</v>
      </c>
    </row>
    <row r="60" spans="1:31" s="2" customFormat="1" x14ac:dyDescent="0.45">
      <c r="A60" s="2">
        <f t="shared" ca="1" si="0"/>
        <v>20</v>
      </c>
      <c r="B60" s="4">
        <v>6566</v>
      </c>
      <c r="C60" s="2">
        <f t="shared" ca="1" si="1"/>
        <v>15.6</v>
      </c>
      <c r="D60" s="2">
        <v>33.19</v>
      </c>
      <c r="E60" s="9">
        <v>0.3</v>
      </c>
      <c r="F60" s="19">
        <f t="shared" si="8"/>
        <v>1.2008501594048886</v>
      </c>
      <c r="G60" s="19">
        <f t="shared" si="10"/>
        <v>3.3202808379989155</v>
      </c>
      <c r="H60" s="19">
        <f t="shared" ca="1" si="11"/>
        <v>3.4459157855631068</v>
      </c>
      <c r="I60" s="19">
        <f t="shared" si="12"/>
        <v>41.723879554049418</v>
      </c>
      <c r="J60" s="9">
        <v>0.3</v>
      </c>
      <c r="K60" s="19">
        <f t="shared" si="13"/>
        <v>158</v>
      </c>
      <c r="L60" s="3">
        <f t="shared" si="14"/>
        <v>6600</v>
      </c>
      <c r="M60" s="3">
        <f t="shared" si="9"/>
        <v>9</v>
      </c>
      <c r="N60" s="2">
        <f t="shared" ca="1" si="3"/>
        <v>0.21968436058379381</v>
      </c>
      <c r="O60" s="2">
        <v>53.5</v>
      </c>
      <c r="P60" s="2">
        <v>9.41</v>
      </c>
      <c r="Q60" s="2">
        <v>0.11</v>
      </c>
      <c r="S60" s="2">
        <v>12.16</v>
      </c>
      <c r="T60" s="2">
        <v>7.45</v>
      </c>
      <c r="W60" s="2">
        <f ca="1">X60-A60-AA60</f>
        <v>21.439851191425497</v>
      </c>
      <c r="X60" s="2">
        <f t="shared" ca="1" si="4"/>
        <v>45.939851191425497</v>
      </c>
      <c r="Y60" s="2">
        <f ca="1">C60/X60*60</f>
        <v>20.374467389974935</v>
      </c>
      <c r="Z60" s="2">
        <v>10.4966292134831</v>
      </c>
      <c r="AA60" s="2">
        <v>4.5</v>
      </c>
      <c r="AB60" s="2">
        <f t="shared" ca="1" si="5"/>
        <v>19.399999999999999</v>
      </c>
      <c r="AC60" s="2">
        <f t="shared" ca="1" si="6"/>
        <v>0.97446738997493498</v>
      </c>
      <c r="AD60" s="2">
        <f t="shared" ca="1" si="7"/>
        <v>20.374467389974935</v>
      </c>
      <c r="AE60" s="2">
        <f ca="1">C60*60/AD60</f>
        <v>45.939851191425497</v>
      </c>
    </row>
    <row r="61" spans="1:31" x14ac:dyDescent="0.45">
      <c r="A61">
        <f t="shared" ca="1" si="0"/>
        <v>18</v>
      </c>
      <c r="B61" s="3">
        <v>6487</v>
      </c>
      <c r="C61">
        <f t="shared" ca="1" si="1"/>
        <v>15.8</v>
      </c>
      <c r="D61">
        <v>28.3</v>
      </c>
      <c r="E61" s="8">
        <v>0.3</v>
      </c>
      <c r="F61" s="19">
        <f t="shared" si="8"/>
        <v>1.2008501594048886</v>
      </c>
      <c r="G61" s="19">
        <f t="shared" si="10"/>
        <v>2.9047588947083254</v>
      </c>
      <c r="H61" s="19">
        <f t="shared" ca="1" si="11"/>
        <v>3.4900941930703269</v>
      </c>
      <c r="I61" s="19">
        <f t="shared" si="12"/>
        <v>36.50227681626113</v>
      </c>
      <c r="J61" s="8">
        <v>0.3</v>
      </c>
      <c r="K61" s="19">
        <f t="shared" si="13"/>
        <v>178</v>
      </c>
      <c r="L61" s="3">
        <f t="shared" si="14"/>
        <v>6500</v>
      </c>
      <c r="M61" s="3">
        <f t="shared" si="9"/>
        <v>6</v>
      </c>
      <c r="N61">
        <f t="shared" ca="1" si="3"/>
        <v>0.22038232074818381</v>
      </c>
      <c r="O61">
        <v>52.68</v>
      </c>
      <c r="P61">
        <v>6.13</v>
      </c>
      <c r="Q61">
        <v>0.12</v>
      </c>
      <c r="S61">
        <v>12.99</v>
      </c>
      <c r="T61">
        <v>7.15</v>
      </c>
      <c r="W61">
        <f ca="1">X61-A61-AA61</f>
        <v>26.499403310454191</v>
      </c>
      <c r="X61">
        <f t="shared" ca="1" si="4"/>
        <v>48.999403310454191</v>
      </c>
      <c r="Y61">
        <f ca="1">C61/X61*60</f>
        <v>19.347174372585492</v>
      </c>
      <c r="Z61">
        <v>9.2529411764705891</v>
      </c>
      <c r="AA61">
        <v>4.5</v>
      </c>
      <c r="AB61">
        <f t="shared" ca="1" si="5"/>
        <v>19.2</v>
      </c>
      <c r="AC61">
        <f t="shared" ca="1" si="6"/>
        <v>0.14717437258549415</v>
      </c>
      <c r="AD61">
        <f t="shared" ca="1" si="7"/>
        <v>19.347174372585492</v>
      </c>
      <c r="AE61">
        <f ca="1">C61*60/AD61</f>
        <v>48.999403310454191</v>
      </c>
    </row>
    <row r="62" spans="1:31" x14ac:dyDescent="0.45">
      <c r="A62">
        <f t="shared" ca="1" si="0"/>
        <v>21</v>
      </c>
      <c r="B62" s="3">
        <v>6513</v>
      </c>
      <c r="C62">
        <f t="shared" ca="1" si="1"/>
        <v>16</v>
      </c>
      <c r="D62">
        <v>34.58</v>
      </c>
      <c r="E62" s="8">
        <v>0.3</v>
      </c>
      <c r="F62" s="19">
        <f t="shared" si="8"/>
        <v>1.2008501594048886</v>
      </c>
      <c r="G62" s="19">
        <f t="shared" si="10"/>
        <v>3.4383944374209854</v>
      </c>
      <c r="H62" s="19">
        <f t="shared" ca="1" si="11"/>
        <v>3.5342726005775456</v>
      </c>
      <c r="I62" s="19">
        <f t="shared" si="12"/>
        <v>43.208138818983109</v>
      </c>
      <c r="J62" s="8">
        <v>0.3</v>
      </c>
      <c r="K62" s="19">
        <f t="shared" si="13"/>
        <v>150</v>
      </c>
      <c r="L62" s="3">
        <f t="shared" si="14"/>
        <v>6500</v>
      </c>
      <c r="M62" s="3">
        <f t="shared" si="9"/>
        <v>13</v>
      </c>
      <c r="N62">
        <f t="shared" ca="1" si="3"/>
        <v>0.27792948704204212</v>
      </c>
      <c r="O62">
        <v>60.21</v>
      </c>
      <c r="P62">
        <v>12.83</v>
      </c>
      <c r="Q62">
        <v>12.13</v>
      </c>
      <c r="S62">
        <v>13.24</v>
      </c>
      <c r="T62">
        <v>7.27</v>
      </c>
      <c r="W62">
        <f ca="1">X62-A62-AA62</f>
        <v>21.480268479382055</v>
      </c>
      <c r="X62">
        <f t="shared" ca="1" si="4"/>
        <v>46.980268479382055</v>
      </c>
      <c r="Y62">
        <f ca="1">C62/X62*60</f>
        <v>20.434110554760014</v>
      </c>
      <c r="Z62">
        <v>13.8</v>
      </c>
      <c r="AA62">
        <v>4.5</v>
      </c>
      <c r="AB62">
        <f t="shared" ca="1" si="5"/>
        <v>20</v>
      </c>
      <c r="AC62">
        <f t="shared" ca="1" si="6"/>
        <v>0.43411055476001381</v>
      </c>
      <c r="AD62">
        <f t="shared" ca="1" si="7"/>
        <v>20.434110554760014</v>
      </c>
      <c r="AE62">
        <f ca="1">C62*60/AD62</f>
        <v>46.980268479382055</v>
      </c>
    </row>
    <row r="63" spans="1:31" x14ac:dyDescent="0.45">
      <c r="A63">
        <f t="shared" ca="1" si="0"/>
        <v>18</v>
      </c>
      <c r="B63" s="3">
        <v>6318</v>
      </c>
      <c r="C63">
        <f t="shared" ca="1" si="1"/>
        <v>15.2</v>
      </c>
      <c r="D63">
        <v>38.26</v>
      </c>
      <c r="E63" s="8">
        <v>0.3</v>
      </c>
      <c r="F63" s="19">
        <f t="shared" si="8"/>
        <v>1.2008501594048886</v>
      </c>
      <c r="G63" s="19">
        <f t="shared" si="10"/>
        <v>3.7510980675456014</v>
      </c>
      <c r="H63" s="19">
        <f t="shared" ca="1" si="11"/>
        <v>3.3575589705486681</v>
      </c>
      <c r="I63" s="19">
        <f t="shared" si="12"/>
        <v>47.137688527584523</v>
      </c>
      <c r="J63" s="8">
        <v>0.3</v>
      </c>
      <c r="K63" s="19">
        <f t="shared" si="13"/>
        <v>134</v>
      </c>
      <c r="L63" s="3">
        <f t="shared" si="14"/>
        <v>6300</v>
      </c>
      <c r="M63" s="3">
        <f t="shared" si="9"/>
        <v>4</v>
      </c>
      <c r="N63">
        <f t="shared" ca="1" si="3"/>
        <v>0.26404205159062633</v>
      </c>
      <c r="O63">
        <v>60.52</v>
      </c>
      <c r="P63">
        <v>3.93</v>
      </c>
      <c r="Q63">
        <v>4.71</v>
      </c>
      <c r="S63">
        <v>12.98</v>
      </c>
      <c r="T63">
        <v>7.35</v>
      </c>
      <c r="W63">
        <f ca="1">X63-A63-AA63</f>
        <v>21.32236121513256</v>
      </c>
      <c r="X63">
        <f t="shared" ca="1" si="4"/>
        <v>43.82236121513256</v>
      </c>
      <c r="Y63">
        <f ca="1">C63/X63*60</f>
        <v>20.811293018256439</v>
      </c>
      <c r="Z63">
        <v>10.725</v>
      </c>
      <c r="AA63">
        <v>4.5</v>
      </c>
      <c r="AB63">
        <f t="shared" ca="1" si="5"/>
        <v>19.899999999999999</v>
      </c>
      <c r="AC63">
        <f t="shared" ca="1" si="6"/>
        <v>0.91129301825643938</v>
      </c>
      <c r="AD63">
        <f t="shared" ca="1" si="7"/>
        <v>20.811293018256439</v>
      </c>
      <c r="AE63">
        <f ca="1">C63*60/AD63</f>
        <v>43.82236121513256</v>
      </c>
    </row>
    <row r="64" spans="1:31" x14ac:dyDescent="0.45">
      <c r="A64">
        <f t="shared" ca="1" si="0"/>
        <v>22</v>
      </c>
      <c r="B64" s="3">
        <v>6466</v>
      </c>
      <c r="C64">
        <f t="shared" ca="1" si="1"/>
        <v>15.2</v>
      </c>
      <c r="D64">
        <v>33.94</v>
      </c>
      <c r="E64" s="8">
        <v>0.3</v>
      </c>
      <c r="F64" s="19">
        <f t="shared" si="8"/>
        <v>1.2008501594048886</v>
      </c>
      <c r="G64" s="19">
        <f t="shared" si="10"/>
        <v>3.384011197399313</v>
      </c>
      <c r="H64" s="19">
        <f t="shared" ca="1" si="11"/>
        <v>3.3575589705486681</v>
      </c>
      <c r="I64" s="19">
        <f t="shared" si="12"/>
        <v>42.524738869661121</v>
      </c>
      <c r="J64" s="8">
        <v>0.3</v>
      </c>
      <c r="K64" s="19">
        <f t="shared" si="13"/>
        <v>153</v>
      </c>
      <c r="L64" s="3">
        <f t="shared" si="14"/>
        <v>6500</v>
      </c>
      <c r="M64" s="3">
        <f t="shared" si="9"/>
        <v>14</v>
      </c>
      <c r="N64">
        <f t="shared" ca="1" si="3"/>
        <v>0.22873208621677002</v>
      </c>
      <c r="O64">
        <v>60.14</v>
      </c>
      <c r="P64">
        <v>14.16</v>
      </c>
      <c r="Q64">
        <v>13.14</v>
      </c>
      <c r="S64">
        <v>12.11</v>
      </c>
      <c r="T64">
        <v>7.37</v>
      </c>
      <c r="W64">
        <f ca="1">X64-A64-AA64</f>
        <v>20.722934321981782</v>
      </c>
      <c r="X64">
        <f t="shared" ca="1" si="4"/>
        <v>47.222934321981782</v>
      </c>
      <c r="Y64">
        <f ca="1">C64/X64*60</f>
        <v>19.312649946351883</v>
      </c>
      <c r="Z64">
        <v>11.827500000000001</v>
      </c>
      <c r="AA64">
        <v>4.5</v>
      </c>
      <c r="AB64">
        <f t="shared" ca="1" si="5"/>
        <v>19.2</v>
      </c>
      <c r="AC64">
        <f t="shared" ca="1" si="6"/>
        <v>0.11264994635188441</v>
      </c>
      <c r="AD64">
        <f t="shared" ca="1" si="7"/>
        <v>19.312649946351883</v>
      </c>
      <c r="AE64">
        <f ca="1">C64*60/AD64</f>
        <v>47.222934321981782</v>
      </c>
    </row>
    <row r="65" spans="1:31" s="2" customFormat="1" x14ac:dyDescent="0.45">
      <c r="A65" s="2">
        <f t="shared" ca="1" si="0"/>
        <v>20</v>
      </c>
      <c r="B65" s="7">
        <v>6963</v>
      </c>
      <c r="C65" s="6">
        <f t="shared" ca="1" si="1"/>
        <v>16.3</v>
      </c>
      <c r="D65" s="6">
        <v>39.72</v>
      </c>
      <c r="E65" s="10">
        <v>0.3</v>
      </c>
      <c r="F65" s="19">
        <f t="shared" si="8"/>
        <v>1.2008501594048886</v>
      </c>
      <c r="G65" s="19">
        <f t="shared" si="10"/>
        <v>3.8751598338450415</v>
      </c>
      <c r="H65" s="19">
        <f t="shared" ca="1" si="11"/>
        <v>3.6005402118383749</v>
      </c>
      <c r="I65" s="19">
        <f t="shared" si="12"/>
        <v>48.6966946619753</v>
      </c>
      <c r="J65" s="10">
        <v>0.3</v>
      </c>
      <c r="K65" s="19">
        <f t="shared" si="13"/>
        <v>144</v>
      </c>
      <c r="L65" s="3">
        <f t="shared" si="14"/>
        <v>7000</v>
      </c>
      <c r="M65" s="3">
        <f t="shared" si="9"/>
        <v>11</v>
      </c>
      <c r="N65" s="6">
        <f t="shared" ca="1" si="3"/>
        <v>0.21299376242635912</v>
      </c>
      <c r="O65" s="6">
        <v>52.6</v>
      </c>
      <c r="P65" s="6">
        <v>11.22</v>
      </c>
      <c r="Q65" s="6">
        <v>13.52</v>
      </c>
      <c r="S65" s="6">
        <v>12.22</v>
      </c>
      <c r="T65" s="6">
        <v>7.2</v>
      </c>
      <c r="W65" s="2">
        <f ca="1">X65-A65-AA65</f>
        <v>23.568765314128036</v>
      </c>
      <c r="X65" s="2">
        <f t="shared" ca="1" si="4"/>
        <v>48.068765314128036</v>
      </c>
      <c r="Y65" s="2">
        <f ca="1">C65/X65*60</f>
        <v>20.34585231405045</v>
      </c>
      <c r="Z65" s="2">
        <v>12.4342105263158</v>
      </c>
      <c r="AA65" s="2">
        <v>4.5</v>
      </c>
      <c r="AB65" s="2">
        <f t="shared" ca="1" si="5"/>
        <v>19.5</v>
      </c>
      <c r="AC65" s="2">
        <f t="shared" ca="1" si="6"/>
        <v>0.84585231405044936</v>
      </c>
      <c r="AD65" s="2">
        <f t="shared" ca="1" si="7"/>
        <v>20.34585231405045</v>
      </c>
      <c r="AE65" s="2">
        <f ca="1">C65*60/AD65</f>
        <v>48.068765314128036</v>
      </c>
    </row>
    <row r="66" spans="1:31" x14ac:dyDescent="0.45">
      <c r="A66">
        <f t="shared" ca="1" si="0"/>
        <v>19</v>
      </c>
      <c r="B66" s="3">
        <v>6589</v>
      </c>
      <c r="C66">
        <f t="shared" ca="1" si="1"/>
        <v>15.8</v>
      </c>
      <c r="D66">
        <v>39.39</v>
      </c>
      <c r="E66" s="8">
        <v>0.3</v>
      </c>
      <c r="F66" s="19">
        <f t="shared" si="8"/>
        <v>1.2008501594048886</v>
      </c>
      <c r="G66" s="19">
        <f t="shared" si="10"/>
        <v>3.847118475708867</v>
      </c>
      <c r="H66" s="19">
        <f t="shared" ca="1" si="11"/>
        <v>3.4900941930703269</v>
      </c>
      <c r="I66" s="19">
        <f t="shared" si="12"/>
        <v>48.344316563106155</v>
      </c>
      <c r="J66" s="8">
        <v>0.3</v>
      </c>
      <c r="K66" s="19">
        <f t="shared" si="13"/>
        <v>137</v>
      </c>
      <c r="L66" s="3">
        <f t="shared" si="14"/>
        <v>6600</v>
      </c>
      <c r="M66" s="3">
        <f t="shared" si="9"/>
        <v>14</v>
      </c>
      <c r="N66">
        <f t="shared" ca="1" si="3"/>
        <v>0.23122282923423187</v>
      </c>
      <c r="O66">
        <v>55</v>
      </c>
      <c r="P66">
        <v>14.12</v>
      </c>
      <c r="Q66">
        <v>12.4</v>
      </c>
      <c r="S66">
        <v>12.79</v>
      </c>
      <c r="T66">
        <v>7.13</v>
      </c>
      <c r="W66">
        <f ca="1">X66-A66-AA66</f>
        <v>24.478551788095032</v>
      </c>
      <c r="X66">
        <f t="shared" ca="1" si="4"/>
        <v>47.978551788095032</v>
      </c>
      <c r="Y66">
        <f ca="1">C66/X66*60</f>
        <v>19.758828990649697</v>
      </c>
      <c r="Z66">
        <v>11.835000000000001</v>
      </c>
      <c r="AA66">
        <v>4.5</v>
      </c>
      <c r="AB66">
        <f t="shared" ca="1" si="5"/>
        <v>19.399999999999999</v>
      </c>
      <c r="AC66">
        <f t="shared" ca="1" si="6"/>
        <v>0.35882899064969831</v>
      </c>
      <c r="AD66">
        <f t="shared" ca="1" si="7"/>
        <v>19.758828990649697</v>
      </c>
      <c r="AE66">
        <f ca="1">C66*60/AD66</f>
        <v>47.978551788095032</v>
      </c>
    </row>
    <row r="67" spans="1:31" s="2" customFormat="1" x14ac:dyDescent="0.45">
      <c r="A67" s="2">
        <f t="shared" ca="1" si="0"/>
        <v>22</v>
      </c>
      <c r="B67" s="4">
        <v>6339</v>
      </c>
      <c r="C67" s="2">
        <f t="shared" ca="1" si="1"/>
        <v>16</v>
      </c>
      <c r="D67" s="2">
        <v>43.07</v>
      </c>
      <c r="E67" s="9">
        <v>0.3</v>
      </c>
      <c r="F67" s="19">
        <f t="shared" si="8"/>
        <v>1.2008501594048886</v>
      </c>
      <c r="G67" s="19">
        <f t="shared" si="10"/>
        <v>4.1598221058334826</v>
      </c>
      <c r="H67" s="19">
        <f t="shared" ca="1" si="11"/>
        <v>3.5342726005775456</v>
      </c>
      <c r="I67" s="19">
        <f t="shared" si="12"/>
        <v>52.273866271707568</v>
      </c>
      <c r="J67" s="9">
        <v>0.3</v>
      </c>
      <c r="K67" s="19">
        <f t="shared" si="13"/>
        <v>121</v>
      </c>
      <c r="L67" s="3">
        <f t="shared" ref="L67:L130" si="15">ROUND(B67/100,0)*100</f>
        <v>6300</v>
      </c>
      <c r="M67" s="3">
        <f t="shared" si="9"/>
        <v>10</v>
      </c>
      <c r="N67" s="2">
        <f t="shared" ca="1" si="3"/>
        <v>0.21162979201357285</v>
      </c>
      <c r="O67" s="2">
        <v>52.1</v>
      </c>
      <c r="P67" s="2">
        <v>10.050000000000001</v>
      </c>
      <c r="Q67" s="2">
        <v>8.6</v>
      </c>
      <c r="S67" s="2">
        <v>11.97</v>
      </c>
      <c r="T67" s="2">
        <v>7.16</v>
      </c>
      <c r="W67" s="2">
        <f ca="1">X67-A67-AA67</f>
        <v>22.728368979786701</v>
      </c>
      <c r="X67" s="2">
        <f t="shared" ca="1" si="4"/>
        <v>49.228368979786701</v>
      </c>
      <c r="Y67" s="2">
        <f ca="1">C67/X67*60</f>
        <v>19.500950770767535</v>
      </c>
      <c r="Z67" s="2">
        <v>13.8268656716418</v>
      </c>
      <c r="AA67" s="2">
        <v>4.5</v>
      </c>
      <c r="AB67" s="2">
        <f t="shared" ca="1" si="5"/>
        <v>19.5</v>
      </c>
      <c r="AC67" s="2">
        <f t="shared" ca="1" si="6"/>
        <v>9.5077076753358192E-4</v>
      </c>
      <c r="AD67" s="2">
        <f t="shared" ca="1" si="7"/>
        <v>19.500950770767535</v>
      </c>
      <c r="AE67" s="2">
        <f ca="1">C67*60/AD67</f>
        <v>49.228368979786701</v>
      </c>
    </row>
    <row r="68" spans="1:31" x14ac:dyDescent="0.45">
      <c r="A68">
        <f t="shared" ref="A68:A131" ca="1" si="16">RANDBETWEEN(16,22)</f>
        <v>18</v>
      </c>
      <c r="B68" s="3">
        <v>5410</v>
      </c>
      <c r="C68">
        <f t="shared" ref="C68:C131" ca="1" si="17">RANDBETWEEN(145,165)/10</f>
        <v>15</v>
      </c>
      <c r="D68">
        <v>39.049999999999997</v>
      </c>
      <c r="E68" s="8">
        <v>0.3</v>
      </c>
      <c r="F68" s="19">
        <f t="shared" si="8"/>
        <v>1.2008501594048886</v>
      </c>
      <c r="G68" s="19">
        <f t="shared" si="10"/>
        <v>3.8182273794473534</v>
      </c>
      <c r="H68" s="19">
        <f t="shared" ca="1" si="11"/>
        <v>3.313380563041449</v>
      </c>
      <c r="I68" s="19">
        <f t="shared" si="12"/>
        <v>47.981260340028854</v>
      </c>
      <c r="J68" s="8">
        <v>0.3</v>
      </c>
      <c r="K68" s="19">
        <f t="shared" si="13"/>
        <v>113</v>
      </c>
      <c r="L68" s="3">
        <f t="shared" si="15"/>
        <v>5400</v>
      </c>
      <c r="M68" s="3">
        <f t="shared" si="9"/>
        <v>10</v>
      </c>
      <c r="N68">
        <f t="shared" ref="N68:N131" ca="1" si="18">(S68-T68)/W68</f>
        <v>0.2561004375985787</v>
      </c>
      <c r="O68">
        <v>50.6</v>
      </c>
      <c r="P68">
        <v>9.52</v>
      </c>
      <c r="Q68">
        <v>11.83</v>
      </c>
      <c r="S68">
        <v>12.68</v>
      </c>
      <c r="T68">
        <v>7.14</v>
      </c>
      <c r="W68">
        <f ca="1">X68-A68-AA68</f>
        <v>21.632137968790204</v>
      </c>
      <c r="X68">
        <f t="shared" ref="X68:X131" ca="1" si="19">AE68</f>
        <v>44.132137968790204</v>
      </c>
      <c r="Y68">
        <f ca="1">C68/X68*60</f>
        <v>20.393301603390952</v>
      </c>
      <c r="Z68">
        <v>14.268750000000001</v>
      </c>
      <c r="AA68">
        <v>4.5</v>
      </c>
      <c r="AB68">
        <f t="shared" ref="AB68:AB131" ca="1" si="20">RANDBETWEEN(190,200)/10</f>
        <v>20</v>
      </c>
      <c r="AC68">
        <f t="shared" ref="AC68:AC131" ca="1" si="21">RAND()</f>
        <v>0.39330160339095166</v>
      </c>
      <c r="AD68">
        <f t="shared" ref="AD68:AD131" ca="1" si="22">AB68+AC68</f>
        <v>20.393301603390952</v>
      </c>
      <c r="AE68">
        <f ca="1">C68*60/AD68</f>
        <v>44.132137968790204</v>
      </c>
    </row>
    <row r="69" spans="1:31" x14ac:dyDescent="0.45">
      <c r="A69">
        <f t="shared" ca="1" si="16"/>
        <v>16</v>
      </c>
      <c r="B69" s="3">
        <v>4896</v>
      </c>
      <c r="C69">
        <f t="shared" ca="1" si="17"/>
        <v>16.5</v>
      </c>
      <c r="D69">
        <v>32.619999999999997</v>
      </c>
      <c r="E69" s="8">
        <v>0.3</v>
      </c>
      <c r="F69" s="19">
        <f t="shared" ref="F69:F132" si="23">1/(E69/2.26+1-E69)</f>
        <v>1.2008501594048886</v>
      </c>
      <c r="G69" s="19">
        <f t="shared" si="10"/>
        <v>3.2718457648546133</v>
      </c>
      <c r="H69" s="19">
        <f t="shared" ca="1" si="11"/>
        <v>3.6447186193455936</v>
      </c>
      <c r="I69" s="19">
        <f t="shared" si="12"/>
        <v>41.115226474184524</v>
      </c>
      <c r="J69" s="8">
        <v>0.3</v>
      </c>
      <c r="K69" s="19">
        <f t="shared" si="13"/>
        <v>119</v>
      </c>
      <c r="L69" s="3">
        <f t="shared" si="15"/>
        <v>4900</v>
      </c>
      <c r="M69" s="3">
        <f t="shared" ref="M69:M132" si="24">ROUND(P69,0)</f>
        <v>2</v>
      </c>
      <c r="N69">
        <f t="shared" ca="1" si="18"/>
        <v>0.1691135945611319</v>
      </c>
      <c r="O69">
        <v>51.2</v>
      </c>
      <c r="P69">
        <v>2.3199999999999998</v>
      </c>
      <c r="Q69">
        <v>4.1500000000000004</v>
      </c>
      <c r="S69">
        <v>12.37</v>
      </c>
      <c r="T69">
        <v>7.2</v>
      </c>
      <c r="W69">
        <f ca="1">X69-A69-AA69</f>
        <v>30.571167347111917</v>
      </c>
      <c r="X69">
        <f t="shared" ca="1" si="19"/>
        <v>51.071167347111917</v>
      </c>
      <c r="Y69">
        <f ca="1">C69/X69*60</f>
        <v>19.384714535137498</v>
      </c>
      <c r="Z69">
        <v>5.1862068965517203</v>
      </c>
      <c r="AA69">
        <v>4.5</v>
      </c>
      <c r="AB69">
        <f t="shared" ca="1" si="20"/>
        <v>19.2</v>
      </c>
      <c r="AC69">
        <f t="shared" ca="1" si="21"/>
        <v>0.18471453513749725</v>
      </c>
      <c r="AD69">
        <f t="shared" ca="1" si="22"/>
        <v>19.384714535137498</v>
      </c>
      <c r="AE69">
        <f ca="1">C69*60/AD69</f>
        <v>51.071167347111917</v>
      </c>
    </row>
    <row r="70" spans="1:31" x14ac:dyDescent="0.45">
      <c r="A70">
        <f t="shared" ca="1" si="16"/>
        <v>22</v>
      </c>
      <c r="B70" s="3">
        <v>4286</v>
      </c>
      <c r="C70">
        <f t="shared" ca="1" si="17"/>
        <v>16.399999999999999</v>
      </c>
      <c r="D70">
        <v>35.76</v>
      </c>
      <c r="E70" s="8">
        <v>0.3</v>
      </c>
      <c r="F70" s="19">
        <f t="shared" si="23"/>
        <v>1.2008501594048886</v>
      </c>
      <c r="G70" s="19">
        <f t="shared" ref="G70:G133" si="25">D70/9.8/F70+0.5</f>
        <v>3.5386635362109438</v>
      </c>
      <c r="H70" s="19">
        <f t="shared" ref="H70:H133" ca="1" si="26">C70/E70/F70/(4*PI())</f>
        <v>3.6226294155919843</v>
      </c>
      <c r="I70" s="19">
        <f t="shared" ref="I70:I133" si="27">G70*4*4/4*PI()</f>
        <v>44.468157475545517</v>
      </c>
      <c r="J70" s="8">
        <v>0.3</v>
      </c>
      <c r="K70" s="19">
        <f t="shared" ref="K70:K133" si="28">ROUND(L70/I70,0)</f>
        <v>97</v>
      </c>
      <c r="L70" s="3">
        <f t="shared" si="15"/>
        <v>4300</v>
      </c>
      <c r="M70" s="3">
        <f t="shared" si="24"/>
        <v>6</v>
      </c>
      <c r="N70">
        <f t="shared" ca="1" si="18"/>
        <v>0.23127346945301799</v>
      </c>
      <c r="O70">
        <v>56</v>
      </c>
      <c r="P70">
        <v>6.49</v>
      </c>
      <c r="Q70">
        <v>14.55</v>
      </c>
      <c r="S70">
        <v>12.37</v>
      </c>
      <c r="T70">
        <v>7.21</v>
      </c>
      <c r="W70">
        <f ca="1">X70-A70-AA70</f>
        <v>22.311249155399672</v>
      </c>
      <c r="X70">
        <f t="shared" ca="1" si="19"/>
        <v>48.811249155399672</v>
      </c>
      <c r="Y70">
        <f ca="1">C70/X70*60</f>
        <v>20.15928739842845</v>
      </c>
      <c r="Z70">
        <v>10.232967032967</v>
      </c>
      <c r="AA70">
        <v>4.5</v>
      </c>
      <c r="AB70">
        <f t="shared" ca="1" si="20"/>
        <v>19.899999999999999</v>
      </c>
      <c r="AC70">
        <f t="shared" ca="1" si="21"/>
        <v>0.25928739842845094</v>
      </c>
      <c r="AD70">
        <f t="shared" ca="1" si="22"/>
        <v>20.15928739842845</v>
      </c>
      <c r="AE70">
        <f ca="1">C70*60/AD70</f>
        <v>48.811249155399672</v>
      </c>
    </row>
    <row r="71" spans="1:31" x14ac:dyDescent="0.45">
      <c r="A71">
        <f t="shared" ca="1" si="16"/>
        <v>20</v>
      </c>
      <c r="B71" s="3">
        <v>4528</v>
      </c>
      <c r="C71">
        <f t="shared" ca="1" si="17"/>
        <v>15.5</v>
      </c>
      <c r="D71">
        <v>34.83</v>
      </c>
      <c r="E71" s="8">
        <v>0.3</v>
      </c>
      <c r="F71" s="19">
        <f t="shared" si="23"/>
        <v>1.2008501594048886</v>
      </c>
      <c r="G71" s="19">
        <f t="shared" si="25"/>
        <v>3.4596378905544509</v>
      </c>
      <c r="H71" s="19">
        <f t="shared" ca="1" si="26"/>
        <v>3.4238265818094979</v>
      </c>
      <c r="I71" s="19">
        <f t="shared" si="27"/>
        <v>43.475091924187005</v>
      </c>
      <c r="J71" s="8">
        <v>0.3</v>
      </c>
      <c r="K71" s="19">
        <f t="shared" si="28"/>
        <v>104</v>
      </c>
      <c r="L71" s="3">
        <f t="shared" si="15"/>
        <v>4500</v>
      </c>
      <c r="M71" s="3">
        <f t="shared" si="24"/>
        <v>2</v>
      </c>
      <c r="N71">
        <f t="shared" ca="1" si="18"/>
        <v>0.20313122312842388</v>
      </c>
      <c r="O71">
        <v>54</v>
      </c>
      <c r="P71">
        <v>2.46</v>
      </c>
      <c r="Q71">
        <v>7.6</v>
      </c>
      <c r="S71">
        <v>11.73</v>
      </c>
      <c r="T71">
        <v>7.26</v>
      </c>
      <c r="W71">
        <f ca="1">X71-A71-AA71</f>
        <v>22.005479665595139</v>
      </c>
      <c r="X71">
        <f t="shared" ca="1" si="19"/>
        <v>46.505479665595139</v>
      </c>
      <c r="Y71">
        <f ca="1">C71/X71*60</f>
        <v>19.997643432286026</v>
      </c>
      <c r="Z71">
        <v>12.830136986301399</v>
      </c>
      <c r="AA71">
        <v>4.5</v>
      </c>
      <c r="AB71">
        <f t="shared" ca="1" si="20"/>
        <v>19.8</v>
      </c>
      <c r="AC71">
        <f t="shared" ca="1" si="21"/>
        <v>0.19764343228602577</v>
      </c>
      <c r="AD71">
        <f t="shared" ca="1" si="22"/>
        <v>19.997643432286026</v>
      </c>
      <c r="AE71">
        <f ca="1">C71*60/AD71</f>
        <v>46.505479665595139</v>
      </c>
    </row>
    <row r="72" spans="1:31" x14ac:dyDescent="0.45">
      <c r="A72">
        <f t="shared" ca="1" si="16"/>
        <v>20</v>
      </c>
      <c r="B72" s="3">
        <v>4521</v>
      </c>
      <c r="C72">
        <f t="shared" ca="1" si="17"/>
        <v>15.3</v>
      </c>
      <c r="D72">
        <v>33.659999999999997</v>
      </c>
      <c r="E72" s="8">
        <v>0.3</v>
      </c>
      <c r="F72" s="19">
        <f t="shared" si="23"/>
        <v>1.2008501594048886</v>
      </c>
      <c r="G72" s="19">
        <f t="shared" si="25"/>
        <v>3.3602185298898308</v>
      </c>
      <c r="H72" s="19">
        <f t="shared" ca="1" si="26"/>
        <v>3.3796481743022784</v>
      </c>
      <c r="I72" s="19">
        <f t="shared" si="27"/>
        <v>42.225751391832752</v>
      </c>
      <c r="J72" s="8">
        <v>0.3</v>
      </c>
      <c r="K72" s="19">
        <f t="shared" si="28"/>
        <v>107</v>
      </c>
      <c r="L72" s="3">
        <f t="shared" si="15"/>
        <v>4500</v>
      </c>
      <c r="M72" s="3">
        <f t="shared" si="24"/>
        <v>2</v>
      </c>
      <c r="N72">
        <f t="shared" ca="1" si="18"/>
        <v>0.1834886551208007</v>
      </c>
      <c r="O72">
        <v>52</v>
      </c>
      <c r="P72">
        <v>2.0299999999999998</v>
      </c>
      <c r="Q72">
        <v>4.9800000000000004</v>
      </c>
      <c r="S72">
        <v>11.52</v>
      </c>
      <c r="T72">
        <v>7.46</v>
      </c>
      <c r="W72">
        <f ca="1">X72-A72-AA72</f>
        <v>22.126708582212224</v>
      </c>
      <c r="X72">
        <f t="shared" ca="1" si="19"/>
        <v>46.626708582212224</v>
      </c>
      <c r="Y72">
        <f ca="1">C72/X72*60</f>
        <v>19.688286561797135</v>
      </c>
      <c r="Z72">
        <v>12.780821917808201</v>
      </c>
      <c r="AA72">
        <v>4.5</v>
      </c>
      <c r="AB72">
        <f t="shared" ca="1" si="20"/>
        <v>19.100000000000001</v>
      </c>
      <c r="AC72">
        <f t="shared" ca="1" si="21"/>
        <v>0.58828656179713301</v>
      </c>
      <c r="AD72">
        <f t="shared" ca="1" si="22"/>
        <v>19.688286561797135</v>
      </c>
      <c r="AE72">
        <f ca="1">C72*60/AD72</f>
        <v>46.626708582212224</v>
      </c>
    </row>
    <row r="73" spans="1:31" x14ac:dyDescent="0.45">
      <c r="A73">
        <f t="shared" ca="1" si="16"/>
        <v>20</v>
      </c>
      <c r="B73" s="3">
        <v>4938</v>
      </c>
      <c r="C73">
        <f t="shared" ca="1" si="17"/>
        <v>15.5</v>
      </c>
      <c r="D73">
        <v>35.880000000000003</v>
      </c>
      <c r="E73" s="8">
        <v>0.3</v>
      </c>
      <c r="F73" s="19">
        <f t="shared" si="23"/>
        <v>1.2008501594048886</v>
      </c>
      <c r="G73" s="19">
        <f t="shared" si="25"/>
        <v>3.5488603937150076</v>
      </c>
      <c r="H73" s="19">
        <f t="shared" ca="1" si="26"/>
        <v>3.4238265818094979</v>
      </c>
      <c r="I73" s="19">
        <f t="shared" si="27"/>
        <v>44.596294966043395</v>
      </c>
      <c r="J73" s="8">
        <v>0.3</v>
      </c>
      <c r="K73" s="19">
        <f t="shared" si="28"/>
        <v>110</v>
      </c>
      <c r="L73" s="3">
        <f t="shared" si="15"/>
        <v>4900</v>
      </c>
      <c r="M73" s="3">
        <f t="shared" si="24"/>
        <v>1</v>
      </c>
      <c r="N73">
        <f t="shared" si="18"/>
        <v>0.21250000000000002</v>
      </c>
      <c r="O73">
        <v>55</v>
      </c>
      <c r="P73">
        <v>1.49</v>
      </c>
      <c r="Q73">
        <v>7.59</v>
      </c>
      <c r="S73">
        <v>12.22</v>
      </c>
      <c r="T73">
        <v>7.12</v>
      </c>
      <c r="W73">
        <v>24</v>
      </c>
      <c r="X73">
        <f t="shared" ca="1" si="19"/>
        <v>46.579466082495166</v>
      </c>
      <c r="Y73">
        <f ca="1">C73/X73*60</f>
        <v>19.965879350203615</v>
      </c>
      <c r="Z73">
        <v>21.475000000000001</v>
      </c>
      <c r="AA73">
        <v>4.5</v>
      </c>
      <c r="AB73">
        <f t="shared" ca="1" si="20"/>
        <v>19.600000000000001</v>
      </c>
      <c r="AC73">
        <f t="shared" ca="1" si="21"/>
        <v>0.36587935020361562</v>
      </c>
      <c r="AD73">
        <f t="shared" ca="1" si="22"/>
        <v>19.965879350203618</v>
      </c>
      <c r="AE73">
        <f ca="1">C73*60/AD73</f>
        <v>46.579466082495166</v>
      </c>
    </row>
    <row r="74" spans="1:31" x14ac:dyDescent="0.45">
      <c r="A74">
        <f t="shared" ca="1" si="16"/>
        <v>18</v>
      </c>
      <c r="B74" s="3">
        <v>4556</v>
      </c>
      <c r="C74">
        <f t="shared" ca="1" si="17"/>
        <v>15.8</v>
      </c>
      <c r="D74">
        <v>34.630000000000003</v>
      </c>
      <c r="E74" s="8">
        <v>0.3</v>
      </c>
      <c r="F74" s="19">
        <f t="shared" si="23"/>
        <v>1.2008501594048886</v>
      </c>
      <c r="G74" s="19">
        <f t="shared" si="25"/>
        <v>3.442643128047679</v>
      </c>
      <c r="H74" s="19">
        <f t="shared" ca="1" si="26"/>
        <v>3.4900941930703269</v>
      </c>
      <c r="I74" s="19">
        <f t="shared" si="27"/>
        <v>43.261529440023892</v>
      </c>
      <c r="J74" s="8">
        <v>0.3</v>
      </c>
      <c r="K74" s="19">
        <f t="shared" si="28"/>
        <v>106</v>
      </c>
      <c r="L74" s="3">
        <f t="shared" si="15"/>
        <v>4600</v>
      </c>
      <c r="M74" s="3">
        <f t="shared" si="24"/>
        <v>2</v>
      </c>
      <c r="N74">
        <f t="shared" si="18"/>
        <v>0.13157894736842107</v>
      </c>
      <c r="O74">
        <v>54</v>
      </c>
      <c r="P74">
        <v>1.51</v>
      </c>
      <c r="Q74">
        <v>7.63</v>
      </c>
      <c r="S74">
        <v>12.22</v>
      </c>
      <c r="T74">
        <v>7.22</v>
      </c>
      <c r="W74">
        <v>38</v>
      </c>
      <c r="X74">
        <f t="shared" ca="1" si="19"/>
        <v>45.391201553161935</v>
      </c>
      <c r="Y74">
        <f ca="1">C74/X74*60</f>
        <v>20.885104768370308</v>
      </c>
      <c r="Z74">
        <v>17.390322580645201</v>
      </c>
      <c r="AA74">
        <v>4.5</v>
      </c>
      <c r="AB74">
        <f t="shared" ca="1" si="20"/>
        <v>19.899999999999999</v>
      </c>
      <c r="AC74">
        <f t="shared" ca="1" si="21"/>
        <v>0.9851047683703108</v>
      </c>
      <c r="AD74">
        <f t="shared" ca="1" si="22"/>
        <v>20.885104768370308</v>
      </c>
      <c r="AE74">
        <f ca="1">C74*60/AD74</f>
        <v>45.391201553161935</v>
      </c>
    </row>
    <row r="75" spans="1:31" s="2" customFormat="1" x14ac:dyDescent="0.45">
      <c r="A75" s="2">
        <f t="shared" ca="1" si="16"/>
        <v>20</v>
      </c>
      <c r="B75" s="4">
        <v>6869</v>
      </c>
      <c r="C75" s="2">
        <f t="shared" ca="1" si="17"/>
        <v>15.5</v>
      </c>
      <c r="D75" s="2">
        <v>31.41</v>
      </c>
      <c r="E75" s="9">
        <v>0.3</v>
      </c>
      <c r="F75" s="19">
        <f t="shared" si="23"/>
        <v>1.2008501594048886</v>
      </c>
      <c r="G75" s="19">
        <f t="shared" si="25"/>
        <v>3.1690274516886396</v>
      </c>
      <c r="H75" s="19">
        <f t="shared" ca="1" si="26"/>
        <v>3.4238265818094979</v>
      </c>
      <c r="I75" s="19">
        <f t="shared" si="27"/>
        <v>39.82317344499765</v>
      </c>
      <c r="J75" s="9">
        <v>0.3</v>
      </c>
      <c r="K75" s="19">
        <f t="shared" si="28"/>
        <v>173</v>
      </c>
      <c r="L75" s="3">
        <f t="shared" si="15"/>
        <v>6900</v>
      </c>
      <c r="M75" s="3">
        <f t="shared" si="24"/>
        <v>13</v>
      </c>
      <c r="N75" s="2">
        <f t="shared" si="18"/>
        <v>0.21913043478260874</v>
      </c>
      <c r="O75" s="2">
        <v>53</v>
      </c>
      <c r="P75" s="2">
        <v>12.97</v>
      </c>
      <c r="Q75" s="2">
        <v>12.79</v>
      </c>
      <c r="S75" s="2">
        <v>12.13</v>
      </c>
      <c r="T75" s="2">
        <v>7.09</v>
      </c>
      <c r="W75" s="2">
        <v>23</v>
      </c>
      <c r="X75" s="2">
        <f t="shared" ca="1" si="19"/>
        <v>46.819064165898858</v>
      </c>
      <c r="Y75" s="2">
        <f ca="1">C75/X75*60</f>
        <v>19.863703313347621</v>
      </c>
      <c r="Z75" s="2">
        <v>19.712499999999999</v>
      </c>
      <c r="AA75" s="2">
        <v>4.5</v>
      </c>
      <c r="AB75" s="2">
        <f t="shared" ca="1" si="20"/>
        <v>19.2</v>
      </c>
      <c r="AC75" s="2">
        <f t="shared" ca="1" si="21"/>
        <v>0.66370331334762156</v>
      </c>
      <c r="AD75" s="2">
        <f t="shared" ca="1" si="22"/>
        <v>19.863703313347621</v>
      </c>
      <c r="AE75" s="2">
        <f ca="1">C75*60/AD75</f>
        <v>46.819064165898858</v>
      </c>
    </row>
    <row r="76" spans="1:31" x14ac:dyDescent="0.45">
      <c r="A76">
        <f t="shared" ca="1" si="16"/>
        <v>18</v>
      </c>
      <c r="B76" s="3">
        <v>7681</v>
      </c>
      <c r="C76">
        <f t="shared" ca="1" si="17"/>
        <v>16.5</v>
      </c>
      <c r="D76">
        <v>33.450000000000003</v>
      </c>
      <c r="E76" s="8">
        <v>0.3</v>
      </c>
      <c r="F76" s="19">
        <f t="shared" si="23"/>
        <v>1.2008501594048886</v>
      </c>
      <c r="G76" s="19">
        <f t="shared" si="25"/>
        <v>3.3423740292577206</v>
      </c>
      <c r="H76" s="19">
        <f t="shared" ca="1" si="26"/>
        <v>3.6447186193455936</v>
      </c>
      <c r="I76" s="19">
        <f t="shared" si="27"/>
        <v>42.001510783461484</v>
      </c>
      <c r="J76" s="8">
        <v>0.3</v>
      </c>
      <c r="K76" s="19">
        <f t="shared" si="28"/>
        <v>183</v>
      </c>
      <c r="L76" s="3">
        <f t="shared" si="15"/>
        <v>7700</v>
      </c>
      <c r="M76" s="3">
        <f t="shared" si="24"/>
        <v>13</v>
      </c>
      <c r="N76">
        <f t="shared" si="18"/>
        <v>0.17624999999999999</v>
      </c>
      <c r="O76">
        <v>51.1</v>
      </c>
      <c r="P76">
        <v>13.25</v>
      </c>
      <c r="Q76">
        <v>7.61</v>
      </c>
      <c r="S76">
        <v>12.92</v>
      </c>
      <c r="T76">
        <v>7.28</v>
      </c>
      <c r="W76">
        <v>32</v>
      </c>
      <c r="X76">
        <f t="shared" ca="1" si="19"/>
        <v>50.978730290106554</v>
      </c>
      <c r="Y76">
        <f ca="1">C76/X76*60</f>
        <v>19.419863820973376</v>
      </c>
      <c r="Z76">
        <v>17.037735849056599</v>
      </c>
      <c r="AA76">
        <v>4.5</v>
      </c>
      <c r="AB76">
        <f t="shared" ca="1" si="20"/>
        <v>19</v>
      </c>
      <c r="AC76">
        <f t="shared" ca="1" si="21"/>
        <v>0.41986382097337871</v>
      </c>
      <c r="AD76">
        <f t="shared" ca="1" si="22"/>
        <v>19.419863820973379</v>
      </c>
      <c r="AE76">
        <f ca="1">C76*60/AD76</f>
        <v>50.978730290106554</v>
      </c>
    </row>
    <row r="77" spans="1:31" x14ac:dyDescent="0.45">
      <c r="A77">
        <f t="shared" ca="1" si="16"/>
        <v>22</v>
      </c>
      <c r="B77" s="3">
        <v>9340</v>
      </c>
      <c r="C77">
        <f t="shared" ca="1" si="17"/>
        <v>16.3</v>
      </c>
      <c r="D77">
        <v>31.57</v>
      </c>
      <c r="E77" s="8">
        <v>0.3</v>
      </c>
      <c r="F77" s="19">
        <f t="shared" si="23"/>
        <v>1.2008501594048886</v>
      </c>
      <c r="G77" s="19">
        <f t="shared" si="25"/>
        <v>3.1826232616940575</v>
      </c>
      <c r="H77" s="19">
        <f t="shared" ca="1" si="26"/>
        <v>3.6005402118383749</v>
      </c>
      <c r="I77" s="19">
        <f t="shared" si="27"/>
        <v>39.994023432328149</v>
      </c>
      <c r="J77" s="8">
        <v>0.3</v>
      </c>
      <c r="K77" s="19">
        <f t="shared" si="28"/>
        <v>233</v>
      </c>
      <c r="L77" s="3">
        <f t="shared" si="15"/>
        <v>9300</v>
      </c>
      <c r="M77" s="3">
        <f t="shared" si="24"/>
        <v>13</v>
      </c>
      <c r="N77">
        <f t="shared" si="18"/>
        <v>0.16228571428571431</v>
      </c>
      <c r="O77">
        <v>63.2</v>
      </c>
      <c r="P77">
        <v>12.98</v>
      </c>
      <c r="Q77">
        <v>9.15</v>
      </c>
      <c r="S77">
        <v>12.96</v>
      </c>
      <c r="T77">
        <v>7.28</v>
      </c>
      <c r="W77">
        <v>35</v>
      </c>
      <c r="X77">
        <f t="shared" ca="1" si="19"/>
        <v>47.963056541171504</v>
      </c>
      <c r="Y77">
        <f ca="1">C77/X77*60</f>
        <v>20.390693807440829</v>
      </c>
      <c r="Z77">
        <v>16.515789473684201</v>
      </c>
      <c r="AA77">
        <v>4.5</v>
      </c>
      <c r="AB77">
        <f t="shared" ca="1" si="20"/>
        <v>20</v>
      </c>
      <c r="AC77">
        <f t="shared" ca="1" si="21"/>
        <v>0.39069380744082671</v>
      </c>
      <c r="AD77">
        <f t="shared" ca="1" si="22"/>
        <v>20.390693807440826</v>
      </c>
      <c r="AE77">
        <f ca="1">C77*60/AD77</f>
        <v>47.963056541171504</v>
      </c>
    </row>
    <row r="78" spans="1:31" x14ac:dyDescent="0.45">
      <c r="A78">
        <f t="shared" ca="1" si="16"/>
        <v>19</v>
      </c>
      <c r="B78" s="3">
        <v>9567</v>
      </c>
      <c r="C78">
        <f t="shared" ca="1" si="17"/>
        <v>14.8</v>
      </c>
      <c r="D78">
        <v>32.68</v>
      </c>
      <c r="E78" s="8">
        <v>0.3</v>
      </c>
      <c r="F78" s="19">
        <f t="shared" si="23"/>
        <v>1.2008501594048886</v>
      </c>
      <c r="G78" s="19">
        <f t="shared" si="25"/>
        <v>3.2769441936066452</v>
      </c>
      <c r="H78" s="19">
        <f t="shared" ca="1" si="26"/>
        <v>3.2692021555342299</v>
      </c>
      <c r="I78" s="19">
        <f t="shared" si="27"/>
        <v>41.179295219433463</v>
      </c>
      <c r="J78" s="8">
        <v>0.3</v>
      </c>
      <c r="K78" s="19">
        <f t="shared" si="28"/>
        <v>233</v>
      </c>
      <c r="L78" s="3">
        <f t="shared" si="15"/>
        <v>9600</v>
      </c>
      <c r="M78" s="3">
        <f t="shared" si="24"/>
        <v>13</v>
      </c>
      <c r="N78">
        <f t="shared" si="18"/>
        <v>0.15593750000000001</v>
      </c>
      <c r="O78">
        <v>50.4</v>
      </c>
      <c r="P78">
        <v>13.15</v>
      </c>
      <c r="Q78">
        <v>10.42</v>
      </c>
      <c r="S78">
        <v>12.34</v>
      </c>
      <c r="T78">
        <v>7.35</v>
      </c>
      <c r="W78">
        <v>32</v>
      </c>
      <c r="X78">
        <f t="shared" ca="1" si="19"/>
        <v>45.465717549895906</v>
      </c>
      <c r="Y78">
        <f ca="1">C78/X78*60</f>
        <v>19.53119950269064</v>
      </c>
      <c r="Z78">
        <v>17.411111111111101</v>
      </c>
      <c r="AA78">
        <v>4.5</v>
      </c>
      <c r="AB78">
        <f t="shared" ca="1" si="20"/>
        <v>19.3</v>
      </c>
      <c r="AC78">
        <f t="shared" ca="1" si="21"/>
        <v>0.23119950269063883</v>
      </c>
      <c r="AD78">
        <f t="shared" ca="1" si="22"/>
        <v>19.53119950269064</v>
      </c>
      <c r="AE78">
        <f ca="1">C78*60/AD78</f>
        <v>45.465717549895906</v>
      </c>
    </row>
    <row r="79" spans="1:31" x14ac:dyDescent="0.45">
      <c r="A79">
        <f t="shared" ca="1" si="16"/>
        <v>19</v>
      </c>
      <c r="B79" s="3">
        <v>8903</v>
      </c>
      <c r="C79">
        <f t="shared" ca="1" si="17"/>
        <v>14.9</v>
      </c>
      <c r="D79">
        <v>32.67</v>
      </c>
      <c r="E79" s="8">
        <v>0.3</v>
      </c>
      <c r="F79" s="19">
        <f t="shared" si="23"/>
        <v>1.2008501594048886</v>
      </c>
      <c r="G79" s="19">
        <f t="shared" si="25"/>
        <v>3.276094455481307</v>
      </c>
      <c r="H79" s="19">
        <f t="shared" ca="1" si="26"/>
        <v>3.2912913592878397</v>
      </c>
      <c r="I79" s="19">
        <f t="shared" si="27"/>
        <v>41.168617095225308</v>
      </c>
      <c r="J79" s="8">
        <v>0.3</v>
      </c>
      <c r="K79" s="19">
        <f t="shared" si="28"/>
        <v>216</v>
      </c>
      <c r="L79" s="3">
        <f t="shared" si="15"/>
        <v>8900</v>
      </c>
      <c r="M79" s="3">
        <f t="shared" si="24"/>
        <v>12</v>
      </c>
      <c r="N79">
        <f t="shared" si="18"/>
        <v>0.25499999999999995</v>
      </c>
      <c r="O79">
        <v>58.5</v>
      </c>
      <c r="P79">
        <v>12.37</v>
      </c>
      <c r="Q79">
        <v>12.54</v>
      </c>
      <c r="S79">
        <v>12.86</v>
      </c>
      <c r="T79">
        <v>7.25</v>
      </c>
      <c r="W79">
        <v>22</v>
      </c>
      <c r="X79">
        <f t="shared" ca="1" si="19"/>
        <v>45.434499972258422</v>
      </c>
      <c r="Y79">
        <f ca="1">C79/X79*60</f>
        <v>19.676677426754164</v>
      </c>
      <c r="Z79">
        <v>21.0133333333333</v>
      </c>
      <c r="AA79">
        <v>4.5</v>
      </c>
      <c r="AB79">
        <f t="shared" ca="1" si="20"/>
        <v>19.5</v>
      </c>
      <c r="AC79">
        <f t="shared" ca="1" si="21"/>
        <v>0.17667742675416465</v>
      </c>
      <c r="AD79">
        <f t="shared" ca="1" si="22"/>
        <v>19.676677426754164</v>
      </c>
      <c r="AE79">
        <f ca="1">C79*60/AD79</f>
        <v>45.434499972258422</v>
      </c>
    </row>
    <row r="80" spans="1:31" x14ac:dyDescent="0.45">
      <c r="A80">
        <f t="shared" ca="1" si="16"/>
        <v>17</v>
      </c>
      <c r="B80" s="3">
        <v>8874</v>
      </c>
      <c r="C80">
        <f t="shared" ca="1" si="17"/>
        <v>14.9</v>
      </c>
      <c r="D80">
        <v>35.5</v>
      </c>
      <c r="E80" s="8">
        <v>0.3</v>
      </c>
      <c r="F80" s="19">
        <f t="shared" si="23"/>
        <v>1.2008501594048886</v>
      </c>
      <c r="G80" s="19">
        <f t="shared" si="25"/>
        <v>3.5165703449521395</v>
      </c>
      <c r="H80" s="19">
        <f t="shared" ca="1" si="26"/>
        <v>3.2912913592878397</v>
      </c>
      <c r="I80" s="19">
        <f t="shared" si="27"/>
        <v>44.190526246133466</v>
      </c>
      <c r="J80" s="8">
        <v>0.3</v>
      </c>
      <c r="K80" s="19">
        <f t="shared" si="28"/>
        <v>201</v>
      </c>
      <c r="L80" s="3">
        <f t="shared" si="15"/>
        <v>8900</v>
      </c>
      <c r="M80" s="3">
        <f t="shared" si="24"/>
        <v>9</v>
      </c>
      <c r="N80">
        <f t="shared" si="18"/>
        <v>0.13891891891891892</v>
      </c>
      <c r="O80">
        <v>49.8</v>
      </c>
      <c r="P80">
        <v>9.1999999999999993</v>
      </c>
      <c r="Q80">
        <v>9.8800000000000008</v>
      </c>
      <c r="S80">
        <v>12.25</v>
      </c>
      <c r="T80">
        <v>7.11</v>
      </c>
      <c r="W80">
        <v>37</v>
      </c>
      <c r="X80">
        <f t="shared" ca="1" si="19"/>
        <v>45.422942313998583</v>
      </c>
      <c r="Y80">
        <f ca="1">C80/X80*60</f>
        <v>19.681684066610636</v>
      </c>
      <c r="Z80">
        <v>15.540983606557401</v>
      </c>
      <c r="AA80">
        <v>4.5</v>
      </c>
      <c r="AB80">
        <f t="shared" ca="1" si="20"/>
        <v>19.3</v>
      </c>
      <c r="AC80">
        <f t="shared" ca="1" si="21"/>
        <v>0.38168406661063559</v>
      </c>
      <c r="AD80">
        <f t="shared" ca="1" si="22"/>
        <v>19.681684066610636</v>
      </c>
      <c r="AE80">
        <f ca="1">C80*60/AD80</f>
        <v>45.422942313998583</v>
      </c>
    </row>
    <row r="81" spans="1:31" x14ac:dyDescent="0.45">
      <c r="A81">
        <f t="shared" ca="1" si="16"/>
        <v>22</v>
      </c>
      <c r="B81" s="3">
        <v>7636</v>
      </c>
      <c r="C81">
        <f t="shared" ca="1" si="17"/>
        <v>14.5</v>
      </c>
      <c r="D81">
        <v>32.869999999999997</v>
      </c>
      <c r="E81" s="8">
        <v>0.3</v>
      </c>
      <c r="F81" s="19">
        <f t="shared" si="23"/>
        <v>1.2008501594048886</v>
      </c>
      <c r="G81" s="19">
        <f t="shared" si="25"/>
        <v>3.2930892179880793</v>
      </c>
      <c r="H81" s="19">
        <f t="shared" ca="1" si="26"/>
        <v>3.202934544273401</v>
      </c>
      <c r="I81" s="19">
        <f t="shared" si="27"/>
        <v>41.382179579388428</v>
      </c>
      <c r="J81" s="8">
        <v>0.3</v>
      </c>
      <c r="K81" s="19">
        <f t="shared" si="28"/>
        <v>184</v>
      </c>
      <c r="L81" s="3">
        <f t="shared" si="15"/>
        <v>7600</v>
      </c>
      <c r="M81" s="3">
        <f t="shared" si="24"/>
        <v>13</v>
      </c>
      <c r="N81">
        <f t="shared" si="18"/>
        <v>0.16666666666666669</v>
      </c>
      <c r="O81">
        <v>53</v>
      </c>
      <c r="P81">
        <v>13.27</v>
      </c>
      <c r="Q81">
        <v>12.96</v>
      </c>
      <c r="S81">
        <v>12.38</v>
      </c>
      <c r="T81">
        <v>7.38</v>
      </c>
      <c r="W81">
        <v>30</v>
      </c>
      <c r="X81">
        <f t="shared" ca="1" si="19"/>
        <v>44.758840193571565</v>
      </c>
      <c r="Y81">
        <f ca="1">C81/X81*60</f>
        <v>19.437500977180207</v>
      </c>
      <c r="Z81">
        <v>17.818867924528298</v>
      </c>
      <c r="AA81">
        <v>4.5</v>
      </c>
      <c r="AB81">
        <f t="shared" ca="1" si="20"/>
        <v>19</v>
      </c>
      <c r="AC81">
        <f t="shared" ca="1" si="21"/>
        <v>0.43750097718020797</v>
      </c>
      <c r="AD81">
        <f t="shared" ca="1" si="22"/>
        <v>19.437500977180207</v>
      </c>
      <c r="AE81">
        <f ca="1">C81*60/AD81</f>
        <v>44.758840193571565</v>
      </c>
    </row>
    <row r="82" spans="1:31" x14ac:dyDescent="0.45">
      <c r="A82">
        <f t="shared" ca="1" si="16"/>
        <v>21</v>
      </c>
      <c r="B82" s="3">
        <v>7843</v>
      </c>
      <c r="C82">
        <f t="shared" ca="1" si="17"/>
        <v>15.8</v>
      </c>
      <c r="D82">
        <v>31.57</v>
      </c>
      <c r="E82" s="8">
        <v>0.3</v>
      </c>
      <c r="F82" s="19">
        <f t="shared" si="23"/>
        <v>1.2008501594048886</v>
      </c>
      <c r="G82" s="19">
        <f t="shared" si="25"/>
        <v>3.1826232616940575</v>
      </c>
      <c r="H82" s="19">
        <f t="shared" ca="1" si="26"/>
        <v>3.4900941930703269</v>
      </c>
      <c r="I82" s="19">
        <f t="shared" si="27"/>
        <v>39.994023432328149</v>
      </c>
      <c r="J82" s="8">
        <v>0.3</v>
      </c>
      <c r="K82" s="19">
        <f t="shared" si="28"/>
        <v>195</v>
      </c>
      <c r="L82" s="3">
        <f t="shared" si="15"/>
        <v>7800</v>
      </c>
      <c r="M82" s="3">
        <f t="shared" si="24"/>
        <v>13</v>
      </c>
      <c r="N82">
        <f t="shared" si="18"/>
        <v>0.2091666666666667</v>
      </c>
      <c r="O82">
        <v>63.3</v>
      </c>
      <c r="P82">
        <v>12.63</v>
      </c>
      <c r="Q82">
        <v>12.8</v>
      </c>
      <c r="S82">
        <v>12.32</v>
      </c>
      <c r="T82">
        <v>7.3</v>
      </c>
      <c r="W82">
        <v>24</v>
      </c>
      <c r="X82">
        <f t="shared" ca="1" si="19"/>
        <v>49.17727342567413</v>
      </c>
      <c r="Y82">
        <f ca="1">C82/X82*60</f>
        <v>19.277197249107243</v>
      </c>
      <c r="Z82">
        <v>21.0133333333333</v>
      </c>
      <c r="AA82">
        <v>4.5</v>
      </c>
      <c r="AB82">
        <f t="shared" ca="1" si="20"/>
        <v>19.2</v>
      </c>
      <c r="AC82">
        <f t="shared" ca="1" si="21"/>
        <v>7.7197249107244903E-2</v>
      </c>
      <c r="AD82">
        <f t="shared" ca="1" si="22"/>
        <v>19.277197249107243</v>
      </c>
      <c r="AE82">
        <f ca="1">C82*60/AD82</f>
        <v>49.17727342567413</v>
      </c>
    </row>
    <row r="83" spans="1:31" x14ac:dyDescent="0.45">
      <c r="A83">
        <f t="shared" ca="1" si="16"/>
        <v>16</v>
      </c>
      <c r="B83" s="3">
        <v>8425</v>
      </c>
      <c r="C83">
        <f t="shared" ca="1" si="17"/>
        <v>15.9</v>
      </c>
      <c r="D83">
        <v>32.17</v>
      </c>
      <c r="E83" s="8">
        <v>0.3</v>
      </c>
      <c r="F83" s="19">
        <f t="shared" si="23"/>
        <v>1.2008501594048886</v>
      </c>
      <c r="G83" s="19">
        <f t="shared" si="25"/>
        <v>3.2336075492143754</v>
      </c>
      <c r="H83" s="19">
        <f t="shared" ca="1" si="26"/>
        <v>3.5121833968239362</v>
      </c>
      <c r="I83" s="19">
        <f t="shared" si="27"/>
        <v>40.634710884817508</v>
      </c>
      <c r="J83" s="8">
        <v>0.3</v>
      </c>
      <c r="K83" s="19">
        <f t="shared" si="28"/>
        <v>207</v>
      </c>
      <c r="L83" s="3">
        <f t="shared" si="15"/>
        <v>8400</v>
      </c>
      <c r="M83" s="3">
        <f t="shared" si="24"/>
        <v>11</v>
      </c>
      <c r="N83">
        <f t="shared" si="18"/>
        <v>0.13650000000000001</v>
      </c>
      <c r="O83">
        <v>58.4</v>
      </c>
      <c r="P83">
        <v>11.36</v>
      </c>
      <c r="Q83">
        <v>11.33</v>
      </c>
      <c r="S83">
        <v>12.76</v>
      </c>
      <c r="T83">
        <v>7.3</v>
      </c>
      <c r="W83">
        <v>40</v>
      </c>
      <c r="X83">
        <f t="shared" ca="1" si="19"/>
        <v>46.84346441880362</v>
      </c>
      <c r="Y83">
        <f ca="1">C83/X83*60</f>
        <v>20.365701210114832</v>
      </c>
      <c r="Z83">
        <v>15.1741935483871</v>
      </c>
      <c r="AA83">
        <v>4.5</v>
      </c>
      <c r="AB83">
        <f t="shared" ca="1" si="20"/>
        <v>20</v>
      </c>
      <c r="AC83">
        <f t="shared" ca="1" si="21"/>
        <v>0.36570121011483281</v>
      </c>
      <c r="AD83">
        <f t="shared" ca="1" si="22"/>
        <v>20.365701210114832</v>
      </c>
      <c r="AE83">
        <f ca="1">C83*60/AD83</f>
        <v>46.84346441880362</v>
      </c>
    </row>
    <row r="84" spans="1:31" x14ac:dyDescent="0.45">
      <c r="A84">
        <f t="shared" ca="1" si="16"/>
        <v>18</v>
      </c>
      <c r="B84" s="3">
        <v>7618</v>
      </c>
      <c r="C84">
        <f t="shared" ca="1" si="17"/>
        <v>16.399999999999999</v>
      </c>
      <c r="D84">
        <v>33.11</v>
      </c>
      <c r="E84" s="8">
        <v>0.3</v>
      </c>
      <c r="F84" s="19">
        <f t="shared" si="23"/>
        <v>1.2008501594048886</v>
      </c>
      <c r="G84" s="19">
        <f t="shared" si="25"/>
        <v>3.3134829329962066</v>
      </c>
      <c r="H84" s="19">
        <f t="shared" ca="1" si="26"/>
        <v>3.6226294155919843</v>
      </c>
      <c r="I84" s="19">
        <f t="shared" si="27"/>
        <v>41.638454560384176</v>
      </c>
      <c r="J84" s="8">
        <v>0.3</v>
      </c>
      <c r="K84" s="19">
        <f t="shared" si="28"/>
        <v>183</v>
      </c>
      <c r="L84" s="3">
        <f t="shared" si="15"/>
        <v>7600</v>
      </c>
      <c r="M84" s="3">
        <f t="shared" si="24"/>
        <v>9</v>
      </c>
      <c r="N84">
        <f t="shared" si="18"/>
        <v>7.9838709677419337E-2</v>
      </c>
      <c r="O84">
        <v>51</v>
      </c>
      <c r="P84">
        <v>8.7200000000000006</v>
      </c>
      <c r="Q84">
        <v>7.71</v>
      </c>
      <c r="S84">
        <v>12.11</v>
      </c>
      <c r="T84">
        <v>7.16</v>
      </c>
      <c r="W84">
        <v>62</v>
      </c>
      <c r="X84">
        <f t="shared" ca="1" si="19"/>
        <v>48.308565055529527</v>
      </c>
      <c r="Y84">
        <f ca="1">C84/X84*60</f>
        <v>20.369058755293512</v>
      </c>
      <c r="Z84">
        <v>11.0823529411765</v>
      </c>
      <c r="AA84">
        <v>4.5</v>
      </c>
      <c r="AB84">
        <f t="shared" ca="1" si="20"/>
        <v>19.5</v>
      </c>
      <c r="AC84">
        <f t="shared" ca="1" si="21"/>
        <v>0.86905875529351262</v>
      </c>
      <c r="AD84">
        <f t="shared" ca="1" si="22"/>
        <v>20.369058755293512</v>
      </c>
      <c r="AE84">
        <f ca="1">C84*60/AD84</f>
        <v>48.308565055529527</v>
      </c>
    </row>
    <row r="85" spans="1:31" x14ac:dyDescent="0.45">
      <c r="A85">
        <f t="shared" ca="1" si="16"/>
        <v>18</v>
      </c>
      <c r="B85" s="3">
        <v>7219</v>
      </c>
      <c r="C85">
        <f t="shared" ca="1" si="17"/>
        <v>15.6</v>
      </c>
      <c r="D85">
        <v>33.590000000000003</v>
      </c>
      <c r="E85" s="8">
        <v>0.3</v>
      </c>
      <c r="F85" s="19">
        <f t="shared" si="23"/>
        <v>1.2008501594048886</v>
      </c>
      <c r="G85" s="19">
        <f t="shared" si="25"/>
        <v>3.3542703630124615</v>
      </c>
      <c r="H85" s="19">
        <f t="shared" ca="1" si="26"/>
        <v>3.4459157855631068</v>
      </c>
      <c r="I85" s="19">
        <f t="shared" si="27"/>
        <v>42.151004522375672</v>
      </c>
      <c r="J85" s="8">
        <v>0.3</v>
      </c>
      <c r="K85" s="19">
        <f t="shared" si="28"/>
        <v>171</v>
      </c>
      <c r="L85" s="3">
        <f t="shared" si="15"/>
        <v>7200</v>
      </c>
      <c r="M85" s="3">
        <f t="shared" si="24"/>
        <v>7</v>
      </c>
      <c r="N85">
        <f t="shared" si="18"/>
        <v>0.10844444444444444</v>
      </c>
      <c r="O85">
        <v>52</v>
      </c>
      <c r="P85">
        <v>7.35</v>
      </c>
      <c r="Q85">
        <v>7.84</v>
      </c>
      <c r="S85">
        <v>12.01</v>
      </c>
      <c r="T85">
        <v>7.13</v>
      </c>
      <c r="W85">
        <v>45</v>
      </c>
      <c r="X85">
        <f t="shared" ca="1" si="19"/>
        <v>45.769112092099199</v>
      </c>
      <c r="Y85">
        <f ca="1">C85/X85*60</f>
        <v>20.450473195034412</v>
      </c>
      <c r="Z85">
        <v>13.8705882352941</v>
      </c>
      <c r="AA85">
        <v>4.5</v>
      </c>
      <c r="AB85">
        <f t="shared" ca="1" si="20"/>
        <v>19.5</v>
      </c>
      <c r="AC85">
        <f t="shared" ca="1" si="21"/>
        <v>0.95047319503441174</v>
      </c>
      <c r="AD85">
        <f t="shared" ca="1" si="22"/>
        <v>20.450473195034412</v>
      </c>
      <c r="AE85">
        <f ca="1">C85*60/AD85</f>
        <v>45.769112092099199</v>
      </c>
    </row>
    <row r="86" spans="1:31" x14ac:dyDescent="0.45">
      <c r="A86">
        <f t="shared" ca="1" si="16"/>
        <v>19</v>
      </c>
      <c r="B86" s="3">
        <v>7843</v>
      </c>
      <c r="C86">
        <f t="shared" ca="1" si="17"/>
        <v>16.2</v>
      </c>
      <c r="D86">
        <v>31.57</v>
      </c>
      <c r="E86" s="8">
        <v>0.3</v>
      </c>
      <c r="F86" s="19">
        <f t="shared" si="23"/>
        <v>1.2008501594048886</v>
      </c>
      <c r="G86" s="19">
        <f t="shared" si="25"/>
        <v>3.1826232616940575</v>
      </c>
      <c r="H86" s="19">
        <f t="shared" ca="1" si="26"/>
        <v>3.5784510080847647</v>
      </c>
      <c r="I86" s="19">
        <f t="shared" si="27"/>
        <v>39.994023432328149</v>
      </c>
      <c r="J86" s="8">
        <v>0.3</v>
      </c>
      <c r="K86" s="19">
        <f t="shared" si="28"/>
        <v>195</v>
      </c>
      <c r="L86" s="3">
        <f t="shared" si="15"/>
        <v>7800</v>
      </c>
      <c r="M86" s="3">
        <f t="shared" si="24"/>
        <v>13</v>
      </c>
      <c r="N86">
        <f t="shared" si="18"/>
        <v>0.2091666666666667</v>
      </c>
      <c r="O86">
        <v>63.3</v>
      </c>
      <c r="P86">
        <v>12.63</v>
      </c>
      <c r="Q86">
        <v>12.8</v>
      </c>
      <c r="S86">
        <v>12.32</v>
      </c>
      <c r="T86">
        <v>7.3</v>
      </c>
      <c r="W86">
        <v>24</v>
      </c>
      <c r="X86">
        <f t="shared" ca="1" si="19"/>
        <v>49.670147780618557</v>
      </c>
      <c r="Y86">
        <f ca="1">C86/X86*60</f>
        <v>19.569098209514031</v>
      </c>
      <c r="Z86">
        <v>21.0133333333333</v>
      </c>
      <c r="AA86">
        <v>4.5</v>
      </c>
      <c r="AB86">
        <f t="shared" ca="1" si="20"/>
        <v>19.3</v>
      </c>
      <c r="AC86">
        <f t="shared" ca="1" si="21"/>
        <v>0.2690982095140293</v>
      </c>
      <c r="AD86">
        <f t="shared" ca="1" si="22"/>
        <v>19.569098209514031</v>
      </c>
      <c r="AE86">
        <f ca="1">C86*60/AD86</f>
        <v>49.670147780618557</v>
      </c>
    </row>
    <row r="87" spans="1:31" x14ac:dyDescent="0.45">
      <c r="A87">
        <f t="shared" ca="1" si="16"/>
        <v>16</v>
      </c>
      <c r="B87" s="3">
        <v>7271</v>
      </c>
      <c r="C87">
        <f t="shared" ca="1" si="17"/>
        <v>16.3</v>
      </c>
      <c r="D87">
        <v>31.78</v>
      </c>
      <c r="E87" s="8">
        <v>0.3</v>
      </c>
      <c r="F87" s="19">
        <f t="shared" si="23"/>
        <v>1.2008501594048886</v>
      </c>
      <c r="G87" s="19">
        <f t="shared" si="25"/>
        <v>3.200467762326169</v>
      </c>
      <c r="H87" s="19">
        <f t="shared" ca="1" si="26"/>
        <v>3.6005402118383749</v>
      </c>
      <c r="I87" s="19">
        <f t="shared" si="27"/>
        <v>40.218264040699424</v>
      </c>
      <c r="J87" s="8">
        <v>0.3</v>
      </c>
      <c r="K87" s="19">
        <f t="shared" si="28"/>
        <v>182</v>
      </c>
      <c r="L87" s="3">
        <f t="shared" si="15"/>
        <v>7300</v>
      </c>
      <c r="M87" s="3">
        <f t="shared" si="24"/>
        <v>13</v>
      </c>
      <c r="N87">
        <f t="shared" si="18"/>
        <v>0.15281250000000002</v>
      </c>
      <c r="O87">
        <v>54.4</v>
      </c>
      <c r="P87">
        <v>12.77</v>
      </c>
      <c r="Q87">
        <v>12.71</v>
      </c>
      <c r="S87">
        <v>12.24</v>
      </c>
      <c r="T87">
        <v>7.35</v>
      </c>
      <c r="W87">
        <v>32</v>
      </c>
      <c r="X87">
        <f t="shared" ca="1" si="19"/>
        <v>49.967088688244644</v>
      </c>
      <c r="Y87">
        <f ca="1">C87/X87*60</f>
        <v>19.572883385340923</v>
      </c>
      <c r="Z87">
        <v>17.411111111111101</v>
      </c>
      <c r="AA87">
        <v>4.5</v>
      </c>
      <c r="AB87">
        <f t="shared" ca="1" si="20"/>
        <v>19</v>
      </c>
      <c r="AC87">
        <f t="shared" ca="1" si="21"/>
        <v>0.57288338534092387</v>
      </c>
      <c r="AD87">
        <f t="shared" ca="1" si="22"/>
        <v>19.572883385340923</v>
      </c>
      <c r="AE87">
        <f ca="1">C87*60/AD87</f>
        <v>49.967088688244644</v>
      </c>
    </row>
    <row r="88" spans="1:31" x14ac:dyDescent="0.45">
      <c r="A88">
        <f t="shared" ca="1" si="16"/>
        <v>19</v>
      </c>
      <c r="B88" s="3">
        <v>7961</v>
      </c>
      <c r="C88">
        <f t="shared" ca="1" si="17"/>
        <v>14.7</v>
      </c>
      <c r="D88">
        <v>32.17</v>
      </c>
      <c r="E88" s="8">
        <v>0.3</v>
      </c>
      <c r="F88" s="19">
        <f t="shared" si="23"/>
        <v>1.2008501594048886</v>
      </c>
      <c r="G88" s="19">
        <f t="shared" si="25"/>
        <v>3.2336075492143754</v>
      </c>
      <c r="H88" s="19">
        <f t="shared" ca="1" si="26"/>
        <v>3.2471129517806196</v>
      </c>
      <c r="I88" s="19">
        <f t="shared" si="27"/>
        <v>40.634710884817508</v>
      </c>
      <c r="J88" s="8">
        <v>0.3</v>
      </c>
      <c r="K88" s="19">
        <f t="shared" si="28"/>
        <v>197</v>
      </c>
      <c r="L88" s="3">
        <f t="shared" si="15"/>
        <v>8000</v>
      </c>
      <c r="M88" s="3">
        <f t="shared" si="24"/>
        <v>13</v>
      </c>
      <c r="N88">
        <f t="shared" si="18"/>
        <v>0.14552631578947367</v>
      </c>
      <c r="O88">
        <v>51.7</v>
      </c>
      <c r="P88">
        <v>12.95</v>
      </c>
      <c r="Q88">
        <v>11.94</v>
      </c>
      <c r="S88">
        <v>12.76</v>
      </c>
      <c r="T88">
        <v>7.23</v>
      </c>
      <c r="W88">
        <v>38</v>
      </c>
      <c r="X88">
        <f t="shared" ca="1" si="19"/>
        <v>44.043309972169531</v>
      </c>
      <c r="Y88">
        <f ca="1">C88/X88*60</f>
        <v>20.025742855324129</v>
      </c>
      <c r="Z88">
        <v>15.4524590163934</v>
      </c>
      <c r="AA88">
        <v>4.5</v>
      </c>
      <c r="AB88">
        <f t="shared" ca="1" si="20"/>
        <v>19.3</v>
      </c>
      <c r="AC88">
        <f t="shared" ca="1" si="21"/>
        <v>0.72574285532412663</v>
      </c>
      <c r="AD88">
        <f t="shared" ca="1" si="22"/>
        <v>20.025742855324129</v>
      </c>
      <c r="AE88">
        <f ca="1">C88*60/AD88</f>
        <v>44.043309972169531</v>
      </c>
    </row>
    <row r="89" spans="1:31" x14ac:dyDescent="0.45">
      <c r="A89">
        <f t="shared" ca="1" si="16"/>
        <v>18</v>
      </c>
      <c r="B89" s="3">
        <v>7619</v>
      </c>
      <c r="C89">
        <f t="shared" ca="1" si="17"/>
        <v>16.5</v>
      </c>
      <c r="D89">
        <v>32.090000000000003</v>
      </c>
      <c r="E89" s="8">
        <v>0.3</v>
      </c>
      <c r="F89" s="19">
        <f t="shared" si="23"/>
        <v>1.2008501594048886</v>
      </c>
      <c r="G89" s="19">
        <f t="shared" si="25"/>
        <v>3.2268096442116669</v>
      </c>
      <c r="H89" s="19">
        <f t="shared" ca="1" si="26"/>
        <v>3.6447186193455936</v>
      </c>
      <c r="I89" s="19">
        <f t="shared" si="27"/>
        <v>40.549285891152266</v>
      </c>
      <c r="J89" s="8">
        <v>0.3</v>
      </c>
      <c r="K89" s="19">
        <f t="shared" si="28"/>
        <v>187</v>
      </c>
      <c r="L89" s="3">
        <f t="shared" si="15"/>
        <v>7600</v>
      </c>
      <c r="M89" s="3">
        <f t="shared" si="24"/>
        <v>13</v>
      </c>
      <c r="N89">
        <f t="shared" si="18"/>
        <v>0.13923076923076921</v>
      </c>
      <c r="O89">
        <v>51.5</v>
      </c>
      <c r="P89">
        <v>12.72</v>
      </c>
      <c r="Q89">
        <v>11.63</v>
      </c>
      <c r="S89">
        <v>12.77</v>
      </c>
      <c r="T89">
        <v>7.34</v>
      </c>
      <c r="W89">
        <v>39</v>
      </c>
      <c r="X89">
        <f t="shared" ca="1" si="19"/>
        <v>49.581348774018743</v>
      </c>
      <c r="Y89">
        <f ca="1">C89/X89*60</f>
        <v>19.967185735753372</v>
      </c>
      <c r="Z89">
        <v>15.1838709677419</v>
      </c>
      <c r="AA89">
        <v>4.5</v>
      </c>
      <c r="AB89">
        <f t="shared" ca="1" si="20"/>
        <v>19.8</v>
      </c>
      <c r="AC89">
        <f t="shared" ca="1" si="21"/>
        <v>0.1671857357533717</v>
      </c>
      <c r="AD89">
        <f t="shared" ca="1" si="22"/>
        <v>19.967185735753372</v>
      </c>
      <c r="AE89">
        <f ca="1">C89*60/AD89</f>
        <v>49.581348774018743</v>
      </c>
    </row>
    <row r="90" spans="1:31" x14ac:dyDescent="0.45">
      <c r="A90">
        <f t="shared" ca="1" si="16"/>
        <v>17</v>
      </c>
      <c r="B90" s="3">
        <v>8939</v>
      </c>
      <c r="C90">
        <f t="shared" ca="1" si="17"/>
        <v>15.8</v>
      </c>
      <c r="D90">
        <v>35.119999999999997</v>
      </c>
      <c r="E90" s="8">
        <v>0.3</v>
      </c>
      <c r="F90" s="19">
        <f t="shared" si="23"/>
        <v>1.2008501594048886</v>
      </c>
      <c r="G90" s="19">
        <f t="shared" si="25"/>
        <v>3.4842802961892714</v>
      </c>
      <c r="H90" s="19">
        <f t="shared" ca="1" si="26"/>
        <v>3.4900941930703269</v>
      </c>
      <c r="I90" s="19">
        <f t="shared" si="27"/>
        <v>43.784757526223537</v>
      </c>
      <c r="J90" s="8">
        <v>0.3</v>
      </c>
      <c r="K90" s="19">
        <f t="shared" si="28"/>
        <v>203</v>
      </c>
      <c r="L90" s="3">
        <f t="shared" si="15"/>
        <v>8900</v>
      </c>
      <c r="M90" s="3">
        <f t="shared" si="24"/>
        <v>11</v>
      </c>
      <c r="N90">
        <f t="shared" si="18"/>
        <v>9.1694915254237272E-2</v>
      </c>
      <c r="O90">
        <v>56</v>
      </c>
      <c r="P90">
        <v>11.42</v>
      </c>
      <c r="Q90">
        <v>10.59</v>
      </c>
      <c r="S90">
        <v>12.69</v>
      </c>
      <c r="T90">
        <v>7.28</v>
      </c>
      <c r="W90">
        <v>59</v>
      </c>
      <c r="X90">
        <f t="shared" ca="1" si="19"/>
        <v>46.371897957693093</v>
      </c>
      <c r="Y90">
        <f ca="1">C90/X90*60</f>
        <v>20.443415985795916</v>
      </c>
      <c r="Z90">
        <v>11.6666666666667</v>
      </c>
      <c r="AA90">
        <v>4.5</v>
      </c>
      <c r="AB90">
        <f t="shared" ca="1" si="20"/>
        <v>19.8</v>
      </c>
      <c r="AC90">
        <f t="shared" ca="1" si="21"/>
        <v>0.64341598579591541</v>
      </c>
      <c r="AD90">
        <f t="shared" ca="1" si="22"/>
        <v>20.443415985795916</v>
      </c>
      <c r="AE90">
        <f ca="1">C90*60/AD90</f>
        <v>46.371897957693093</v>
      </c>
    </row>
    <row r="91" spans="1:31" x14ac:dyDescent="0.45">
      <c r="A91">
        <f t="shared" ca="1" si="16"/>
        <v>22</v>
      </c>
      <c r="B91" s="3">
        <v>8654</v>
      </c>
      <c r="C91">
        <f t="shared" ca="1" si="17"/>
        <v>15.1</v>
      </c>
      <c r="D91">
        <v>33.61</v>
      </c>
      <c r="E91" s="8">
        <v>0.3</v>
      </c>
      <c r="F91" s="19">
        <f t="shared" si="23"/>
        <v>1.2008501594048886</v>
      </c>
      <c r="G91" s="19">
        <f t="shared" si="25"/>
        <v>3.3559698392631381</v>
      </c>
      <c r="H91" s="19">
        <f t="shared" ca="1" si="26"/>
        <v>3.3354697667950584</v>
      </c>
      <c r="I91" s="19">
        <f t="shared" si="27"/>
        <v>42.172360770791975</v>
      </c>
      <c r="J91" s="8">
        <v>0.3</v>
      </c>
      <c r="K91" s="19">
        <f t="shared" si="28"/>
        <v>206</v>
      </c>
      <c r="L91" s="3">
        <f t="shared" si="15"/>
        <v>8700</v>
      </c>
      <c r="M91" s="3">
        <f t="shared" si="24"/>
        <v>13</v>
      </c>
      <c r="N91">
        <f t="shared" si="18"/>
        <v>0.2112</v>
      </c>
      <c r="O91">
        <v>53</v>
      </c>
      <c r="P91">
        <v>12.64</v>
      </c>
      <c r="Q91">
        <v>13.18</v>
      </c>
      <c r="S91">
        <v>12.48</v>
      </c>
      <c r="T91">
        <v>7.2</v>
      </c>
      <c r="W91">
        <v>25</v>
      </c>
      <c r="X91">
        <f t="shared" ca="1" si="19"/>
        <v>46.29517475604824</v>
      </c>
      <c r="Y91">
        <f ca="1">C91/X91*60</f>
        <v>19.570074090316194</v>
      </c>
      <c r="Z91">
        <v>20.080851063829801</v>
      </c>
      <c r="AA91">
        <v>4.5</v>
      </c>
      <c r="AB91">
        <f t="shared" ca="1" si="20"/>
        <v>19.399999999999999</v>
      </c>
      <c r="AC91">
        <f t="shared" ca="1" si="21"/>
        <v>0.17007409031619536</v>
      </c>
      <c r="AD91">
        <f t="shared" ca="1" si="22"/>
        <v>19.570074090316194</v>
      </c>
      <c r="AE91">
        <f ca="1">C91*60/AD91</f>
        <v>46.29517475604824</v>
      </c>
    </row>
    <row r="92" spans="1:31" x14ac:dyDescent="0.45">
      <c r="A92">
        <f t="shared" ca="1" si="16"/>
        <v>19</v>
      </c>
      <c r="B92" s="3">
        <v>6399</v>
      </c>
      <c r="C92">
        <f t="shared" ca="1" si="17"/>
        <v>15.4</v>
      </c>
      <c r="D92">
        <v>34.049999999999997</v>
      </c>
      <c r="E92" s="8">
        <v>0.31</v>
      </c>
      <c r="F92" s="19">
        <f t="shared" si="23"/>
        <v>1.2089440462180379</v>
      </c>
      <c r="G92" s="19">
        <f t="shared" si="25"/>
        <v>3.3739872674733609</v>
      </c>
      <c r="H92" s="19">
        <f t="shared" ca="1" si="26"/>
        <v>3.2699639305496957</v>
      </c>
      <c r="I92" s="19">
        <f t="shared" si="27"/>
        <v>42.398774451199245</v>
      </c>
      <c r="J92" s="8">
        <v>0.31</v>
      </c>
      <c r="K92" s="19">
        <f t="shared" si="28"/>
        <v>151</v>
      </c>
      <c r="L92" s="3">
        <f t="shared" si="15"/>
        <v>6400</v>
      </c>
      <c r="M92" s="3">
        <f t="shared" si="24"/>
        <v>11</v>
      </c>
      <c r="N92">
        <f t="shared" ca="1" si="18"/>
        <v>0.24725024949730712</v>
      </c>
      <c r="O92">
        <v>62.5</v>
      </c>
      <c r="P92">
        <v>10.96</v>
      </c>
      <c r="Q92">
        <v>10.71</v>
      </c>
      <c r="S92">
        <v>12.86</v>
      </c>
      <c r="T92">
        <v>7.37</v>
      </c>
      <c r="W92">
        <f ca="1">X92-A92-AA92</f>
        <v>22.204224307809213</v>
      </c>
      <c r="X92">
        <f t="shared" ca="1" si="19"/>
        <v>45.704224307809213</v>
      </c>
      <c r="Y92">
        <f ca="1">C92/X92*60</f>
        <v>20.216949614482825</v>
      </c>
      <c r="Z92">
        <v>8.1660000000000004</v>
      </c>
      <c r="AA92">
        <v>4.5</v>
      </c>
      <c r="AB92">
        <f t="shared" ca="1" si="20"/>
        <v>19.600000000000001</v>
      </c>
      <c r="AC92">
        <f t="shared" ca="1" si="21"/>
        <v>0.61694961448282448</v>
      </c>
      <c r="AD92">
        <f t="shared" ca="1" si="22"/>
        <v>20.216949614482825</v>
      </c>
      <c r="AE92">
        <f ca="1">C92*60/AD92</f>
        <v>45.704224307809213</v>
      </c>
    </row>
    <row r="93" spans="1:31" x14ac:dyDescent="0.45">
      <c r="A93">
        <f t="shared" ca="1" si="16"/>
        <v>20</v>
      </c>
      <c r="B93" s="3">
        <v>6521</v>
      </c>
      <c r="C93">
        <f t="shared" ca="1" si="17"/>
        <v>16</v>
      </c>
      <c r="D93">
        <v>43.25</v>
      </c>
      <c r="E93" s="8">
        <v>0.31</v>
      </c>
      <c r="F93" s="19">
        <f t="shared" si="23"/>
        <v>1.2089440462180379</v>
      </c>
      <c r="G93" s="19">
        <f t="shared" si="25"/>
        <v>4.1505124616218163</v>
      </c>
      <c r="H93" s="19">
        <f t="shared" ca="1" si="26"/>
        <v>3.3973651226490342</v>
      </c>
      <c r="I93" s="19">
        <f t="shared" si="27"/>
        <v>52.156877832255944</v>
      </c>
      <c r="J93" s="8">
        <v>0.31</v>
      </c>
      <c r="K93" s="19">
        <f t="shared" si="28"/>
        <v>125</v>
      </c>
      <c r="L93" s="3">
        <f t="shared" si="15"/>
        <v>6500</v>
      </c>
      <c r="M93" s="3">
        <f t="shared" si="24"/>
        <v>15</v>
      </c>
      <c r="N93">
        <f t="shared" ca="1" si="18"/>
        <v>0.16361970857967836</v>
      </c>
      <c r="O93">
        <v>60.1</v>
      </c>
      <c r="P93">
        <v>14.93</v>
      </c>
      <c r="Q93">
        <v>14.15</v>
      </c>
      <c r="S93">
        <v>11.24</v>
      </c>
      <c r="T93">
        <v>7.43</v>
      </c>
      <c r="W93">
        <f ca="1">X93-A93-AA93</f>
        <v>23.285703373225566</v>
      </c>
      <c r="X93">
        <f t="shared" ca="1" si="19"/>
        <v>47.785703373225566</v>
      </c>
      <c r="Y93">
        <f ca="1">C93/X93*60</f>
        <v>20.089690686396594</v>
      </c>
      <c r="Z93">
        <v>10.2418604651163</v>
      </c>
      <c r="AA93">
        <v>4.5</v>
      </c>
      <c r="AB93">
        <f t="shared" ca="1" si="20"/>
        <v>19.399999999999999</v>
      </c>
      <c r="AC93">
        <f t="shared" ca="1" si="21"/>
        <v>0.68969068639659392</v>
      </c>
      <c r="AD93">
        <f t="shared" ca="1" si="22"/>
        <v>20.089690686396594</v>
      </c>
      <c r="AE93">
        <f ca="1">C93*60/AD93</f>
        <v>47.785703373225566</v>
      </c>
    </row>
    <row r="94" spans="1:31" x14ac:dyDescent="0.45">
      <c r="A94">
        <f t="shared" ca="1" si="16"/>
        <v>20</v>
      </c>
      <c r="B94" s="3">
        <v>6520</v>
      </c>
      <c r="C94">
        <f t="shared" ca="1" si="17"/>
        <v>14.7</v>
      </c>
      <c r="D94">
        <v>46.33</v>
      </c>
      <c r="E94" s="8">
        <v>0.31</v>
      </c>
      <c r="F94" s="19">
        <f t="shared" si="23"/>
        <v>1.2089440462180379</v>
      </c>
      <c r="G94" s="19">
        <f t="shared" si="25"/>
        <v>4.4104795918367339</v>
      </c>
      <c r="H94" s="19">
        <f t="shared" ca="1" si="26"/>
        <v>3.1213292064337996</v>
      </c>
      <c r="I94" s="19">
        <f t="shared" si="27"/>
        <v>55.42372113808797</v>
      </c>
      <c r="J94" s="8">
        <v>0.31</v>
      </c>
      <c r="K94" s="19">
        <f t="shared" si="28"/>
        <v>117</v>
      </c>
      <c r="L94" s="3">
        <f t="shared" si="15"/>
        <v>6500</v>
      </c>
      <c r="M94" s="3">
        <f t="shared" si="24"/>
        <v>7</v>
      </c>
      <c r="N94">
        <f t="shared" ca="1" si="18"/>
        <v>0.25753351322398421</v>
      </c>
      <c r="O94">
        <v>60.22</v>
      </c>
      <c r="P94">
        <v>6.93</v>
      </c>
      <c r="Q94">
        <v>0.15</v>
      </c>
      <c r="S94">
        <v>12.7</v>
      </c>
      <c r="T94">
        <v>7.32</v>
      </c>
      <c r="W94">
        <f ca="1">X94-A94-AA94</f>
        <v>20.890485019403513</v>
      </c>
      <c r="X94">
        <f t="shared" ca="1" si="19"/>
        <v>45.390485019403513</v>
      </c>
      <c r="Y94">
        <f ca="1">C94/X94*60</f>
        <v>19.431385225845524</v>
      </c>
      <c r="Z94">
        <v>10.6421052631579</v>
      </c>
      <c r="AA94">
        <v>4.5</v>
      </c>
      <c r="AB94">
        <f t="shared" ca="1" si="20"/>
        <v>19.100000000000001</v>
      </c>
      <c r="AC94">
        <f t="shared" ca="1" si="21"/>
        <v>0.33138522584552332</v>
      </c>
      <c r="AD94">
        <f t="shared" ca="1" si="22"/>
        <v>19.431385225845524</v>
      </c>
      <c r="AE94">
        <f ca="1">C94*60/AD94</f>
        <v>45.390485019403513</v>
      </c>
    </row>
    <row r="95" spans="1:31" x14ac:dyDescent="0.45">
      <c r="A95">
        <f t="shared" ca="1" si="16"/>
        <v>21</v>
      </c>
      <c r="B95" s="3">
        <v>6232</v>
      </c>
      <c r="C95">
        <f t="shared" ca="1" si="17"/>
        <v>15.2</v>
      </c>
      <c r="D95">
        <v>41.31</v>
      </c>
      <c r="E95" s="8">
        <v>0.31</v>
      </c>
      <c r="F95" s="19">
        <f t="shared" si="23"/>
        <v>1.2089440462180379</v>
      </c>
      <c r="G95" s="19">
        <f t="shared" si="25"/>
        <v>3.9867669315513821</v>
      </c>
      <c r="H95" s="19">
        <f t="shared" ca="1" si="26"/>
        <v>3.227496866516582</v>
      </c>
      <c r="I95" s="19">
        <f t="shared" si="27"/>
        <v>50.099190814946176</v>
      </c>
      <c r="J95" s="8">
        <v>0.31</v>
      </c>
      <c r="K95" s="19">
        <f t="shared" si="28"/>
        <v>124</v>
      </c>
      <c r="L95" s="3">
        <f t="shared" si="15"/>
        <v>6200</v>
      </c>
      <c r="M95" s="3">
        <f t="shared" si="24"/>
        <v>13</v>
      </c>
      <c r="N95">
        <f t="shared" ca="1" si="18"/>
        <v>0.1400151281086327</v>
      </c>
      <c r="O95">
        <v>59.3</v>
      </c>
      <c r="P95">
        <v>13.29</v>
      </c>
      <c r="Q95">
        <v>12.66</v>
      </c>
      <c r="S95">
        <v>10.130000000000001</v>
      </c>
      <c r="T95">
        <v>7.42</v>
      </c>
      <c r="W95">
        <f ca="1">X95-A95-AA95</f>
        <v>19.355051390571234</v>
      </c>
      <c r="X95">
        <f t="shared" ca="1" si="19"/>
        <v>44.855051390571234</v>
      </c>
      <c r="Y95">
        <f ca="1">C95/X95*60</f>
        <v>20.332158178994018</v>
      </c>
      <c r="Z95">
        <v>10.6973684210526</v>
      </c>
      <c r="AA95">
        <v>4.5</v>
      </c>
      <c r="AB95">
        <f t="shared" ca="1" si="20"/>
        <v>19.899999999999999</v>
      </c>
      <c r="AC95">
        <f t="shared" ca="1" si="21"/>
        <v>0.43215817899402365</v>
      </c>
      <c r="AD95">
        <f t="shared" ca="1" si="22"/>
        <v>20.332158178994021</v>
      </c>
      <c r="AE95">
        <f ca="1">C95*60/AD95</f>
        <v>44.855051390571234</v>
      </c>
    </row>
    <row r="96" spans="1:31" s="2" customFormat="1" x14ac:dyDescent="0.45">
      <c r="A96" s="2">
        <f t="shared" ca="1" si="16"/>
        <v>18</v>
      </c>
      <c r="B96" s="4">
        <v>6359</v>
      </c>
      <c r="C96" s="2">
        <f t="shared" ca="1" si="17"/>
        <v>15.8</v>
      </c>
      <c r="D96" s="2">
        <v>41.32</v>
      </c>
      <c r="E96" s="9">
        <v>0.31</v>
      </c>
      <c r="F96" s="19">
        <f t="shared" si="23"/>
        <v>1.2089440462180379</v>
      </c>
      <c r="G96" s="19">
        <f t="shared" si="25"/>
        <v>3.9876109806754556</v>
      </c>
      <c r="H96" s="19">
        <f t="shared" ca="1" si="26"/>
        <v>3.3548980586159214</v>
      </c>
      <c r="I96" s="19">
        <f t="shared" si="27"/>
        <v>50.109797449056011</v>
      </c>
      <c r="J96" s="9">
        <v>0.31</v>
      </c>
      <c r="K96" s="19">
        <f t="shared" si="28"/>
        <v>128</v>
      </c>
      <c r="L96" s="3">
        <f t="shared" si="15"/>
        <v>6400</v>
      </c>
      <c r="M96" s="3">
        <f t="shared" si="24"/>
        <v>10</v>
      </c>
      <c r="N96" s="2">
        <f t="shared" ca="1" si="18"/>
        <v>0.2016772381749363</v>
      </c>
      <c r="O96" s="2">
        <v>59.6</v>
      </c>
      <c r="P96" s="2">
        <v>10.42</v>
      </c>
      <c r="Q96" s="2">
        <v>9.8000000000000007</v>
      </c>
      <c r="S96" s="2">
        <v>12.41</v>
      </c>
      <c r="T96" s="2">
        <v>7.25</v>
      </c>
      <c r="W96" s="2">
        <f ca="1">X96-A96-AA96</f>
        <v>25.585435653002044</v>
      </c>
      <c r="X96" s="2">
        <f t="shared" ca="1" si="19"/>
        <v>48.085435653002044</v>
      </c>
      <c r="Y96" s="2">
        <f ca="1">C96/X96*60</f>
        <v>19.714909246971022</v>
      </c>
      <c r="Z96" s="2">
        <v>11.139130434782601</v>
      </c>
      <c r="AA96" s="2">
        <v>4.5</v>
      </c>
      <c r="AB96" s="2">
        <f t="shared" ca="1" si="20"/>
        <v>19</v>
      </c>
      <c r="AC96" s="2">
        <f t="shared" ca="1" si="21"/>
        <v>0.71490924697102198</v>
      </c>
      <c r="AD96" s="2">
        <f t="shared" ca="1" si="22"/>
        <v>19.714909246971022</v>
      </c>
      <c r="AE96" s="2">
        <f ca="1">C96*60/AD96</f>
        <v>48.085435653002044</v>
      </c>
    </row>
    <row r="97" spans="1:31" x14ac:dyDescent="0.45">
      <c r="A97">
        <f t="shared" ca="1" si="16"/>
        <v>18</v>
      </c>
      <c r="B97" s="3">
        <v>6821</v>
      </c>
      <c r="C97">
        <f t="shared" ca="1" si="17"/>
        <v>14.8</v>
      </c>
      <c r="D97">
        <v>36.14</v>
      </c>
      <c r="E97" s="8">
        <v>0.31</v>
      </c>
      <c r="F97" s="19">
        <f t="shared" si="23"/>
        <v>1.2089440462180379</v>
      </c>
      <c r="G97" s="19">
        <f t="shared" si="25"/>
        <v>3.550393534404912</v>
      </c>
      <c r="H97" s="19">
        <f t="shared" ca="1" si="26"/>
        <v>3.1425627384503563</v>
      </c>
      <c r="I97" s="19">
        <f t="shared" si="27"/>
        <v>44.615560980156687</v>
      </c>
      <c r="J97" s="8">
        <v>0.31</v>
      </c>
      <c r="K97" s="19">
        <f t="shared" si="28"/>
        <v>152</v>
      </c>
      <c r="L97" s="3">
        <f t="shared" si="15"/>
        <v>6800</v>
      </c>
      <c r="M97" s="3">
        <f t="shared" si="24"/>
        <v>15</v>
      </c>
      <c r="N97">
        <f t="shared" ca="1" si="18"/>
        <v>0.18316582374233845</v>
      </c>
      <c r="O97">
        <v>60.23</v>
      </c>
      <c r="P97">
        <v>15</v>
      </c>
      <c r="Q97">
        <v>14.32</v>
      </c>
      <c r="S97">
        <v>11.5</v>
      </c>
      <c r="T97">
        <v>7.34</v>
      </c>
      <c r="W97">
        <f ca="1">X97-A97-AA97</f>
        <v>22.71166047794987</v>
      </c>
      <c r="X97">
        <f t="shared" ca="1" si="19"/>
        <v>45.21166047794987</v>
      </c>
      <c r="Y97">
        <f ca="1">C97/X97*60</f>
        <v>19.64095082137241</v>
      </c>
      <c r="Z97">
        <v>15.67</v>
      </c>
      <c r="AA97">
        <v>4.5</v>
      </c>
      <c r="AB97">
        <f t="shared" ca="1" si="20"/>
        <v>19.100000000000001</v>
      </c>
      <c r="AC97">
        <f t="shared" ca="1" si="21"/>
        <v>0.54095082137241035</v>
      </c>
      <c r="AD97">
        <f t="shared" ca="1" si="22"/>
        <v>19.64095082137241</v>
      </c>
      <c r="AE97">
        <f ca="1">C97*60/AD97</f>
        <v>45.21166047794987</v>
      </c>
    </row>
    <row r="98" spans="1:31" x14ac:dyDescent="0.45">
      <c r="A98">
        <f t="shared" ca="1" si="16"/>
        <v>22</v>
      </c>
      <c r="B98" s="3">
        <v>6428</v>
      </c>
      <c r="C98">
        <f t="shared" ca="1" si="17"/>
        <v>15.6</v>
      </c>
      <c r="D98">
        <v>48.14</v>
      </c>
      <c r="E98" s="8">
        <v>0.31</v>
      </c>
      <c r="F98" s="19">
        <f t="shared" si="23"/>
        <v>1.2089440462180379</v>
      </c>
      <c r="G98" s="19">
        <f t="shared" si="25"/>
        <v>4.5632524832942023</v>
      </c>
      <c r="H98" s="19">
        <f t="shared" ca="1" si="26"/>
        <v>3.3124309945828077</v>
      </c>
      <c r="I98" s="19">
        <f t="shared" si="27"/>
        <v>57.343521911969788</v>
      </c>
      <c r="J98" s="8">
        <v>0.31</v>
      </c>
      <c r="K98" s="19">
        <f t="shared" si="28"/>
        <v>112</v>
      </c>
      <c r="L98" s="3">
        <f t="shared" si="15"/>
        <v>6400</v>
      </c>
      <c r="M98" s="3">
        <f t="shared" si="24"/>
        <v>10</v>
      </c>
      <c r="N98">
        <f t="shared" ca="1" si="18"/>
        <v>0.25500606774521728</v>
      </c>
      <c r="O98">
        <v>62.8</v>
      </c>
      <c r="P98">
        <v>9.59</v>
      </c>
      <c r="Q98">
        <v>7.49</v>
      </c>
      <c r="S98">
        <v>12.14</v>
      </c>
      <c r="T98">
        <v>7.15</v>
      </c>
      <c r="W98">
        <f ca="1">X98-A98-AA98</f>
        <v>19.568161825018336</v>
      </c>
      <c r="X98">
        <f t="shared" ca="1" si="19"/>
        <v>46.068161825018336</v>
      </c>
      <c r="Y98">
        <f ca="1">C98/X98*60</f>
        <v>20.317719720513885</v>
      </c>
      <c r="Z98">
        <v>9.7734939759036106</v>
      </c>
      <c r="AA98">
        <v>4.5</v>
      </c>
      <c r="AB98">
        <f t="shared" ca="1" si="20"/>
        <v>19.8</v>
      </c>
      <c r="AC98">
        <f t="shared" ca="1" si="21"/>
        <v>0.51771972051388537</v>
      </c>
      <c r="AD98">
        <f t="shared" ca="1" si="22"/>
        <v>20.317719720513885</v>
      </c>
      <c r="AE98">
        <f ca="1">C98*60/AD98</f>
        <v>46.068161825018336</v>
      </c>
    </row>
    <row r="99" spans="1:31" x14ac:dyDescent="0.45">
      <c r="A99">
        <f t="shared" ca="1" si="16"/>
        <v>16</v>
      </c>
      <c r="B99" s="3">
        <v>6248</v>
      </c>
      <c r="C99">
        <f t="shared" ca="1" si="17"/>
        <v>16.399999999999999</v>
      </c>
      <c r="D99">
        <v>33.78</v>
      </c>
      <c r="E99" s="8">
        <v>0.31</v>
      </c>
      <c r="F99" s="19">
        <f t="shared" si="23"/>
        <v>1.2089440462180379</v>
      </c>
      <c r="G99" s="19">
        <f t="shared" si="25"/>
        <v>3.3511979411233517</v>
      </c>
      <c r="H99" s="19">
        <f t="shared" ca="1" si="26"/>
        <v>3.4822992507152599</v>
      </c>
      <c r="I99" s="19">
        <f t="shared" si="27"/>
        <v>42.112395330233447</v>
      </c>
      <c r="J99" s="8">
        <v>0.31</v>
      </c>
      <c r="K99" s="19">
        <f t="shared" si="28"/>
        <v>147</v>
      </c>
      <c r="L99" s="3">
        <f t="shared" si="15"/>
        <v>6200</v>
      </c>
      <c r="M99" s="3">
        <f t="shared" si="24"/>
        <v>8</v>
      </c>
      <c r="N99">
        <f t="shared" ca="1" si="18"/>
        <v>0.19932631242698359</v>
      </c>
      <c r="O99">
        <v>60.84</v>
      </c>
      <c r="P99">
        <v>7.98</v>
      </c>
      <c r="Q99">
        <v>8.1199999999999992</v>
      </c>
      <c r="S99">
        <v>12.85</v>
      </c>
      <c r="T99">
        <v>7.13</v>
      </c>
      <c r="W99">
        <f ca="1">X99-A99-AA99</f>
        <v>28.696662926001437</v>
      </c>
      <c r="X99">
        <f t="shared" ca="1" si="19"/>
        <v>49.196662926001437</v>
      </c>
      <c r="Y99">
        <f ca="1">C99/X99*60</f>
        <v>20.00135662616124</v>
      </c>
      <c r="Z99">
        <v>16.2268656716418</v>
      </c>
      <c r="AA99">
        <v>4.5</v>
      </c>
      <c r="AB99">
        <f t="shared" ca="1" si="20"/>
        <v>19.100000000000001</v>
      </c>
      <c r="AC99">
        <f t="shared" ca="1" si="21"/>
        <v>0.90135662616123902</v>
      </c>
      <c r="AD99">
        <f t="shared" ca="1" si="22"/>
        <v>20.00135662616124</v>
      </c>
      <c r="AE99">
        <f ca="1">C99*60/AD99</f>
        <v>49.196662926001437</v>
      </c>
    </row>
    <row r="100" spans="1:31" x14ac:dyDescent="0.45">
      <c r="A100">
        <f t="shared" ca="1" si="16"/>
        <v>16</v>
      </c>
      <c r="B100" s="3">
        <v>6842</v>
      </c>
      <c r="C100">
        <f t="shared" ca="1" si="17"/>
        <v>14.7</v>
      </c>
      <c r="D100">
        <v>33.909999999999997</v>
      </c>
      <c r="E100" s="8">
        <v>0.31</v>
      </c>
      <c r="F100" s="19">
        <f t="shared" si="23"/>
        <v>1.2089440462180379</v>
      </c>
      <c r="G100" s="19">
        <f t="shared" si="25"/>
        <v>3.3621705797363188</v>
      </c>
      <c r="H100" s="19">
        <f t="shared" ca="1" si="26"/>
        <v>3.1213292064337996</v>
      </c>
      <c r="I100" s="19">
        <f t="shared" si="27"/>
        <v>42.250281573661418</v>
      </c>
      <c r="J100" s="8">
        <v>0.31</v>
      </c>
      <c r="K100" s="19">
        <f t="shared" si="28"/>
        <v>161</v>
      </c>
      <c r="L100" s="3">
        <f t="shared" si="15"/>
        <v>6800</v>
      </c>
      <c r="M100" s="3">
        <f t="shared" si="24"/>
        <v>11</v>
      </c>
      <c r="N100">
        <f t="shared" ca="1" si="18"/>
        <v>0.24381914109750924</v>
      </c>
      <c r="O100">
        <v>54.6</v>
      </c>
      <c r="P100">
        <v>11.08</v>
      </c>
      <c r="Q100">
        <v>5.27</v>
      </c>
      <c r="S100">
        <v>12.96</v>
      </c>
      <c r="T100">
        <v>7.39</v>
      </c>
      <c r="W100">
        <f ca="1">X100-A100-AA100</f>
        <v>22.844801991048037</v>
      </c>
      <c r="X100">
        <f t="shared" ca="1" si="19"/>
        <v>43.344801991048037</v>
      </c>
      <c r="Y100">
        <f ca="1">C100/X100*60</f>
        <v>20.348460703134798</v>
      </c>
      <c r="Z100">
        <v>17.366666666666699</v>
      </c>
      <c r="AA100">
        <v>4.5</v>
      </c>
      <c r="AB100">
        <f t="shared" ca="1" si="20"/>
        <v>19.399999999999999</v>
      </c>
      <c r="AC100">
        <f t="shared" ca="1" si="21"/>
        <v>0.94846070313480435</v>
      </c>
      <c r="AD100">
        <f t="shared" ca="1" si="22"/>
        <v>20.348460703134801</v>
      </c>
      <c r="AE100">
        <f ca="1">C100*60/AD100</f>
        <v>43.344801991048037</v>
      </c>
    </row>
    <row r="101" spans="1:31" x14ac:dyDescent="0.45">
      <c r="A101">
        <f t="shared" ca="1" si="16"/>
        <v>16</v>
      </c>
      <c r="B101" s="3">
        <v>6542</v>
      </c>
      <c r="C101">
        <f t="shared" ca="1" si="17"/>
        <v>14.5</v>
      </c>
      <c r="D101">
        <v>36.869999999999997</v>
      </c>
      <c r="E101" s="8">
        <v>0.31</v>
      </c>
      <c r="F101" s="19">
        <f t="shared" si="23"/>
        <v>1.2089440462180379</v>
      </c>
      <c r="G101" s="19">
        <f t="shared" si="25"/>
        <v>3.6120091204623437</v>
      </c>
      <c r="H101" s="19">
        <f t="shared" ca="1" si="26"/>
        <v>3.0788621424006872</v>
      </c>
      <c r="I101" s="19">
        <f t="shared" si="27"/>
        <v>45.389845270175314</v>
      </c>
      <c r="J101" s="8">
        <v>0.31</v>
      </c>
      <c r="K101" s="19">
        <f t="shared" si="28"/>
        <v>143</v>
      </c>
      <c r="L101" s="3">
        <f t="shared" si="15"/>
        <v>6500</v>
      </c>
      <c r="M101" s="3">
        <f t="shared" si="24"/>
        <v>13</v>
      </c>
      <c r="N101">
        <f t="shared" ca="1" si="18"/>
        <v>0.26000795081234868</v>
      </c>
      <c r="O101">
        <v>58.24</v>
      </c>
      <c r="P101">
        <v>13.38</v>
      </c>
      <c r="Q101">
        <v>14.88</v>
      </c>
      <c r="S101">
        <v>12.69</v>
      </c>
      <c r="T101">
        <v>7</v>
      </c>
      <c r="W101">
        <f ca="1">X101-A101-AA101</f>
        <v>21.88394617250205</v>
      </c>
      <c r="X101">
        <f t="shared" ca="1" si="19"/>
        <v>42.38394617250205</v>
      </c>
      <c r="Y101">
        <f ca="1">C101/X101*60</f>
        <v>20.526639885279028</v>
      </c>
      <c r="Z101">
        <v>11.8571428571429</v>
      </c>
      <c r="AA101">
        <v>4.5</v>
      </c>
      <c r="AB101">
        <f t="shared" ca="1" si="20"/>
        <v>20</v>
      </c>
      <c r="AC101">
        <f t="shared" ca="1" si="21"/>
        <v>0.52663988527902827</v>
      </c>
      <c r="AD101">
        <f t="shared" ca="1" si="22"/>
        <v>20.526639885279028</v>
      </c>
      <c r="AE101">
        <f ca="1">C101*60/AD101</f>
        <v>42.38394617250205</v>
      </c>
    </row>
    <row r="102" spans="1:31" x14ac:dyDescent="0.45">
      <c r="A102">
        <f t="shared" ca="1" si="16"/>
        <v>21</v>
      </c>
      <c r="B102" s="3">
        <v>6658</v>
      </c>
      <c r="C102">
        <f t="shared" ca="1" si="17"/>
        <v>15.9</v>
      </c>
      <c r="D102">
        <v>41.22</v>
      </c>
      <c r="E102" s="8">
        <v>0.31</v>
      </c>
      <c r="F102" s="19">
        <f t="shared" si="23"/>
        <v>1.2089440462180379</v>
      </c>
      <c r="G102" s="19">
        <f t="shared" si="25"/>
        <v>3.9791704894347113</v>
      </c>
      <c r="H102" s="19">
        <f t="shared" ca="1" si="26"/>
        <v>3.3761315906324776</v>
      </c>
      <c r="I102" s="19">
        <f t="shared" si="27"/>
        <v>50.003731107957563</v>
      </c>
      <c r="J102" s="8">
        <v>0.31</v>
      </c>
      <c r="K102" s="19">
        <f t="shared" si="28"/>
        <v>134</v>
      </c>
      <c r="L102" s="3">
        <f t="shared" si="15"/>
        <v>6700</v>
      </c>
      <c r="M102" s="3">
        <f t="shared" si="24"/>
        <v>14</v>
      </c>
      <c r="N102">
        <f t="shared" ca="1" si="18"/>
        <v>0.22764696251554778</v>
      </c>
      <c r="O102">
        <v>53.6</v>
      </c>
      <c r="P102">
        <v>13.57</v>
      </c>
      <c r="Q102">
        <v>13.78</v>
      </c>
      <c r="S102">
        <v>12.34</v>
      </c>
      <c r="T102">
        <v>7.32</v>
      </c>
      <c r="W102">
        <f ca="1">X102-A102-AA102</f>
        <v>22.051688915713711</v>
      </c>
      <c r="X102">
        <f t="shared" ca="1" si="19"/>
        <v>47.551688915713711</v>
      </c>
      <c r="Y102">
        <f ca="1">C102/X102*60</f>
        <v>20.062378892387681</v>
      </c>
      <c r="Z102">
        <v>13.549253731343301</v>
      </c>
      <c r="AA102">
        <v>4.5</v>
      </c>
      <c r="AB102">
        <f t="shared" ca="1" si="20"/>
        <v>19.100000000000001</v>
      </c>
      <c r="AC102">
        <f t="shared" ca="1" si="21"/>
        <v>0.96237889238767982</v>
      </c>
      <c r="AD102">
        <f t="shared" ca="1" si="22"/>
        <v>20.062378892387681</v>
      </c>
      <c r="AE102">
        <f ca="1">C102*60/AD102</f>
        <v>47.551688915713711</v>
      </c>
    </row>
    <row r="103" spans="1:31" x14ac:dyDescent="0.45">
      <c r="A103">
        <f t="shared" ca="1" si="16"/>
        <v>19</v>
      </c>
      <c r="B103" s="3">
        <v>6626</v>
      </c>
      <c r="C103">
        <f t="shared" ca="1" si="17"/>
        <v>16</v>
      </c>
      <c r="D103">
        <v>38.549999999999997</v>
      </c>
      <c r="E103" s="8">
        <v>0.31</v>
      </c>
      <c r="F103" s="19">
        <f t="shared" si="23"/>
        <v>1.2089440462180379</v>
      </c>
      <c r="G103" s="19">
        <f t="shared" si="25"/>
        <v>3.7538093733068445</v>
      </c>
      <c r="H103" s="19">
        <f t="shared" ca="1" si="26"/>
        <v>3.3973651226490342</v>
      </c>
      <c r="I103" s="19">
        <f t="shared" si="27"/>
        <v>47.171759800629154</v>
      </c>
      <c r="J103" s="8">
        <v>0.31</v>
      </c>
      <c r="K103" s="19">
        <f t="shared" si="28"/>
        <v>140</v>
      </c>
      <c r="L103" s="3">
        <f t="shared" si="15"/>
        <v>6600</v>
      </c>
      <c r="M103" s="3">
        <f t="shared" si="24"/>
        <v>11</v>
      </c>
      <c r="N103">
        <f t="shared" ca="1" si="18"/>
        <v>0.19460932861777647</v>
      </c>
      <c r="O103">
        <v>53</v>
      </c>
      <c r="P103">
        <v>10.77</v>
      </c>
      <c r="Q103">
        <v>9.49</v>
      </c>
      <c r="S103">
        <v>12.23</v>
      </c>
      <c r="T103">
        <v>7.35</v>
      </c>
      <c r="W103">
        <f ca="1">X103-A103-AA103</f>
        <v>25.075879119775351</v>
      </c>
      <c r="X103">
        <f t="shared" ca="1" si="19"/>
        <v>48.575879119775351</v>
      </c>
      <c r="Y103">
        <f ca="1">C103/X103*60</f>
        <v>19.762895029298232</v>
      </c>
      <c r="Z103">
        <v>15.009523809523801</v>
      </c>
      <c r="AA103">
        <v>4.5</v>
      </c>
      <c r="AB103">
        <f t="shared" ca="1" si="20"/>
        <v>19.600000000000001</v>
      </c>
      <c r="AC103">
        <f t="shared" ca="1" si="21"/>
        <v>0.16289502929823063</v>
      </c>
      <c r="AD103">
        <f t="shared" ca="1" si="22"/>
        <v>19.762895029298232</v>
      </c>
      <c r="AE103">
        <f ca="1">C103*60/AD103</f>
        <v>48.575879119775351</v>
      </c>
    </row>
    <row r="104" spans="1:31" x14ac:dyDescent="0.45">
      <c r="A104">
        <f t="shared" ca="1" si="16"/>
        <v>16</v>
      </c>
      <c r="B104" s="3">
        <v>6579</v>
      </c>
      <c r="C104">
        <f t="shared" ca="1" si="17"/>
        <v>15.1</v>
      </c>
      <c r="D104">
        <v>39.76</v>
      </c>
      <c r="E104" s="8">
        <v>0.31</v>
      </c>
      <c r="F104" s="19">
        <f t="shared" si="23"/>
        <v>1.2089440462180379</v>
      </c>
      <c r="G104" s="19">
        <f t="shared" si="25"/>
        <v>3.855939317319848</v>
      </c>
      <c r="H104" s="19">
        <f t="shared" ca="1" si="26"/>
        <v>3.2062633345000258</v>
      </c>
      <c r="I104" s="19">
        <f t="shared" si="27"/>
        <v>48.455162527920308</v>
      </c>
      <c r="J104" s="8">
        <v>0.31</v>
      </c>
      <c r="K104" s="19">
        <f t="shared" si="28"/>
        <v>136</v>
      </c>
      <c r="L104" s="3">
        <f t="shared" si="15"/>
        <v>6600</v>
      </c>
      <c r="M104" s="3">
        <f t="shared" si="24"/>
        <v>12</v>
      </c>
      <c r="N104">
        <f t="shared" ca="1" si="18"/>
        <v>0.21261936685290506</v>
      </c>
      <c r="O104">
        <v>53.8</v>
      </c>
      <c r="P104">
        <v>11.91</v>
      </c>
      <c r="Q104">
        <v>11.7</v>
      </c>
      <c r="S104">
        <v>12.01</v>
      </c>
      <c r="T104">
        <v>7.14</v>
      </c>
      <c r="W104">
        <f ca="1">X104-A104-AA104</f>
        <v>22.904780839504511</v>
      </c>
      <c r="X104">
        <f t="shared" ca="1" si="19"/>
        <v>43.404780839504511</v>
      </c>
      <c r="Y104">
        <f ca="1">C104/X104*60</f>
        <v>20.873276686963742</v>
      </c>
      <c r="Z104">
        <v>12.4342105263158</v>
      </c>
      <c r="AA104">
        <v>4.5</v>
      </c>
      <c r="AB104">
        <f t="shared" ca="1" si="20"/>
        <v>19.899999999999999</v>
      </c>
      <c r="AC104">
        <f t="shared" ca="1" si="21"/>
        <v>0.97327668696374259</v>
      </c>
      <c r="AD104">
        <f t="shared" ca="1" si="22"/>
        <v>20.873276686963742</v>
      </c>
      <c r="AE104">
        <f ca="1">C104*60/AD104</f>
        <v>43.404780839504511</v>
      </c>
    </row>
    <row r="105" spans="1:31" x14ac:dyDescent="0.45">
      <c r="A105">
        <f t="shared" ca="1" si="16"/>
        <v>19</v>
      </c>
      <c r="B105" s="3">
        <v>6159</v>
      </c>
      <c r="C105">
        <f t="shared" ca="1" si="17"/>
        <v>15.5</v>
      </c>
      <c r="D105">
        <v>39.4</v>
      </c>
      <c r="E105" s="8">
        <v>0.31</v>
      </c>
      <c r="F105" s="19">
        <f t="shared" si="23"/>
        <v>1.2089440462180379</v>
      </c>
      <c r="G105" s="19">
        <f t="shared" si="25"/>
        <v>3.8255535488531693</v>
      </c>
      <c r="H105" s="19">
        <f t="shared" ca="1" si="26"/>
        <v>3.2911974625662519</v>
      </c>
      <c r="I105" s="19">
        <f t="shared" si="27"/>
        <v>48.073323699965911</v>
      </c>
      <c r="J105" s="8">
        <v>0.31</v>
      </c>
      <c r="K105" s="19">
        <f t="shared" si="28"/>
        <v>129</v>
      </c>
      <c r="L105" s="3">
        <f t="shared" si="15"/>
        <v>6200</v>
      </c>
      <c r="M105" s="3">
        <f t="shared" si="24"/>
        <v>9</v>
      </c>
      <c r="N105">
        <f t="shared" ca="1" si="18"/>
        <v>0.21427262929257643</v>
      </c>
      <c r="O105">
        <v>59.4</v>
      </c>
      <c r="P105">
        <v>8.67</v>
      </c>
      <c r="Q105">
        <v>6.79</v>
      </c>
      <c r="S105">
        <v>11.97</v>
      </c>
      <c r="T105">
        <v>7.1</v>
      </c>
      <c r="W105">
        <f ca="1">X105-A105-AA105</f>
        <v>22.728054516707815</v>
      </c>
      <c r="X105">
        <f t="shared" ca="1" si="19"/>
        <v>46.228054516707815</v>
      </c>
      <c r="Y105">
        <f ca="1">C105/X105*60</f>
        <v>20.117653873231415</v>
      </c>
      <c r="Z105">
        <v>11.0720930232558</v>
      </c>
      <c r="AA105">
        <v>4.5</v>
      </c>
      <c r="AB105">
        <f t="shared" ca="1" si="20"/>
        <v>19.3</v>
      </c>
      <c r="AC105">
        <f t="shared" ca="1" si="21"/>
        <v>0.81765387323141381</v>
      </c>
      <c r="AD105">
        <f t="shared" ca="1" si="22"/>
        <v>20.117653873231415</v>
      </c>
      <c r="AE105">
        <f ca="1">C105*60/AD105</f>
        <v>46.228054516707815</v>
      </c>
    </row>
    <row r="106" spans="1:31" x14ac:dyDescent="0.45">
      <c r="A106">
        <f t="shared" ca="1" si="16"/>
        <v>21</v>
      </c>
      <c r="B106" s="3">
        <v>6642</v>
      </c>
      <c r="C106">
        <f t="shared" ca="1" si="17"/>
        <v>15.7</v>
      </c>
      <c r="D106">
        <v>39.909999999999997</v>
      </c>
      <c r="E106" s="8">
        <v>0.31</v>
      </c>
      <c r="F106" s="19">
        <f t="shared" si="23"/>
        <v>1.2089440462180379</v>
      </c>
      <c r="G106" s="19">
        <f t="shared" si="25"/>
        <v>3.8686000541809635</v>
      </c>
      <c r="H106" s="19">
        <f t="shared" ca="1" si="26"/>
        <v>3.3336645265993643</v>
      </c>
      <c r="I106" s="19">
        <f t="shared" si="27"/>
        <v>48.614262039567961</v>
      </c>
      <c r="J106" s="8">
        <v>0.31</v>
      </c>
      <c r="K106" s="19">
        <f t="shared" si="28"/>
        <v>136</v>
      </c>
      <c r="L106" s="3">
        <f t="shared" si="15"/>
        <v>6600</v>
      </c>
      <c r="M106" s="3">
        <f t="shared" si="24"/>
        <v>11</v>
      </c>
      <c r="N106">
        <f t="shared" ca="1" si="18"/>
        <v>0.24200297381924699</v>
      </c>
      <c r="O106">
        <v>54.9</v>
      </c>
      <c r="P106">
        <v>11.45</v>
      </c>
      <c r="Q106">
        <v>11.67</v>
      </c>
      <c r="S106">
        <v>12.2</v>
      </c>
      <c r="T106">
        <v>7.21</v>
      </c>
      <c r="W106">
        <f ca="1">X106-A106-AA106</f>
        <v>20.619581326827209</v>
      </c>
      <c r="X106">
        <f t="shared" ca="1" si="19"/>
        <v>46.119581326827209</v>
      </c>
      <c r="Y106">
        <f ca="1">C106/X106*60</f>
        <v>20.425163735214781</v>
      </c>
      <c r="Z106">
        <v>11.271428571428601</v>
      </c>
      <c r="AA106">
        <v>4.5</v>
      </c>
      <c r="AB106">
        <f t="shared" ca="1" si="20"/>
        <v>19.600000000000001</v>
      </c>
      <c r="AC106">
        <f t="shared" ca="1" si="21"/>
        <v>0.82516373521478315</v>
      </c>
      <c r="AD106">
        <f t="shared" ca="1" si="22"/>
        <v>20.425163735214785</v>
      </c>
      <c r="AE106">
        <f ca="1">C106*60/AD106</f>
        <v>46.119581326827209</v>
      </c>
    </row>
    <row r="107" spans="1:31" x14ac:dyDescent="0.45">
      <c r="A107">
        <f t="shared" ca="1" si="16"/>
        <v>20</v>
      </c>
      <c r="B107" s="3">
        <v>6412</v>
      </c>
      <c r="C107">
        <f t="shared" ca="1" si="17"/>
        <v>15.7</v>
      </c>
      <c r="D107">
        <v>36.53</v>
      </c>
      <c r="E107" s="8">
        <v>0.31</v>
      </c>
      <c r="F107" s="19">
        <f t="shared" si="23"/>
        <v>1.2089440462180379</v>
      </c>
      <c r="G107" s="19">
        <f t="shared" si="25"/>
        <v>3.5833114502438144</v>
      </c>
      <c r="H107" s="19">
        <f t="shared" ca="1" si="26"/>
        <v>3.3336645265993643</v>
      </c>
      <c r="I107" s="19">
        <f t="shared" si="27"/>
        <v>45.029219710440621</v>
      </c>
      <c r="J107" s="8">
        <v>0.31</v>
      </c>
      <c r="K107" s="19">
        <f t="shared" si="28"/>
        <v>142</v>
      </c>
      <c r="L107" s="3">
        <f t="shared" si="15"/>
        <v>6400</v>
      </c>
      <c r="M107" s="3">
        <f t="shared" si="24"/>
        <v>8</v>
      </c>
      <c r="N107">
        <f t="shared" ca="1" si="18"/>
        <v>0.25895885608659619</v>
      </c>
      <c r="O107">
        <v>60</v>
      </c>
      <c r="P107">
        <v>8.09</v>
      </c>
      <c r="Q107">
        <v>12.84</v>
      </c>
      <c r="S107">
        <v>12.54</v>
      </c>
      <c r="T107">
        <v>7</v>
      </c>
      <c r="W107">
        <f ca="1">X107-A107-AA107</f>
        <v>21.393359870833748</v>
      </c>
      <c r="X107">
        <f t="shared" ca="1" si="19"/>
        <v>45.893359870833748</v>
      </c>
      <c r="Y107">
        <f ca="1">C107/X107*60</f>
        <v>20.525845190921878</v>
      </c>
      <c r="Z107">
        <v>13.116666666666699</v>
      </c>
      <c r="AA107">
        <v>4.5</v>
      </c>
      <c r="AB107">
        <f t="shared" ca="1" si="20"/>
        <v>20</v>
      </c>
      <c r="AC107">
        <f t="shared" ca="1" si="21"/>
        <v>0.52584519092187809</v>
      </c>
      <c r="AD107">
        <f t="shared" ca="1" si="22"/>
        <v>20.525845190921878</v>
      </c>
      <c r="AE107">
        <f ca="1">C107*60/AD107</f>
        <v>45.893359870833748</v>
      </c>
    </row>
    <row r="108" spans="1:31" x14ac:dyDescent="0.45">
      <c r="A108">
        <f t="shared" ca="1" si="16"/>
        <v>18</v>
      </c>
      <c r="B108" s="3">
        <v>6588</v>
      </c>
      <c r="C108">
        <f t="shared" ca="1" si="17"/>
        <v>16.5</v>
      </c>
      <c r="D108">
        <v>39.270000000000003</v>
      </c>
      <c r="E108" s="8">
        <v>0.31</v>
      </c>
      <c r="F108" s="19">
        <f t="shared" si="23"/>
        <v>1.2089440462180379</v>
      </c>
      <c r="G108" s="19">
        <f t="shared" si="25"/>
        <v>3.8145809102402022</v>
      </c>
      <c r="H108" s="19">
        <f t="shared" ca="1" si="26"/>
        <v>3.5035327827318161</v>
      </c>
      <c r="I108" s="19">
        <f t="shared" si="27"/>
        <v>47.93543745653794</v>
      </c>
      <c r="J108" s="8">
        <v>0.31</v>
      </c>
      <c r="K108" s="19">
        <f t="shared" si="28"/>
        <v>138</v>
      </c>
      <c r="L108" s="3">
        <f t="shared" si="15"/>
        <v>6600</v>
      </c>
      <c r="M108" s="3">
        <f t="shared" si="24"/>
        <v>11</v>
      </c>
      <c r="N108">
        <f t="shared" ca="1" si="18"/>
        <v>0.21334573812285879</v>
      </c>
      <c r="O108">
        <v>51</v>
      </c>
      <c r="P108">
        <v>11.05</v>
      </c>
      <c r="Q108">
        <v>13.53</v>
      </c>
      <c r="S108">
        <v>12.87</v>
      </c>
      <c r="T108">
        <v>7.2</v>
      </c>
      <c r="W108">
        <f ca="1">X108-A108-AA108</f>
        <v>26.576579639640293</v>
      </c>
      <c r="X108">
        <f t="shared" ca="1" si="19"/>
        <v>49.076579639640293</v>
      </c>
      <c r="Y108">
        <f ca="1">C108/X108*60</f>
        <v>20.172554959399697</v>
      </c>
      <c r="Z108">
        <v>15.4548387096774</v>
      </c>
      <c r="AA108">
        <v>4.5</v>
      </c>
      <c r="AB108">
        <f t="shared" ca="1" si="20"/>
        <v>19.399999999999999</v>
      </c>
      <c r="AC108">
        <f t="shared" ca="1" si="21"/>
        <v>0.77255495939970009</v>
      </c>
      <c r="AD108">
        <f t="shared" ca="1" si="22"/>
        <v>20.172554959399697</v>
      </c>
      <c r="AE108">
        <f ca="1">C108*60/AD108</f>
        <v>49.076579639640293</v>
      </c>
    </row>
    <row r="109" spans="1:31" x14ac:dyDescent="0.45">
      <c r="A109">
        <f t="shared" ca="1" si="16"/>
        <v>16</v>
      </c>
      <c r="B109" s="3">
        <v>6355</v>
      </c>
      <c r="C109">
        <f t="shared" ca="1" si="17"/>
        <v>16.100000000000001</v>
      </c>
      <c r="D109">
        <v>39.93</v>
      </c>
      <c r="E109" s="8">
        <v>0.31</v>
      </c>
      <c r="F109" s="19">
        <f t="shared" si="23"/>
        <v>1.2089440462180379</v>
      </c>
      <c r="G109" s="19">
        <f t="shared" si="25"/>
        <v>3.8702881524291133</v>
      </c>
      <c r="H109" s="19">
        <f t="shared" ca="1" si="26"/>
        <v>3.4185986546655904</v>
      </c>
      <c r="I109" s="19">
        <f t="shared" si="27"/>
        <v>48.635475307787665</v>
      </c>
      <c r="J109" s="8">
        <v>0.31</v>
      </c>
      <c r="K109" s="19">
        <f t="shared" si="28"/>
        <v>132</v>
      </c>
      <c r="L109" s="3">
        <f t="shared" si="15"/>
        <v>6400</v>
      </c>
      <c r="M109" s="3">
        <f t="shared" si="24"/>
        <v>9</v>
      </c>
      <c r="N109">
        <f t="shared" ca="1" si="18"/>
        <v>0.21243975786195052</v>
      </c>
      <c r="O109">
        <v>56</v>
      </c>
      <c r="P109">
        <v>8.9700000000000006</v>
      </c>
      <c r="Q109">
        <v>10.98</v>
      </c>
      <c r="S109">
        <v>12.86</v>
      </c>
      <c r="T109">
        <v>7.11</v>
      </c>
      <c r="W109">
        <f ca="1">X109-A109-AA109</f>
        <v>27.066496675902421</v>
      </c>
      <c r="X109">
        <f t="shared" ca="1" si="19"/>
        <v>47.566496675902421</v>
      </c>
      <c r="Y109">
        <f ca="1">C109/X109*60</f>
        <v>20.308411750016134</v>
      </c>
      <c r="Z109">
        <v>11.9175</v>
      </c>
      <c r="AA109">
        <v>4.5</v>
      </c>
      <c r="AB109">
        <f t="shared" ca="1" si="20"/>
        <v>19.899999999999999</v>
      </c>
      <c r="AC109">
        <f t="shared" ca="1" si="21"/>
        <v>0.40841175001613417</v>
      </c>
      <c r="AD109">
        <f t="shared" ca="1" si="22"/>
        <v>20.308411750016134</v>
      </c>
      <c r="AE109">
        <f ca="1">C109*60/AD109</f>
        <v>47.566496675902421</v>
      </c>
    </row>
    <row r="110" spans="1:31" x14ac:dyDescent="0.45">
      <c r="A110">
        <f t="shared" ca="1" si="16"/>
        <v>18</v>
      </c>
      <c r="B110" s="3">
        <v>6493</v>
      </c>
      <c r="C110">
        <f t="shared" ca="1" si="17"/>
        <v>16.3</v>
      </c>
      <c r="D110">
        <v>40.85</v>
      </c>
      <c r="E110" s="8">
        <v>0.31</v>
      </c>
      <c r="F110" s="19">
        <f t="shared" si="23"/>
        <v>1.2089440462180379</v>
      </c>
      <c r="G110" s="19">
        <f t="shared" si="25"/>
        <v>3.9479406718439587</v>
      </c>
      <c r="H110" s="19">
        <f t="shared" ca="1" si="26"/>
        <v>3.4610657186987037</v>
      </c>
      <c r="I110" s="19">
        <f t="shared" si="27"/>
        <v>49.611285645893332</v>
      </c>
      <c r="J110" s="8">
        <v>0.31</v>
      </c>
      <c r="K110" s="19">
        <f t="shared" si="28"/>
        <v>131</v>
      </c>
      <c r="L110" s="3">
        <f t="shared" si="15"/>
        <v>6500</v>
      </c>
      <c r="M110" s="3">
        <f t="shared" si="24"/>
        <v>12</v>
      </c>
      <c r="N110">
        <f t="shared" ca="1" si="18"/>
        <v>0.20275744851849289</v>
      </c>
      <c r="O110">
        <v>52.9</v>
      </c>
      <c r="P110">
        <v>11.97</v>
      </c>
      <c r="Q110">
        <v>11.46</v>
      </c>
      <c r="S110">
        <v>12.79</v>
      </c>
      <c r="T110">
        <v>7.11</v>
      </c>
      <c r="W110">
        <f ca="1">X110-A110-AA110</f>
        <v>28.013767393023507</v>
      </c>
      <c r="X110">
        <f t="shared" ca="1" si="19"/>
        <v>50.513767393023507</v>
      </c>
      <c r="Y110">
        <f ca="1">C110/X110*60</f>
        <v>19.3610583900949</v>
      </c>
      <c r="Z110">
        <v>12.257142857142901</v>
      </c>
      <c r="AA110">
        <v>4.5</v>
      </c>
      <c r="AB110">
        <f t="shared" ca="1" si="20"/>
        <v>19.100000000000001</v>
      </c>
      <c r="AC110">
        <f t="shared" ca="1" si="21"/>
        <v>0.26105839009489729</v>
      </c>
      <c r="AD110">
        <f t="shared" ca="1" si="22"/>
        <v>19.3610583900949</v>
      </c>
      <c r="AE110">
        <f ca="1">C110*60/AD110</f>
        <v>50.513767393023507</v>
      </c>
    </row>
    <row r="111" spans="1:31" x14ac:dyDescent="0.45">
      <c r="A111">
        <f t="shared" ca="1" si="16"/>
        <v>19</v>
      </c>
      <c r="B111" s="3">
        <v>6652</v>
      </c>
      <c r="C111">
        <f t="shared" ca="1" si="17"/>
        <v>15</v>
      </c>
      <c r="D111">
        <v>41.19</v>
      </c>
      <c r="E111" s="8">
        <v>0.31</v>
      </c>
      <c r="F111" s="19">
        <f t="shared" si="23"/>
        <v>1.2089440462180379</v>
      </c>
      <c r="G111" s="19">
        <f t="shared" si="25"/>
        <v>3.9766383420624885</v>
      </c>
      <c r="H111" s="19">
        <f t="shared" ca="1" si="26"/>
        <v>3.18502980248347</v>
      </c>
      <c r="I111" s="19">
        <f t="shared" si="27"/>
        <v>49.971911205628032</v>
      </c>
      <c r="J111" s="8">
        <v>0.31</v>
      </c>
      <c r="K111" s="19">
        <f t="shared" si="28"/>
        <v>134</v>
      </c>
      <c r="L111" s="3">
        <f t="shared" si="15"/>
        <v>6700</v>
      </c>
      <c r="M111" s="3">
        <f t="shared" si="24"/>
        <v>12</v>
      </c>
      <c r="N111">
        <f t="shared" ca="1" si="18"/>
        <v>0.25308411117647467</v>
      </c>
      <c r="O111">
        <v>60.25</v>
      </c>
      <c r="P111">
        <v>12.23</v>
      </c>
      <c r="Q111">
        <v>9.0500000000000007</v>
      </c>
      <c r="S111">
        <v>12.47</v>
      </c>
      <c r="T111">
        <v>7.1</v>
      </c>
      <c r="W111">
        <f ca="1">X111-A111-AA111</f>
        <v>21.218242326779333</v>
      </c>
      <c r="X111">
        <f t="shared" ca="1" si="19"/>
        <v>44.718242326779333</v>
      </c>
      <c r="Y111">
        <f ca="1">C111/X111*60</f>
        <v>20.126014645728567</v>
      </c>
      <c r="Z111">
        <v>10.967441860465099</v>
      </c>
      <c r="AA111">
        <v>4.5</v>
      </c>
      <c r="AB111">
        <f t="shared" ca="1" si="20"/>
        <v>20</v>
      </c>
      <c r="AC111">
        <f t="shared" ca="1" si="21"/>
        <v>0.12601464572856713</v>
      </c>
      <c r="AD111">
        <f t="shared" ca="1" si="22"/>
        <v>20.126014645728567</v>
      </c>
      <c r="AE111">
        <f ca="1">C111*60/AD111</f>
        <v>44.718242326779333</v>
      </c>
    </row>
    <row r="112" spans="1:31" x14ac:dyDescent="0.45">
      <c r="A112">
        <f t="shared" ca="1" si="16"/>
        <v>18</v>
      </c>
      <c r="B112" s="3">
        <v>4724</v>
      </c>
      <c r="C112">
        <f t="shared" ca="1" si="17"/>
        <v>16</v>
      </c>
      <c r="D112">
        <v>34.450000000000003</v>
      </c>
      <c r="E112" s="8">
        <v>0.31</v>
      </c>
      <c r="F112" s="19">
        <f t="shared" si="23"/>
        <v>1.2089440462180379</v>
      </c>
      <c r="G112" s="19">
        <f t="shared" si="25"/>
        <v>3.4077492324363376</v>
      </c>
      <c r="H112" s="19">
        <f t="shared" ca="1" si="26"/>
        <v>3.3973651226490342</v>
      </c>
      <c r="I112" s="19">
        <f t="shared" si="27"/>
        <v>42.82303981559302</v>
      </c>
      <c r="J112" s="8">
        <v>0.31</v>
      </c>
      <c r="K112" s="19">
        <f t="shared" si="28"/>
        <v>110</v>
      </c>
      <c r="L112" s="3">
        <f t="shared" si="15"/>
        <v>4700</v>
      </c>
      <c r="M112" s="3">
        <f t="shared" si="24"/>
        <v>12</v>
      </c>
      <c r="N112">
        <f t="shared" ca="1" si="18"/>
        <v>0.19860970790699919</v>
      </c>
      <c r="O112">
        <v>50.6</v>
      </c>
      <c r="P112">
        <v>11.51</v>
      </c>
      <c r="Q112">
        <v>10.67</v>
      </c>
      <c r="S112">
        <v>12.31</v>
      </c>
      <c r="T112">
        <v>7.16</v>
      </c>
      <c r="W112">
        <f ca="1">X112-A112-AA112</f>
        <v>25.930253129477109</v>
      </c>
      <c r="X112">
        <f t="shared" ca="1" si="19"/>
        <v>48.430253129477109</v>
      </c>
      <c r="Y112">
        <f ca="1">C112/X112*60</f>
        <v>19.82232051179793</v>
      </c>
      <c r="Z112">
        <v>7.5932773109243703</v>
      </c>
      <c r="AA112">
        <v>4.5</v>
      </c>
      <c r="AB112">
        <f t="shared" ca="1" si="20"/>
        <v>19.7</v>
      </c>
      <c r="AC112">
        <f t="shared" ca="1" si="21"/>
        <v>0.12232051179792924</v>
      </c>
      <c r="AD112">
        <f t="shared" ca="1" si="22"/>
        <v>19.82232051179793</v>
      </c>
      <c r="AE112">
        <f ca="1">C112*60/AD112</f>
        <v>48.430253129477109</v>
      </c>
    </row>
    <row r="113" spans="1:31" x14ac:dyDescent="0.45">
      <c r="A113">
        <f t="shared" ca="1" si="16"/>
        <v>18</v>
      </c>
      <c r="B113" s="3">
        <v>5322</v>
      </c>
      <c r="C113">
        <f t="shared" ca="1" si="17"/>
        <v>16.399999999999999</v>
      </c>
      <c r="D113">
        <v>33.19</v>
      </c>
      <c r="E113" s="8">
        <v>0.31</v>
      </c>
      <c r="F113" s="19">
        <f t="shared" si="23"/>
        <v>1.2089440462180379</v>
      </c>
      <c r="G113" s="19">
        <f t="shared" si="25"/>
        <v>3.3013990428029616</v>
      </c>
      <c r="H113" s="19">
        <f t="shared" ca="1" si="26"/>
        <v>3.4822992507152599</v>
      </c>
      <c r="I113" s="19">
        <f t="shared" si="27"/>
        <v>41.486603917752639</v>
      </c>
      <c r="J113" s="8">
        <v>0.31</v>
      </c>
      <c r="K113" s="19">
        <f t="shared" si="28"/>
        <v>128</v>
      </c>
      <c r="L113" s="3">
        <f t="shared" si="15"/>
        <v>5300</v>
      </c>
      <c r="M113" s="3">
        <f t="shared" si="24"/>
        <v>4</v>
      </c>
      <c r="N113">
        <f t="shared" ca="1" si="18"/>
        <v>0.19487196201118015</v>
      </c>
      <c r="O113">
        <v>55.2</v>
      </c>
      <c r="P113">
        <v>3.97</v>
      </c>
      <c r="Q113">
        <v>7.41</v>
      </c>
      <c r="S113">
        <v>12.38</v>
      </c>
      <c r="T113">
        <v>7.15</v>
      </c>
      <c r="W113">
        <f ca="1">X113-A113-AA113</f>
        <v>26.838134875965103</v>
      </c>
      <c r="X113">
        <f t="shared" ca="1" si="19"/>
        <v>49.338134875965103</v>
      </c>
      <c r="Y113">
        <f ca="1">C113/X113*60</f>
        <v>19.944004824538919</v>
      </c>
      <c r="Z113">
        <v>18.6875</v>
      </c>
      <c r="AA113">
        <v>4.5</v>
      </c>
      <c r="AB113">
        <f t="shared" ca="1" si="20"/>
        <v>19.3</v>
      </c>
      <c r="AC113">
        <f t="shared" ca="1" si="21"/>
        <v>0.64400482453891805</v>
      </c>
      <c r="AD113">
        <f t="shared" ca="1" si="22"/>
        <v>19.944004824538919</v>
      </c>
      <c r="AE113">
        <f ca="1">C113*60/AD113</f>
        <v>49.338134875965103</v>
      </c>
    </row>
    <row r="114" spans="1:31" x14ac:dyDescent="0.45">
      <c r="A114">
        <f t="shared" ca="1" si="16"/>
        <v>17</v>
      </c>
      <c r="B114" s="3">
        <v>4873</v>
      </c>
      <c r="C114">
        <f t="shared" ca="1" si="17"/>
        <v>16</v>
      </c>
      <c r="D114">
        <v>35.92</v>
      </c>
      <c r="E114" s="8">
        <v>0.31</v>
      </c>
      <c r="F114" s="19">
        <f t="shared" si="23"/>
        <v>1.2089440462180379</v>
      </c>
      <c r="G114" s="19">
        <f t="shared" si="25"/>
        <v>3.5318244536752754</v>
      </c>
      <c r="H114" s="19">
        <f t="shared" ca="1" si="26"/>
        <v>3.3973651226490342</v>
      </c>
      <c r="I114" s="19">
        <f t="shared" si="27"/>
        <v>44.382215029740117</v>
      </c>
      <c r="J114" s="8">
        <v>0.31</v>
      </c>
      <c r="K114" s="19">
        <f t="shared" si="28"/>
        <v>110</v>
      </c>
      <c r="L114" s="3">
        <f t="shared" si="15"/>
        <v>4900</v>
      </c>
      <c r="M114" s="3">
        <f t="shared" si="24"/>
        <v>12</v>
      </c>
      <c r="N114">
        <f t="shared" ca="1" si="18"/>
        <v>0.20576775587153742</v>
      </c>
      <c r="O114">
        <v>53</v>
      </c>
      <c r="P114">
        <v>11.78</v>
      </c>
      <c r="Q114">
        <v>9.64</v>
      </c>
      <c r="S114">
        <v>12.69</v>
      </c>
      <c r="T114">
        <v>7.2</v>
      </c>
      <c r="W114">
        <f ca="1">X114-A114-AA114</f>
        <v>26.680565070785207</v>
      </c>
      <c r="X114">
        <f t="shared" ca="1" si="19"/>
        <v>48.180565070785207</v>
      </c>
      <c r="Y114">
        <f ca="1">C114/X114*60</f>
        <v>19.925046511795813</v>
      </c>
      <c r="Z114">
        <v>14.050746268656701</v>
      </c>
      <c r="AA114">
        <v>4.5</v>
      </c>
      <c r="AB114">
        <f t="shared" ca="1" si="20"/>
        <v>19.899999999999999</v>
      </c>
      <c r="AC114">
        <f t="shared" ca="1" si="21"/>
        <v>2.5046511795815296E-2</v>
      </c>
      <c r="AD114">
        <f t="shared" ca="1" si="22"/>
        <v>19.925046511795813</v>
      </c>
      <c r="AE114">
        <f ca="1">C114*60/AD114</f>
        <v>48.180565070785207</v>
      </c>
    </row>
    <row r="115" spans="1:31" x14ac:dyDescent="0.45">
      <c r="A115">
        <f t="shared" ca="1" si="16"/>
        <v>20</v>
      </c>
      <c r="B115" s="3">
        <v>4604</v>
      </c>
      <c r="C115">
        <f t="shared" ca="1" si="17"/>
        <v>16.3</v>
      </c>
      <c r="D115">
        <v>34.35</v>
      </c>
      <c r="E115" s="8">
        <v>0.31</v>
      </c>
      <c r="F115" s="19">
        <f t="shared" si="23"/>
        <v>1.2089440462180379</v>
      </c>
      <c r="G115" s="19">
        <f t="shared" si="25"/>
        <v>3.3993087411955929</v>
      </c>
      <c r="H115" s="19">
        <f t="shared" ca="1" si="26"/>
        <v>3.4610657186987037</v>
      </c>
      <c r="I115" s="19">
        <f t="shared" si="27"/>
        <v>42.716973474494566</v>
      </c>
      <c r="J115" s="8">
        <v>0.31</v>
      </c>
      <c r="K115" s="19">
        <f t="shared" si="28"/>
        <v>108</v>
      </c>
      <c r="L115" s="3">
        <f t="shared" si="15"/>
        <v>4600</v>
      </c>
      <c r="M115" s="3">
        <f t="shared" si="24"/>
        <v>6</v>
      </c>
      <c r="N115">
        <f t="shared" ca="1" si="18"/>
        <v>0.17985072303493091</v>
      </c>
      <c r="O115">
        <v>52</v>
      </c>
      <c r="P115">
        <v>6.45</v>
      </c>
      <c r="Q115">
        <v>7.75</v>
      </c>
      <c r="S115">
        <v>11.47</v>
      </c>
      <c r="T115">
        <v>7.23</v>
      </c>
      <c r="W115">
        <f ca="1">X115-A115-AA115</f>
        <v>23.575106779951618</v>
      </c>
      <c r="X115">
        <f t="shared" ca="1" si="19"/>
        <v>48.075106779951618</v>
      </c>
      <c r="Y115">
        <f ca="1">C115/X115*60</f>
        <v>20.343168544096663</v>
      </c>
      <c r="Z115">
        <v>15.84</v>
      </c>
      <c r="AA115">
        <v>4.5</v>
      </c>
      <c r="AB115">
        <f t="shared" ca="1" si="20"/>
        <v>19.8</v>
      </c>
      <c r="AC115">
        <f t="shared" ca="1" si="21"/>
        <v>0.54316854409666326</v>
      </c>
      <c r="AD115">
        <f t="shared" ca="1" si="22"/>
        <v>20.343168544096663</v>
      </c>
      <c r="AE115">
        <f ca="1">C115*60/AD115</f>
        <v>48.075106779951618</v>
      </c>
    </row>
    <row r="116" spans="1:31" x14ac:dyDescent="0.45">
      <c r="A116">
        <f t="shared" ca="1" si="16"/>
        <v>17</v>
      </c>
      <c r="B116" s="3">
        <v>4568</v>
      </c>
      <c r="C116">
        <f t="shared" ca="1" si="17"/>
        <v>14.9</v>
      </c>
      <c r="D116">
        <v>34.79</v>
      </c>
      <c r="E116" s="8">
        <v>0.31</v>
      </c>
      <c r="F116" s="19">
        <f t="shared" si="23"/>
        <v>1.2089440462180379</v>
      </c>
      <c r="G116" s="19">
        <f t="shared" si="25"/>
        <v>3.436446902654867</v>
      </c>
      <c r="H116" s="19">
        <f t="shared" ca="1" si="26"/>
        <v>3.1637962704669129</v>
      </c>
      <c r="I116" s="19">
        <f t="shared" si="27"/>
        <v>43.183665375327713</v>
      </c>
      <c r="J116" s="8">
        <v>0.31</v>
      </c>
      <c r="K116" s="19">
        <f t="shared" si="28"/>
        <v>107</v>
      </c>
      <c r="L116" s="3">
        <f t="shared" si="15"/>
        <v>4600</v>
      </c>
      <c r="M116" s="3">
        <f t="shared" si="24"/>
        <v>1</v>
      </c>
      <c r="N116">
        <f t="shared" ca="1" si="18"/>
        <v>0.20385759147142699</v>
      </c>
      <c r="O116">
        <v>54</v>
      </c>
      <c r="P116">
        <v>1.26</v>
      </c>
      <c r="Q116">
        <v>7.86</v>
      </c>
      <c r="S116">
        <v>11.97</v>
      </c>
      <c r="T116">
        <v>7.25</v>
      </c>
      <c r="W116">
        <f ca="1">X116-A116-AA116</f>
        <v>23.153417863575434</v>
      </c>
      <c r="X116">
        <f t="shared" ca="1" si="19"/>
        <v>44.653417863575434</v>
      </c>
      <c r="Y116">
        <f ca="1">C116/X116*60</f>
        <v>20.020863861560109</v>
      </c>
      <c r="Z116">
        <v>15.68</v>
      </c>
      <c r="AA116">
        <v>4.5</v>
      </c>
      <c r="AB116">
        <f t="shared" ca="1" si="20"/>
        <v>19.2</v>
      </c>
      <c r="AC116">
        <f t="shared" ca="1" si="21"/>
        <v>0.8208638615601106</v>
      </c>
      <c r="AD116">
        <f t="shared" ca="1" si="22"/>
        <v>20.020863861560109</v>
      </c>
      <c r="AE116">
        <f ca="1">C116*60/AD116</f>
        <v>44.653417863575434</v>
      </c>
    </row>
    <row r="117" spans="1:31" x14ac:dyDescent="0.45">
      <c r="A117">
        <f t="shared" ca="1" si="16"/>
        <v>16</v>
      </c>
      <c r="B117" s="3">
        <v>5024</v>
      </c>
      <c r="C117">
        <f t="shared" ca="1" si="17"/>
        <v>14.5</v>
      </c>
      <c r="D117">
        <v>34.409999999999997</v>
      </c>
      <c r="E117" s="8">
        <v>0.31</v>
      </c>
      <c r="F117" s="19">
        <f t="shared" si="23"/>
        <v>1.2089440462180379</v>
      </c>
      <c r="G117" s="19">
        <f t="shared" si="25"/>
        <v>3.4043730359400395</v>
      </c>
      <c r="H117" s="19">
        <f t="shared" ca="1" si="26"/>
        <v>3.0788621424006872</v>
      </c>
      <c r="I117" s="19">
        <f t="shared" si="27"/>
        <v>42.780613279153634</v>
      </c>
      <c r="J117" s="8">
        <v>0.31</v>
      </c>
      <c r="K117" s="19">
        <f t="shared" si="28"/>
        <v>117</v>
      </c>
      <c r="L117" s="3">
        <f t="shared" si="15"/>
        <v>5000</v>
      </c>
      <c r="M117" s="3">
        <f t="shared" si="24"/>
        <v>8</v>
      </c>
      <c r="N117">
        <f t="shared" ca="1" si="18"/>
        <v>0.21317460796812995</v>
      </c>
      <c r="O117">
        <v>54</v>
      </c>
      <c r="P117">
        <v>7.94</v>
      </c>
      <c r="Q117">
        <v>8.19</v>
      </c>
      <c r="S117">
        <v>12.4</v>
      </c>
      <c r="T117">
        <v>7.36</v>
      </c>
      <c r="W117">
        <f ca="1">X117-A117-AA117</f>
        <v>23.64259068206421</v>
      </c>
      <c r="X117">
        <f t="shared" ca="1" si="19"/>
        <v>44.14259068206421</v>
      </c>
      <c r="Y117">
        <f ca="1">C117/X117*60</f>
        <v>19.708856833214686</v>
      </c>
      <c r="Z117">
        <v>12.2921052631579</v>
      </c>
      <c r="AA117">
        <v>4.5</v>
      </c>
      <c r="AB117">
        <f t="shared" ca="1" si="20"/>
        <v>19</v>
      </c>
      <c r="AC117">
        <f t="shared" ca="1" si="21"/>
        <v>0.70885683321468185</v>
      </c>
      <c r="AD117">
        <f t="shared" ca="1" si="22"/>
        <v>19.708856833214682</v>
      </c>
      <c r="AE117">
        <f ca="1">C117*60/AD117</f>
        <v>44.14259068206421</v>
      </c>
    </row>
    <row r="118" spans="1:31" x14ac:dyDescent="0.45">
      <c r="A118">
        <f t="shared" ca="1" si="16"/>
        <v>16</v>
      </c>
      <c r="B118" s="3">
        <v>4652</v>
      </c>
      <c r="C118">
        <f t="shared" ca="1" si="17"/>
        <v>16.399999999999999</v>
      </c>
      <c r="D118">
        <v>32.549999999999997</v>
      </c>
      <c r="E118" s="8">
        <v>0.31</v>
      </c>
      <c r="F118" s="19">
        <f t="shared" si="23"/>
        <v>1.2089440462180379</v>
      </c>
      <c r="G118" s="19">
        <f t="shared" si="25"/>
        <v>3.2473798988621994</v>
      </c>
      <c r="H118" s="19">
        <f t="shared" ca="1" si="26"/>
        <v>3.4822992507152599</v>
      </c>
      <c r="I118" s="19">
        <f t="shared" si="27"/>
        <v>40.807779334722603</v>
      </c>
      <c r="J118" s="8">
        <v>0.31</v>
      </c>
      <c r="K118" s="19">
        <f t="shared" si="28"/>
        <v>115</v>
      </c>
      <c r="L118" s="3">
        <f t="shared" si="15"/>
        <v>4700</v>
      </c>
      <c r="M118" s="3">
        <f t="shared" si="24"/>
        <v>5</v>
      </c>
      <c r="N118">
        <f t="shared" ca="1" si="18"/>
        <v>0.14406970326269916</v>
      </c>
      <c r="O118">
        <v>51</v>
      </c>
      <c r="P118">
        <v>5.37</v>
      </c>
      <c r="Q118">
        <v>9</v>
      </c>
      <c r="S118">
        <v>11.47</v>
      </c>
      <c r="T118">
        <v>7.19</v>
      </c>
      <c r="W118">
        <f ca="1">X118-A118-AA118</f>
        <v>29.707842128304904</v>
      </c>
      <c r="X118">
        <f t="shared" ca="1" si="19"/>
        <v>50.207842128304904</v>
      </c>
      <c r="Y118">
        <f ca="1">C118/X118*60</f>
        <v>19.598531987999248</v>
      </c>
      <c r="Z118">
        <v>12.797260273972601</v>
      </c>
      <c r="AA118">
        <v>4.5</v>
      </c>
      <c r="AB118">
        <f t="shared" ca="1" si="20"/>
        <v>19.3</v>
      </c>
      <c r="AC118">
        <f t="shared" ca="1" si="21"/>
        <v>0.29853198799924896</v>
      </c>
      <c r="AD118">
        <f t="shared" ca="1" si="22"/>
        <v>19.598531987999248</v>
      </c>
      <c r="AE118">
        <f ca="1">C118*60/AD118</f>
        <v>50.207842128304904</v>
      </c>
    </row>
    <row r="119" spans="1:31" x14ac:dyDescent="0.45">
      <c r="A119">
        <f t="shared" ca="1" si="16"/>
        <v>18</v>
      </c>
      <c r="B119" s="3">
        <v>4662</v>
      </c>
      <c r="C119">
        <f t="shared" ca="1" si="17"/>
        <v>16.5</v>
      </c>
      <c r="D119">
        <v>32.72</v>
      </c>
      <c r="E119" s="8">
        <v>0.31</v>
      </c>
      <c r="F119" s="19">
        <f t="shared" si="23"/>
        <v>1.2089440462180379</v>
      </c>
      <c r="G119" s="19">
        <f t="shared" si="25"/>
        <v>3.2617287339714642</v>
      </c>
      <c r="H119" s="19">
        <f t="shared" ca="1" si="26"/>
        <v>3.5035327827318161</v>
      </c>
      <c r="I119" s="19">
        <f t="shared" si="27"/>
        <v>40.988092114589953</v>
      </c>
      <c r="J119" s="8">
        <v>0.31</v>
      </c>
      <c r="K119" s="19">
        <f t="shared" si="28"/>
        <v>115</v>
      </c>
      <c r="L119" s="3">
        <f t="shared" si="15"/>
        <v>4700</v>
      </c>
      <c r="M119" s="3">
        <f t="shared" si="24"/>
        <v>6</v>
      </c>
      <c r="N119">
        <f t="shared" ca="1" si="18"/>
        <v>0.20758062843009009</v>
      </c>
      <c r="O119">
        <v>52</v>
      </c>
      <c r="P119">
        <v>6.07</v>
      </c>
      <c r="Q119">
        <v>9.67</v>
      </c>
      <c r="S119">
        <v>12.94</v>
      </c>
      <c r="T119">
        <v>7.24</v>
      </c>
      <c r="W119">
        <f ca="1">X119-A119-AA119</f>
        <v>27.459209672446242</v>
      </c>
      <c r="X119">
        <f t="shared" ca="1" si="19"/>
        <v>49.959209672446242</v>
      </c>
      <c r="Y119">
        <f ca="1">C119/X119*60</f>
        <v>19.816166158169029</v>
      </c>
      <c r="Z119">
        <v>11.271428571428601</v>
      </c>
      <c r="AA119">
        <v>4.5</v>
      </c>
      <c r="AB119">
        <f t="shared" ca="1" si="20"/>
        <v>19.5</v>
      </c>
      <c r="AC119">
        <f t="shared" ca="1" si="21"/>
        <v>0.31616615816903004</v>
      </c>
      <c r="AD119">
        <f t="shared" ca="1" si="22"/>
        <v>19.816166158169029</v>
      </c>
      <c r="AE119">
        <f ca="1">C119*60/AD119</f>
        <v>49.959209672446242</v>
      </c>
    </row>
    <row r="120" spans="1:31" x14ac:dyDescent="0.45">
      <c r="A120">
        <f t="shared" ca="1" si="16"/>
        <v>18</v>
      </c>
      <c r="B120" s="3">
        <v>5357</v>
      </c>
      <c r="C120">
        <f t="shared" ca="1" si="17"/>
        <v>16</v>
      </c>
      <c r="D120">
        <v>30.98</v>
      </c>
      <c r="E120" s="8">
        <v>0.31</v>
      </c>
      <c r="F120" s="19">
        <f t="shared" si="23"/>
        <v>1.2089440462180379</v>
      </c>
      <c r="G120" s="19">
        <f t="shared" si="25"/>
        <v>3.1148641863825177</v>
      </c>
      <c r="H120" s="19">
        <f t="shared" ca="1" si="26"/>
        <v>3.3973651226490342</v>
      </c>
      <c r="I120" s="19">
        <f t="shared" si="27"/>
        <v>39.14253777947706</v>
      </c>
      <c r="J120" s="8">
        <v>0.31</v>
      </c>
      <c r="K120" s="19">
        <f t="shared" si="28"/>
        <v>138</v>
      </c>
      <c r="L120" s="3">
        <f t="shared" si="15"/>
        <v>5400</v>
      </c>
      <c r="M120" s="3">
        <f t="shared" si="24"/>
        <v>3</v>
      </c>
      <c r="N120">
        <f t="shared" si="18"/>
        <v>6.1874999999999999E-2</v>
      </c>
      <c r="O120">
        <v>53.4</v>
      </c>
      <c r="P120">
        <v>2.5299999999999998</v>
      </c>
      <c r="Q120">
        <v>5.07</v>
      </c>
      <c r="S120">
        <v>12.06</v>
      </c>
      <c r="T120">
        <v>7.11</v>
      </c>
      <c r="W120">
        <v>80</v>
      </c>
      <c r="X120">
        <f t="shared" ca="1" si="19"/>
        <v>47.913875905606332</v>
      </c>
      <c r="Y120">
        <f ca="1">C120/X120*60</f>
        <v>20.035949541866888</v>
      </c>
      <c r="Z120">
        <v>9.84</v>
      </c>
      <c r="AA120">
        <v>4.5</v>
      </c>
      <c r="AB120">
        <f t="shared" ca="1" si="20"/>
        <v>19.100000000000001</v>
      </c>
      <c r="AC120">
        <f t="shared" ca="1" si="21"/>
        <v>0.93594954186688351</v>
      </c>
      <c r="AD120">
        <f t="shared" ca="1" si="22"/>
        <v>20.035949541866884</v>
      </c>
      <c r="AE120">
        <f ca="1">C120*60/AD120</f>
        <v>47.913875905606332</v>
      </c>
    </row>
    <row r="121" spans="1:31" x14ac:dyDescent="0.45">
      <c r="A121">
        <f t="shared" ca="1" si="16"/>
        <v>19</v>
      </c>
      <c r="B121" s="3">
        <v>5013</v>
      </c>
      <c r="C121">
        <f t="shared" ca="1" si="17"/>
        <v>15</v>
      </c>
      <c r="D121">
        <v>35.9</v>
      </c>
      <c r="E121" s="8">
        <v>0.31</v>
      </c>
      <c r="F121" s="19">
        <f t="shared" si="23"/>
        <v>1.2089440462180379</v>
      </c>
      <c r="G121" s="19">
        <f t="shared" si="25"/>
        <v>3.5301363554271266</v>
      </c>
      <c r="H121" s="19">
        <f t="shared" ca="1" si="26"/>
        <v>3.18502980248347</v>
      </c>
      <c r="I121" s="19">
        <f t="shared" si="27"/>
        <v>44.361001761520427</v>
      </c>
      <c r="J121" s="8">
        <v>0.31</v>
      </c>
      <c r="K121" s="19">
        <f t="shared" si="28"/>
        <v>113</v>
      </c>
      <c r="L121" s="3">
        <f t="shared" si="15"/>
        <v>5000</v>
      </c>
      <c r="M121" s="3">
        <f t="shared" si="24"/>
        <v>1</v>
      </c>
      <c r="N121">
        <f t="shared" si="18"/>
        <v>0.16387096774193552</v>
      </c>
      <c r="O121">
        <v>55</v>
      </c>
      <c r="P121">
        <v>0.78</v>
      </c>
      <c r="Q121">
        <v>6.92</v>
      </c>
      <c r="S121">
        <v>12.47</v>
      </c>
      <c r="T121">
        <v>7.39</v>
      </c>
      <c r="W121">
        <v>31</v>
      </c>
      <c r="X121">
        <f t="shared" ca="1" si="19"/>
        <v>46.72179848512603</v>
      </c>
      <c r="Y121">
        <f ca="1">C121/X121*60</f>
        <v>19.262957103128567</v>
      </c>
      <c r="Z121">
        <v>19.264285714285698</v>
      </c>
      <c r="AA121">
        <v>4.5</v>
      </c>
      <c r="AB121">
        <f t="shared" ca="1" si="20"/>
        <v>19.100000000000001</v>
      </c>
      <c r="AC121">
        <f t="shared" ca="1" si="21"/>
        <v>0.16295710312856548</v>
      </c>
      <c r="AD121">
        <f t="shared" ca="1" si="22"/>
        <v>19.262957103128567</v>
      </c>
      <c r="AE121">
        <f ca="1">C121*60/AD121</f>
        <v>46.72179848512603</v>
      </c>
    </row>
    <row r="122" spans="1:31" x14ac:dyDescent="0.45">
      <c r="A122">
        <f t="shared" ca="1" si="16"/>
        <v>19</v>
      </c>
      <c r="B122" s="3">
        <v>4742</v>
      </c>
      <c r="C122">
        <f t="shared" ca="1" si="17"/>
        <v>16.399999999999999</v>
      </c>
      <c r="D122">
        <v>34.630000000000003</v>
      </c>
      <c r="E122" s="8">
        <v>0.31</v>
      </c>
      <c r="F122" s="19">
        <f t="shared" si="23"/>
        <v>1.2089440462180379</v>
      </c>
      <c r="G122" s="19">
        <f t="shared" si="25"/>
        <v>3.422942116669677</v>
      </c>
      <c r="H122" s="19">
        <f t="shared" ca="1" si="26"/>
        <v>3.4822992507152599</v>
      </c>
      <c r="I122" s="19">
        <f t="shared" si="27"/>
        <v>43.013959229570212</v>
      </c>
      <c r="J122" s="8">
        <v>0.31</v>
      </c>
      <c r="K122" s="19">
        <f t="shared" si="28"/>
        <v>109</v>
      </c>
      <c r="L122" s="3">
        <f t="shared" si="15"/>
        <v>4700</v>
      </c>
      <c r="M122" s="3">
        <f t="shared" si="24"/>
        <v>0</v>
      </c>
      <c r="N122">
        <f t="shared" si="18"/>
        <v>9.8431372549019611E-2</v>
      </c>
      <c r="O122">
        <v>53</v>
      </c>
      <c r="P122">
        <v>0.22</v>
      </c>
      <c r="Q122">
        <v>7.77</v>
      </c>
      <c r="S122">
        <v>12.21</v>
      </c>
      <c r="T122">
        <v>7.19</v>
      </c>
      <c r="W122">
        <v>51</v>
      </c>
      <c r="X122">
        <f t="shared" ca="1" si="19"/>
        <v>49.003805003818925</v>
      </c>
      <c r="Y122">
        <f ca="1">C122/X122*60</f>
        <v>20.080073372329263</v>
      </c>
      <c r="Z122">
        <v>14.0181818181818</v>
      </c>
      <c r="AA122">
        <v>4.5</v>
      </c>
      <c r="AB122">
        <f t="shared" ca="1" si="20"/>
        <v>19.7</v>
      </c>
      <c r="AC122">
        <f t="shared" ca="1" si="21"/>
        <v>0.38007337232926286</v>
      </c>
      <c r="AD122">
        <f t="shared" ca="1" si="22"/>
        <v>20.080073372329263</v>
      </c>
      <c r="AE122">
        <f ca="1">C122*60/AD122</f>
        <v>49.003805003818925</v>
      </c>
    </row>
    <row r="123" spans="1:31" x14ac:dyDescent="0.45">
      <c r="A123">
        <f t="shared" ca="1" si="16"/>
        <v>16</v>
      </c>
      <c r="B123" s="3">
        <v>7619</v>
      </c>
      <c r="C123">
        <f t="shared" ca="1" si="17"/>
        <v>15</v>
      </c>
      <c r="D123">
        <v>30.29</v>
      </c>
      <c r="E123" s="8">
        <v>0.31</v>
      </c>
      <c r="F123" s="19">
        <f t="shared" si="23"/>
        <v>1.2089440462180379</v>
      </c>
      <c r="G123" s="19">
        <f t="shared" si="25"/>
        <v>3.0566247968213833</v>
      </c>
      <c r="H123" s="19">
        <f t="shared" ca="1" si="26"/>
        <v>3.18502980248347</v>
      </c>
      <c r="I123" s="19">
        <f t="shared" si="27"/>
        <v>38.410680025897804</v>
      </c>
      <c r="J123" s="8">
        <v>0.31</v>
      </c>
      <c r="K123" s="19">
        <f t="shared" si="28"/>
        <v>198</v>
      </c>
      <c r="L123" s="3">
        <f t="shared" si="15"/>
        <v>7600</v>
      </c>
      <c r="M123" s="3">
        <f t="shared" si="24"/>
        <v>9</v>
      </c>
      <c r="N123">
        <f t="shared" si="18"/>
        <v>8.1562499999999996E-2</v>
      </c>
      <c r="O123">
        <v>66</v>
      </c>
      <c r="P123">
        <v>9.41</v>
      </c>
      <c r="Q123">
        <v>10.14</v>
      </c>
      <c r="S123">
        <v>12.58</v>
      </c>
      <c r="T123">
        <v>7.36</v>
      </c>
      <c r="W123">
        <v>64</v>
      </c>
      <c r="X123">
        <f t="shared" ca="1" si="19"/>
        <v>45.31062074520235</v>
      </c>
      <c r="Y123">
        <f ca="1">C123/X123*60</f>
        <v>19.862892743425839</v>
      </c>
      <c r="Z123">
        <v>10.271739130434799</v>
      </c>
      <c r="AA123">
        <v>4.5</v>
      </c>
      <c r="AB123">
        <f t="shared" ca="1" si="20"/>
        <v>19.5</v>
      </c>
      <c r="AC123">
        <f t="shared" ca="1" si="21"/>
        <v>0.36289274342583699</v>
      </c>
      <c r="AD123">
        <f t="shared" ca="1" si="22"/>
        <v>19.862892743425839</v>
      </c>
      <c r="AE123">
        <f ca="1">C123*60/AD123</f>
        <v>45.31062074520235</v>
      </c>
    </row>
    <row r="124" spans="1:31" x14ac:dyDescent="0.45">
      <c r="A124">
        <f t="shared" ca="1" si="16"/>
        <v>16</v>
      </c>
      <c r="B124" s="3">
        <v>8946</v>
      </c>
      <c r="C124">
        <f t="shared" ca="1" si="17"/>
        <v>14.9</v>
      </c>
      <c r="D124">
        <v>31.91</v>
      </c>
      <c r="E124" s="8">
        <v>0.31</v>
      </c>
      <c r="F124" s="19">
        <f t="shared" si="23"/>
        <v>1.2089440462180379</v>
      </c>
      <c r="G124" s="19">
        <f t="shared" si="25"/>
        <v>3.1933607549214376</v>
      </c>
      <c r="H124" s="19">
        <f t="shared" ca="1" si="26"/>
        <v>3.1637962704669129</v>
      </c>
      <c r="I124" s="19">
        <f t="shared" si="27"/>
        <v>40.128954751692575</v>
      </c>
      <c r="J124" s="8">
        <v>0.31</v>
      </c>
      <c r="K124" s="19">
        <f t="shared" si="28"/>
        <v>222</v>
      </c>
      <c r="L124" s="3">
        <f t="shared" si="15"/>
        <v>8900</v>
      </c>
      <c r="M124" s="3">
        <f t="shared" si="24"/>
        <v>13</v>
      </c>
      <c r="N124">
        <f t="shared" si="18"/>
        <v>0.15052631578947367</v>
      </c>
      <c r="O124">
        <v>51.2</v>
      </c>
      <c r="P124">
        <v>13.14</v>
      </c>
      <c r="Q124">
        <v>9.74</v>
      </c>
      <c r="S124">
        <v>13.01</v>
      </c>
      <c r="T124">
        <v>7.29</v>
      </c>
      <c r="W124">
        <v>38</v>
      </c>
      <c r="X124">
        <f t="shared" ca="1" si="19"/>
        <v>44.312855489884434</v>
      </c>
      <c r="Y124">
        <f ca="1">C124/X124*60</f>
        <v>20.174732368670732</v>
      </c>
      <c r="Z124">
        <v>15.75</v>
      </c>
      <c r="AA124">
        <v>4.5</v>
      </c>
      <c r="AB124">
        <f t="shared" ca="1" si="20"/>
        <v>19.3</v>
      </c>
      <c r="AC124">
        <f t="shared" ca="1" si="21"/>
        <v>0.87473236867073223</v>
      </c>
      <c r="AD124">
        <f t="shared" ca="1" si="22"/>
        <v>20.174732368670732</v>
      </c>
      <c r="AE124">
        <f ca="1">C124*60/AD124</f>
        <v>44.312855489884434</v>
      </c>
    </row>
    <row r="125" spans="1:31" x14ac:dyDescent="0.45">
      <c r="A125">
        <f t="shared" ca="1" si="16"/>
        <v>19</v>
      </c>
      <c r="B125" s="3">
        <v>7238</v>
      </c>
      <c r="C125">
        <f t="shared" ca="1" si="17"/>
        <v>16.399999999999999</v>
      </c>
      <c r="D125">
        <v>31.81</v>
      </c>
      <c r="E125" s="8">
        <v>0.31</v>
      </c>
      <c r="F125" s="19">
        <f t="shared" si="23"/>
        <v>1.2089440462180379</v>
      </c>
      <c r="G125" s="19">
        <f t="shared" si="25"/>
        <v>3.1849202636806933</v>
      </c>
      <c r="H125" s="19">
        <f t="shared" ca="1" si="26"/>
        <v>3.4822992507152599</v>
      </c>
      <c r="I125" s="19">
        <f t="shared" si="27"/>
        <v>40.022888410594128</v>
      </c>
      <c r="J125" s="8">
        <v>0.31</v>
      </c>
      <c r="K125" s="19">
        <f t="shared" si="28"/>
        <v>180</v>
      </c>
      <c r="L125" s="3">
        <f t="shared" si="15"/>
        <v>7200</v>
      </c>
      <c r="M125" s="3">
        <f t="shared" si="24"/>
        <v>13</v>
      </c>
      <c r="N125">
        <f t="shared" si="18"/>
        <v>0.15166666666666667</v>
      </c>
      <c r="O125">
        <v>50.8</v>
      </c>
      <c r="P125">
        <v>12.94</v>
      </c>
      <c r="Q125">
        <v>8.7899999999999991</v>
      </c>
      <c r="S125">
        <v>12.76</v>
      </c>
      <c r="T125">
        <v>7.3</v>
      </c>
      <c r="W125">
        <v>36</v>
      </c>
      <c r="X125">
        <f t="shared" ca="1" si="19"/>
        <v>49.829383528814589</v>
      </c>
      <c r="Y125">
        <f ca="1">C125/X125*60</f>
        <v>19.747384581448557</v>
      </c>
      <c r="Z125">
        <v>16.2206896551724</v>
      </c>
      <c r="AA125">
        <v>4.5</v>
      </c>
      <c r="AB125">
        <f t="shared" ca="1" si="20"/>
        <v>19.399999999999999</v>
      </c>
      <c r="AC125">
        <f t="shared" ca="1" si="21"/>
        <v>0.3473845814485601</v>
      </c>
      <c r="AD125">
        <f t="shared" ca="1" si="22"/>
        <v>19.747384581448557</v>
      </c>
      <c r="AE125">
        <f ca="1">C125*60/AD125</f>
        <v>49.829383528814589</v>
      </c>
    </row>
    <row r="126" spans="1:31" x14ac:dyDescent="0.45">
      <c r="A126">
        <f t="shared" ca="1" si="16"/>
        <v>19</v>
      </c>
      <c r="B126" s="3">
        <v>9041</v>
      </c>
      <c r="C126">
        <f t="shared" ca="1" si="17"/>
        <v>16.100000000000001</v>
      </c>
      <c r="D126">
        <v>33.590000000000003</v>
      </c>
      <c r="E126" s="8">
        <v>0.31</v>
      </c>
      <c r="F126" s="19">
        <f t="shared" si="23"/>
        <v>1.2089440462180379</v>
      </c>
      <c r="G126" s="19">
        <f t="shared" si="25"/>
        <v>3.3351610077659384</v>
      </c>
      <c r="H126" s="19">
        <f t="shared" ca="1" si="26"/>
        <v>3.4185986546655904</v>
      </c>
      <c r="I126" s="19">
        <f t="shared" si="27"/>
        <v>41.910869282146415</v>
      </c>
      <c r="J126" s="8">
        <v>0.31</v>
      </c>
      <c r="K126" s="19">
        <f t="shared" si="28"/>
        <v>215</v>
      </c>
      <c r="L126" s="3">
        <f t="shared" si="15"/>
        <v>9000</v>
      </c>
      <c r="M126" s="3">
        <f t="shared" si="24"/>
        <v>8</v>
      </c>
      <c r="N126">
        <f t="shared" si="18"/>
        <v>0.10574468085106384</v>
      </c>
      <c r="O126">
        <v>65</v>
      </c>
      <c r="P126">
        <v>7.89</v>
      </c>
      <c r="Q126">
        <v>9.1999999999999993</v>
      </c>
      <c r="S126">
        <v>12.32</v>
      </c>
      <c r="T126">
        <v>7.35</v>
      </c>
      <c r="W126">
        <v>47</v>
      </c>
      <c r="X126">
        <f t="shared" ca="1" si="19"/>
        <v>48.558086867893188</v>
      </c>
      <c r="Y126">
        <f ca="1">C126/X126*60</f>
        <v>19.8936997379673</v>
      </c>
      <c r="Z126">
        <v>18.895652173913</v>
      </c>
      <c r="AA126">
        <v>4.5</v>
      </c>
      <c r="AB126">
        <f t="shared" ca="1" si="20"/>
        <v>19</v>
      </c>
      <c r="AC126">
        <f t="shared" ca="1" si="21"/>
        <v>0.89369973796729818</v>
      </c>
      <c r="AD126">
        <f t="shared" ca="1" si="22"/>
        <v>19.8936997379673</v>
      </c>
      <c r="AE126">
        <f ca="1">C126*60/AD126</f>
        <v>48.558086867893188</v>
      </c>
    </row>
    <row r="127" spans="1:31" x14ac:dyDescent="0.45">
      <c r="A127">
        <f t="shared" ca="1" si="16"/>
        <v>20</v>
      </c>
      <c r="B127" s="3">
        <v>7235</v>
      </c>
      <c r="C127">
        <f t="shared" ca="1" si="17"/>
        <v>16.3</v>
      </c>
      <c r="D127">
        <v>32.58</v>
      </c>
      <c r="E127" s="8">
        <v>0.31</v>
      </c>
      <c r="F127" s="19">
        <f t="shared" si="23"/>
        <v>1.2089440462180379</v>
      </c>
      <c r="G127" s="19">
        <f t="shared" si="25"/>
        <v>3.2499120462344226</v>
      </c>
      <c r="H127" s="19">
        <f t="shared" ca="1" si="26"/>
        <v>3.4610657186987037</v>
      </c>
      <c r="I127" s="19">
        <f t="shared" si="27"/>
        <v>40.839599237052134</v>
      </c>
      <c r="J127" s="8">
        <v>0.31</v>
      </c>
      <c r="K127" s="19">
        <f t="shared" si="28"/>
        <v>176</v>
      </c>
      <c r="L127" s="3">
        <f t="shared" si="15"/>
        <v>7200</v>
      </c>
      <c r="M127" s="3">
        <f t="shared" si="24"/>
        <v>12</v>
      </c>
      <c r="N127">
        <f t="shared" si="18"/>
        <v>0.13594594594594592</v>
      </c>
      <c r="O127">
        <v>53</v>
      </c>
      <c r="P127">
        <v>12.11</v>
      </c>
      <c r="Q127">
        <v>12.64</v>
      </c>
      <c r="S127">
        <v>12.27</v>
      </c>
      <c r="T127">
        <v>7.24</v>
      </c>
      <c r="W127">
        <v>37</v>
      </c>
      <c r="X127">
        <f t="shared" ca="1" si="19"/>
        <v>47.508805029534493</v>
      </c>
      <c r="Y127">
        <f ca="1">C127/X127*60</f>
        <v>20.585657740539109</v>
      </c>
      <c r="Z127">
        <v>15.71</v>
      </c>
      <c r="AA127">
        <v>4.5</v>
      </c>
      <c r="AB127">
        <f t="shared" ca="1" si="20"/>
        <v>20</v>
      </c>
      <c r="AC127">
        <f t="shared" ca="1" si="21"/>
        <v>0.58565774053910979</v>
      </c>
      <c r="AD127">
        <f t="shared" ca="1" si="22"/>
        <v>20.585657740539109</v>
      </c>
      <c r="AE127">
        <f ca="1">C127*60/AD127</f>
        <v>47.508805029534493</v>
      </c>
    </row>
    <row r="128" spans="1:31" x14ac:dyDescent="0.45">
      <c r="A128">
        <f t="shared" ca="1" si="16"/>
        <v>18</v>
      </c>
      <c r="B128" s="3">
        <v>7642</v>
      </c>
      <c r="C128">
        <f t="shared" ca="1" si="17"/>
        <v>15.2</v>
      </c>
      <c r="D128">
        <v>31.37</v>
      </c>
      <c r="E128" s="8">
        <v>0.31</v>
      </c>
      <c r="F128" s="19">
        <f t="shared" si="23"/>
        <v>1.2089440462180379</v>
      </c>
      <c r="G128" s="19">
        <f t="shared" si="25"/>
        <v>3.1477821022214196</v>
      </c>
      <c r="H128" s="19">
        <f t="shared" ca="1" si="26"/>
        <v>3.227496866516582</v>
      </c>
      <c r="I128" s="19">
        <f t="shared" si="27"/>
        <v>39.556196509760987</v>
      </c>
      <c r="J128" s="8">
        <v>0.31</v>
      </c>
      <c r="K128" s="19">
        <f t="shared" si="28"/>
        <v>192</v>
      </c>
      <c r="L128" s="3">
        <f t="shared" si="15"/>
        <v>7600</v>
      </c>
      <c r="M128" s="3">
        <f t="shared" si="24"/>
        <v>13</v>
      </c>
      <c r="N128">
        <f t="shared" si="18"/>
        <v>0.14937500000000001</v>
      </c>
      <c r="O128">
        <v>58</v>
      </c>
      <c r="P128">
        <v>13.36</v>
      </c>
      <c r="Q128">
        <v>9.3800000000000008</v>
      </c>
      <c r="S128">
        <v>12.08</v>
      </c>
      <c r="T128">
        <v>7.3</v>
      </c>
      <c r="W128">
        <v>32</v>
      </c>
      <c r="X128">
        <f t="shared" ca="1" si="19"/>
        <v>45.772107655038646</v>
      </c>
      <c r="Y128">
        <f ca="1">C128/X128*60</f>
        <v>19.924798020516889</v>
      </c>
      <c r="Z128">
        <v>17.488888888888901</v>
      </c>
      <c r="AA128">
        <v>4.5</v>
      </c>
      <c r="AB128">
        <f t="shared" ca="1" si="20"/>
        <v>19</v>
      </c>
      <c r="AC128">
        <f t="shared" ca="1" si="21"/>
        <v>0.92479802051688764</v>
      </c>
      <c r="AD128">
        <f t="shared" ca="1" si="22"/>
        <v>19.924798020516889</v>
      </c>
      <c r="AE128">
        <f ca="1">C128*60/AD128</f>
        <v>45.772107655038646</v>
      </c>
    </row>
    <row r="129" spans="1:31" x14ac:dyDescent="0.45">
      <c r="A129">
        <f t="shared" ca="1" si="16"/>
        <v>20</v>
      </c>
      <c r="B129" s="3">
        <v>7518</v>
      </c>
      <c r="C129">
        <f t="shared" ca="1" si="17"/>
        <v>14.7</v>
      </c>
      <c r="D129">
        <v>32.04</v>
      </c>
      <c r="E129" s="8">
        <v>0.31</v>
      </c>
      <c r="F129" s="19">
        <f t="shared" si="23"/>
        <v>1.2089440462180379</v>
      </c>
      <c r="G129" s="19">
        <f t="shared" si="25"/>
        <v>3.2043333935344047</v>
      </c>
      <c r="H129" s="19">
        <f t="shared" ca="1" si="26"/>
        <v>3.1213292064337996</v>
      </c>
      <c r="I129" s="19">
        <f t="shared" si="27"/>
        <v>40.266840995120546</v>
      </c>
      <c r="J129" s="8">
        <v>0.31</v>
      </c>
      <c r="K129" s="19">
        <f t="shared" si="28"/>
        <v>186</v>
      </c>
      <c r="L129" s="3">
        <f t="shared" si="15"/>
        <v>7500</v>
      </c>
      <c r="M129" s="3">
        <f t="shared" si="24"/>
        <v>12</v>
      </c>
      <c r="N129">
        <f t="shared" si="18"/>
        <v>0.12699999999999997</v>
      </c>
      <c r="O129">
        <v>53.5</v>
      </c>
      <c r="P129">
        <v>12.22</v>
      </c>
      <c r="Q129">
        <v>12.86</v>
      </c>
      <c r="S129">
        <v>12.45</v>
      </c>
      <c r="T129">
        <v>7.37</v>
      </c>
      <c r="W129">
        <v>40</v>
      </c>
      <c r="X129">
        <f t="shared" ca="1" si="19"/>
        <v>42.688458366122866</v>
      </c>
      <c r="Y129">
        <f ca="1">C129/X129*60</f>
        <v>20.661322375135157</v>
      </c>
      <c r="Z129">
        <v>15.491803278688501</v>
      </c>
      <c r="AA129">
        <v>4.5</v>
      </c>
      <c r="AB129">
        <f t="shared" ca="1" si="20"/>
        <v>19.7</v>
      </c>
      <c r="AC129">
        <f t="shared" ca="1" si="21"/>
        <v>0.96132237513515773</v>
      </c>
      <c r="AD129">
        <f t="shared" ca="1" si="22"/>
        <v>20.661322375135157</v>
      </c>
      <c r="AE129">
        <f ca="1">C129*60/AD129</f>
        <v>42.688458366122866</v>
      </c>
    </row>
    <row r="130" spans="1:31" x14ac:dyDescent="0.45">
      <c r="A130">
        <f t="shared" ca="1" si="16"/>
        <v>20</v>
      </c>
      <c r="B130" s="3">
        <v>7293</v>
      </c>
      <c r="C130">
        <f t="shared" ca="1" si="17"/>
        <v>14.8</v>
      </c>
      <c r="D130">
        <v>31.39</v>
      </c>
      <c r="E130" s="8">
        <v>0.31</v>
      </c>
      <c r="F130" s="19">
        <f t="shared" si="23"/>
        <v>1.2089440462180379</v>
      </c>
      <c r="G130" s="19">
        <f t="shared" si="25"/>
        <v>3.149470200469568</v>
      </c>
      <c r="H130" s="19">
        <f t="shared" ca="1" si="26"/>
        <v>3.1425627384503563</v>
      </c>
      <c r="I130" s="19">
        <f t="shared" si="27"/>
        <v>39.57740977798067</v>
      </c>
      <c r="J130" s="8">
        <v>0.31</v>
      </c>
      <c r="K130" s="19">
        <f t="shared" si="28"/>
        <v>184</v>
      </c>
      <c r="L130" s="3">
        <f t="shared" si="15"/>
        <v>7300</v>
      </c>
      <c r="M130" s="3">
        <f t="shared" si="24"/>
        <v>12</v>
      </c>
      <c r="N130">
        <f t="shared" si="18"/>
        <v>0.11142857142857143</v>
      </c>
      <c r="O130">
        <v>50.4</v>
      </c>
      <c r="P130">
        <v>11.85</v>
      </c>
      <c r="Q130">
        <v>11.36</v>
      </c>
      <c r="S130">
        <v>12.76</v>
      </c>
      <c r="T130">
        <v>7.3</v>
      </c>
      <c r="W130">
        <v>49</v>
      </c>
      <c r="X130">
        <f t="shared" ca="1" si="19"/>
        <v>42.87919521890533</v>
      </c>
      <c r="Y130">
        <f ca="1">C130/X130*60</f>
        <v>20.709343901316579</v>
      </c>
      <c r="Z130">
        <v>13.318309859154899</v>
      </c>
      <c r="AA130">
        <v>4.5</v>
      </c>
      <c r="AB130">
        <f t="shared" ca="1" si="20"/>
        <v>19.8</v>
      </c>
      <c r="AC130">
        <f t="shared" ca="1" si="21"/>
        <v>0.90934390131657405</v>
      </c>
      <c r="AD130">
        <f t="shared" ca="1" si="22"/>
        <v>20.709343901316576</v>
      </c>
      <c r="AE130">
        <f ca="1">C130*60/AD130</f>
        <v>42.87919521890533</v>
      </c>
    </row>
    <row r="131" spans="1:31" x14ac:dyDescent="0.45">
      <c r="A131">
        <f t="shared" ca="1" si="16"/>
        <v>21</v>
      </c>
      <c r="B131" s="3">
        <v>8954</v>
      </c>
      <c r="C131">
        <f t="shared" ca="1" si="17"/>
        <v>15.1</v>
      </c>
      <c r="D131">
        <v>32.5</v>
      </c>
      <c r="E131" s="8">
        <v>0.31</v>
      </c>
      <c r="F131" s="19">
        <f t="shared" si="23"/>
        <v>1.2089440462180379</v>
      </c>
      <c r="G131" s="19">
        <f t="shared" si="25"/>
        <v>3.2431596532418272</v>
      </c>
      <c r="H131" s="19">
        <f t="shared" ca="1" si="26"/>
        <v>3.2062633345000258</v>
      </c>
      <c r="I131" s="19">
        <f t="shared" si="27"/>
        <v>40.754746164173383</v>
      </c>
      <c r="J131" s="8">
        <v>0.31</v>
      </c>
      <c r="K131" s="19">
        <f t="shared" si="28"/>
        <v>221</v>
      </c>
      <c r="L131" s="3">
        <f t="shared" ref="L131:L194" si="29">ROUND(B131/100,0)*100</f>
        <v>9000</v>
      </c>
      <c r="M131" s="3">
        <f t="shared" si="24"/>
        <v>11</v>
      </c>
      <c r="N131">
        <f t="shared" si="18"/>
        <v>0.13375000000000001</v>
      </c>
      <c r="O131">
        <v>53.4</v>
      </c>
      <c r="P131">
        <v>11.3</v>
      </c>
      <c r="Q131">
        <v>10.76</v>
      </c>
      <c r="S131">
        <v>12.71</v>
      </c>
      <c r="T131">
        <v>7.36</v>
      </c>
      <c r="W131">
        <v>40</v>
      </c>
      <c r="X131">
        <f t="shared" ca="1" si="19"/>
        <v>44.995250495467403</v>
      </c>
      <c r="Y131">
        <f ca="1">C131/X131*60</f>
        <v>20.135458521144713</v>
      </c>
      <c r="Z131">
        <v>15.261290322580599</v>
      </c>
      <c r="AA131">
        <v>4.5</v>
      </c>
      <c r="AB131">
        <f t="shared" ca="1" si="20"/>
        <v>20</v>
      </c>
      <c r="AC131">
        <f t="shared" ca="1" si="21"/>
        <v>0.13545852114471157</v>
      </c>
      <c r="AD131">
        <f t="shared" ca="1" si="22"/>
        <v>20.135458521144713</v>
      </c>
      <c r="AE131">
        <f ca="1">C131*60/AD131</f>
        <v>44.995250495467403</v>
      </c>
    </row>
    <row r="132" spans="1:31" x14ac:dyDescent="0.45">
      <c r="A132">
        <f t="shared" ref="A132:A195" ca="1" si="30">RANDBETWEEN(16,22)</f>
        <v>17</v>
      </c>
      <c r="B132" s="3">
        <v>7921</v>
      </c>
      <c r="C132">
        <f t="shared" ref="C132:C195" ca="1" si="31">RANDBETWEEN(145,165)/10</f>
        <v>14.9</v>
      </c>
      <c r="D132">
        <v>32.67</v>
      </c>
      <c r="E132" s="8">
        <v>0.31</v>
      </c>
      <c r="F132" s="19">
        <f t="shared" si="23"/>
        <v>1.2089440462180379</v>
      </c>
      <c r="G132" s="19">
        <f t="shared" si="25"/>
        <v>3.2575084883510925</v>
      </c>
      <c r="H132" s="19">
        <f t="shared" ca="1" si="26"/>
        <v>3.1637962704669129</v>
      </c>
      <c r="I132" s="19">
        <f t="shared" si="27"/>
        <v>40.93505894404074</v>
      </c>
      <c r="J132" s="8">
        <v>0.31</v>
      </c>
      <c r="K132" s="19">
        <f t="shared" si="28"/>
        <v>193</v>
      </c>
      <c r="L132" s="3">
        <f t="shared" si="29"/>
        <v>7900</v>
      </c>
      <c r="M132" s="3">
        <f t="shared" si="24"/>
        <v>10</v>
      </c>
      <c r="N132">
        <f t="shared" ref="N132:N195" si="32">(S132-T132)/W132</f>
        <v>0.13611111111111113</v>
      </c>
      <c r="O132">
        <v>63</v>
      </c>
      <c r="P132">
        <v>9.68</v>
      </c>
      <c r="Q132">
        <v>9.8800000000000008</v>
      </c>
      <c r="S132">
        <v>12.14</v>
      </c>
      <c r="T132">
        <v>7.24</v>
      </c>
      <c r="W132">
        <v>36</v>
      </c>
      <c r="X132">
        <f t="shared" ref="X132:X195" ca="1" si="33">AE132</f>
        <v>46.759590628665485</v>
      </c>
      <c r="Y132">
        <f ca="1">C132/X132*60</f>
        <v>19.119072429431036</v>
      </c>
      <c r="Z132">
        <v>16.037288135593201</v>
      </c>
      <c r="AA132">
        <v>4.5</v>
      </c>
      <c r="AB132">
        <f t="shared" ref="AB132:AB195" ca="1" si="34">RANDBETWEEN(190,200)/10</f>
        <v>19.100000000000001</v>
      </c>
      <c r="AC132">
        <f t="shared" ref="AC132:AC195" ca="1" si="35">RAND()</f>
        <v>1.9072429431030824E-2</v>
      </c>
      <c r="AD132">
        <f t="shared" ref="AD132:AD195" ca="1" si="36">AB132+AC132</f>
        <v>19.119072429431032</v>
      </c>
      <c r="AE132">
        <f ca="1">C132*60/AD132</f>
        <v>46.759590628665485</v>
      </c>
    </row>
    <row r="133" spans="1:31" x14ac:dyDescent="0.45">
      <c r="A133">
        <f t="shared" ca="1" si="30"/>
        <v>21</v>
      </c>
      <c r="B133" s="3">
        <v>7352</v>
      </c>
      <c r="C133">
        <f t="shared" ca="1" si="31"/>
        <v>16.399999999999999</v>
      </c>
      <c r="D133">
        <v>32.94</v>
      </c>
      <c r="E133" s="8">
        <v>0.31</v>
      </c>
      <c r="F133" s="19">
        <f t="shared" ref="F133:F144" si="37">1/(E133/2.26+1-E133)</f>
        <v>1.2089440462180379</v>
      </c>
      <c r="G133" s="19">
        <f t="shared" si="25"/>
        <v>3.2802978147011013</v>
      </c>
      <c r="H133" s="19">
        <f t="shared" ca="1" si="26"/>
        <v>3.4822992507152599</v>
      </c>
      <c r="I133" s="19">
        <f t="shared" si="27"/>
        <v>41.221438065006531</v>
      </c>
      <c r="J133" s="8">
        <v>0.31</v>
      </c>
      <c r="K133" s="19">
        <f t="shared" si="28"/>
        <v>180</v>
      </c>
      <c r="L133" s="3">
        <f t="shared" si="29"/>
        <v>7400</v>
      </c>
      <c r="M133" s="3">
        <f t="shared" ref="M133:M196" si="38">ROUND(P133,0)</f>
        <v>8</v>
      </c>
      <c r="N133">
        <f t="shared" si="32"/>
        <v>0.2116666666666667</v>
      </c>
      <c r="O133">
        <v>61</v>
      </c>
      <c r="P133">
        <v>8.1199999999999992</v>
      </c>
      <c r="Q133">
        <v>8.2899999999999991</v>
      </c>
      <c r="S133">
        <v>12.13</v>
      </c>
      <c r="T133">
        <v>7.05</v>
      </c>
      <c r="W133">
        <v>24</v>
      </c>
      <c r="X133">
        <f t="shared" ca="1" si="33"/>
        <v>47.443093813682715</v>
      </c>
      <c r="Y133">
        <f ca="1">C133/X133*60</f>
        <v>20.740637275139331</v>
      </c>
      <c r="Z133">
        <v>22.914893617021299</v>
      </c>
      <c r="AA133">
        <v>4.5</v>
      </c>
      <c r="AB133">
        <f t="shared" ca="1" si="34"/>
        <v>19.899999999999999</v>
      </c>
      <c r="AC133">
        <f t="shared" ca="1" si="35"/>
        <v>0.84063727513933351</v>
      </c>
      <c r="AD133">
        <f t="shared" ca="1" si="36"/>
        <v>20.740637275139331</v>
      </c>
      <c r="AE133">
        <f ca="1">C133*60/AD133</f>
        <v>47.443093813682715</v>
      </c>
    </row>
    <row r="134" spans="1:31" x14ac:dyDescent="0.45">
      <c r="A134">
        <f t="shared" ca="1" si="30"/>
        <v>16</v>
      </c>
      <c r="B134" s="3">
        <v>7642</v>
      </c>
      <c r="C134">
        <f t="shared" ca="1" si="31"/>
        <v>14.7</v>
      </c>
      <c r="D134">
        <v>31.37</v>
      </c>
      <c r="E134" s="8">
        <v>0.31</v>
      </c>
      <c r="F134" s="19">
        <f t="shared" si="37"/>
        <v>1.2089440462180379</v>
      </c>
      <c r="G134" s="19">
        <f t="shared" ref="G134:G197" si="39">D134/9.8/F134+0.5</f>
        <v>3.1477821022214196</v>
      </c>
      <c r="H134" s="19">
        <f t="shared" ref="H134:H197" ca="1" si="40">C134/E134/F134/(4*PI())</f>
        <v>3.1213292064337996</v>
      </c>
      <c r="I134" s="19">
        <f t="shared" ref="I134:I197" si="41">G134*4*4/4*PI()</f>
        <v>39.556196509760987</v>
      </c>
      <c r="J134" s="8">
        <v>0.31</v>
      </c>
      <c r="K134" s="19">
        <f t="shared" ref="K134:K197" si="42">ROUND(L134/I134,0)</f>
        <v>192</v>
      </c>
      <c r="L134" s="3">
        <f t="shared" si="29"/>
        <v>7600</v>
      </c>
      <c r="M134" s="3">
        <f t="shared" si="38"/>
        <v>13</v>
      </c>
      <c r="N134">
        <f t="shared" si="32"/>
        <v>0.14937500000000001</v>
      </c>
      <c r="O134">
        <v>58</v>
      </c>
      <c r="P134">
        <v>13.36</v>
      </c>
      <c r="Q134">
        <v>9.3800000000000008</v>
      </c>
      <c r="S134">
        <v>12.08</v>
      </c>
      <c r="T134">
        <v>7.3</v>
      </c>
      <c r="W134">
        <v>32</v>
      </c>
      <c r="X134">
        <f t="shared" ca="1" si="33"/>
        <v>44.966229577320505</v>
      </c>
      <c r="Y134">
        <f ca="1">C134/X134*60</f>
        <v>19.61471994184836</v>
      </c>
      <c r="Z134">
        <v>17.488888888888901</v>
      </c>
      <c r="AA134">
        <v>4.5</v>
      </c>
      <c r="AB134">
        <f t="shared" ca="1" si="34"/>
        <v>19.600000000000001</v>
      </c>
      <c r="AC134">
        <f t="shared" ca="1" si="35"/>
        <v>1.4719941848360008E-2</v>
      </c>
      <c r="AD134">
        <f t="shared" ca="1" si="36"/>
        <v>19.61471994184836</v>
      </c>
      <c r="AE134">
        <f ca="1">C134*60/AD134</f>
        <v>44.966229577320505</v>
      </c>
    </row>
    <row r="135" spans="1:31" x14ac:dyDescent="0.45">
      <c r="A135">
        <f t="shared" ca="1" si="30"/>
        <v>20</v>
      </c>
      <c r="B135" s="3">
        <v>7518</v>
      </c>
      <c r="C135">
        <f t="shared" ca="1" si="31"/>
        <v>14.7</v>
      </c>
      <c r="D135">
        <v>32.04</v>
      </c>
      <c r="E135" s="8">
        <v>0.31</v>
      </c>
      <c r="F135" s="19">
        <f t="shared" si="37"/>
        <v>1.2089440462180379</v>
      </c>
      <c r="G135" s="19">
        <f t="shared" si="39"/>
        <v>3.2043333935344047</v>
      </c>
      <c r="H135" s="19">
        <f t="shared" ca="1" si="40"/>
        <v>3.1213292064337996</v>
      </c>
      <c r="I135" s="19">
        <f t="shared" si="41"/>
        <v>40.266840995120546</v>
      </c>
      <c r="J135" s="8">
        <v>0.31</v>
      </c>
      <c r="K135" s="19">
        <f t="shared" si="42"/>
        <v>186</v>
      </c>
      <c r="L135" s="3">
        <f t="shared" si="29"/>
        <v>7500</v>
      </c>
      <c r="M135" s="3">
        <f t="shared" si="38"/>
        <v>12</v>
      </c>
      <c r="N135">
        <f t="shared" si="32"/>
        <v>0.12699999999999997</v>
      </c>
      <c r="O135">
        <v>53.5</v>
      </c>
      <c r="P135">
        <v>12.22</v>
      </c>
      <c r="Q135">
        <v>12.86</v>
      </c>
      <c r="S135">
        <v>12.45</v>
      </c>
      <c r="T135">
        <v>7.37</v>
      </c>
      <c r="W135">
        <v>40</v>
      </c>
      <c r="X135">
        <f t="shared" ca="1" si="33"/>
        <v>43.472084250216241</v>
      </c>
      <c r="Y135">
        <f ca="1">C135/X135*60</f>
        <v>20.288882284166366</v>
      </c>
      <c r="Z135">
        <v>15.491803278688501</v>
      </c>
      <c r="AA135">
        <v>4.5</v>
      </c>
      <c r="AB135">
        <f t="shared" ca="1" si="34"/>
        <v>19.3</v>
      </c>
      <c r="AC135">
        <f t="shared" ca="1" si="35"/>
        <v>0.98888228416636414</v>
      </c>
      <c r="AD135">
        <f t="shared" ca="1" si="36"/>
        <v>20.288882284166366</v>
      </c>
      <c r="AE135">
        <f ca="1">C135*60/AD135</f>
        <v>43.472084250216241</v>
      </c>
    </row>
    <row r="136" spans="1:31" x14ac:dyDescent="0.45">
      <c r="A136">
        <f t="shared" ca="1" si="30"/>
        <v>21</v>
      </c>
      <c r="B136" s="3">
        <v>7498</v>
      </c>
      <c r="C136">
        <f t="shared" ca="1" si="31"/>
        <v>15.7</v>
      </c>
      <c r="D136">
        <v>31.82</v>
      </c>
      <c r="E136" s="8">
        <v>0.31</v>
      </c>
      <c r="F136" s="19">
        <f t="shared" si="37"/>
        <v>1.2089440462180379</v>
      </c>
      <c r="G136" s="19">
        <f t="shared" si="39"/>
        <v>3.1857643128047677</v>
      </c>
      <c r="H136" s="19">
        <f t="shared" ca="1" si="40"/>
        <v>3.3336645265993643</v>
      </c>
      <c r="I136" s="19">
        <f t="shared" si="41"/>
        <v>40.033495044703976</v>
      </c>
      <c r="J136" s="8">
        <v>0.31</v>
      </c>
      <c r="K136" s="19">
        <f t="shared" si="42"/>
        <v>187</v>
      </c>
      <c r="L136" s="3">
        <f t="shared" si="29"/>
        <v>7500</v>
      </c>
      <c r="M136" s="3">
        <f t="shared" si="38"/>
        <v>13</v>
      </c>
      <c r="N136">
        <f t="shared" si="32"/>
        <v>0.10063829787234044</v>
      </c>
      <c r="O136">
        <v>56.3</v>
      </c>
      <c r="P136">
        <v>12.6</v>
      </c>
      <c r="Q136">
        <v>12.07</v>
      </c>
      <c r="S136">
        <v>12.08</v>
      </c>
      <c r="T136">
        <v>7.35</v>
      </c>
      <c r="W136">
        <v>47</v>
      </c>
      <c r="X136">
        <f t="shared" ca="1" si="33"/>
        <v>47.738451659752158</v>
      </c>
      <c r="Y136">
        <f ca="1">C136/X136*60</f>
        <v>19.732521002439452</v>
      </c>
      <c r="Z136">
        <v>13.431428571428601</v>
      </c>
      <c r="AA136">
        <v>4.5</v>
      </c>
      <c r="AB136">
        <f t="shared" ca="1" si="34"/>
        <v>19.399999999999999</v>
      </c>
      <c r="AC136">
        <f t="shared" ca="1" si="35"/>
        <v>0.33252100243945371</v>
      </c>
      <c r="AD136">
        <f t="shared" ca="1" si="36"/>
        <v>19.732521002439452</v>
      </c>
      <c r="AE136">
        <f ca="1">C136*60/AD136</f>
        <v>47.738451659752158</v>
      </c>
    </row>
    <row r="137" spans="1:31" x14ac:dyDescent="0.45">
      <c r="A137">
        <f t="shared" ca="1" si="30"/>
        <v>18</v>
      </c>
      <c r="B137" s="3">
        <v>7254</v>
      </c>
      <c r="C137">
        <f t="shared" ca="1" si="31"/>
        <v>16</v>
      </c>
      <c r="D137">
        <v>32.89</v>
      </c>
      <c r="E137" s="8">
        <v>0.31</v>
      </c>
      <c r="F137" s="19">
        <f t="shared" si="37"/>
        <v>1.2089440462180379</v>
      </c>
      <c r="G137" s="19">
        <f t="shared" si="39"/>
        <v>3.2760775690807296</v>
      </c>
      <c r="H137" s="19">
        <f t="shared" ca="1" si="40"/>
        <v>3.3973651226490342</v>
      </c>
      <c r="I137" s="19">
        <f t="shared" si="41"/>
        <v>41.168404894457311</v>
      </c>
      <c r="J137" s="8">
        <v>0.31</v>
      </c>
      <c r="K137" s="19">
        <f t="shared" si="42"/>
        <v>177</v>
      </c>
      <c r="L137" s="3">
        <f t="shared" si="29"/>
        <v>7300</v>
      </c>
      <c r="M137" s="3">
        <f t="shared" si="38"/>
        <v>12</v>
      </c>
      <c r="N137">
        <f t="shared" si="32"/>
        <v>0.18759999999999999</v>
      </c>
      <c r="O137">
        <v>51</v>
      </c>
      <c r="P137">
        <v>12.15</v>
      </c>
      <c r="Q137">
        <v>12.61</v>
      </c>
      <c r="S137">
        <v>11.94</v>
      </c>
      <c r="T137">
        <v>7.25</v>
      </c>
      <c r="W137">
        <v>25</v>
      </c>
      <c r="X137">
        <f t="shared" ca="1" si="33"/>
        <v>46.151414260573766</v>
      </c>
      <c r="Y137">
        <f ca="1">C137/X137*60</f>
        <v>20.801096030985747</v>
      </c>
      <c r="Z137">
        <v>21</v>
      </c>
      <c r="AA137">
        <v>4.5</v>
      </c>
      <c r="AB137">
        <f t="shared" ca="1" si="34"/>
        <v>20</v>
      </c>
      <c r="AC137">
        <f t="shared" ca="1" si="35"/>
        <v>0.80109603098574833</v>
      </c>
      <c r="AD137">
        <f t="shared" ca="1" si="36"/>
        <v>20.801096030985747</v>
      </c>
      <c r="AE137">
        <f ca="1">C137*60/AD137</f>
        <v>46.151414260573766</v>
      </c>
    </row>
    <row r="138" spans="1:31" x14ac:dyDescent="0.45">
      <c r="A138">
        <f t="shared" ca="1" si="30"/>
        <v>20</v>
      </c>
      <c r="B138" s="3">
        <v>9367</v>
      </c>
      <c r="C138">
        <f t="shared" ca="1" si="31"/>
        <v>15.8</v>
      </c>
      <c r="D138">
        <v>31.76</v>
      </c>
      <c r="E138" s="8">
        <v>0.31</v>
      </c>
      <c r="F138" s="19">
        <f t="shared" si="37"/>
        <v>1.2089440462180379</v>
      </c>
      <c r="G138" s="19">
        <f t="shared" si="39"/>
        <v>3.1807000180603211</v>
      </c>
      <c r="H138" s="19">
        <f t="shared" ca="1" si="40"/>
        <v>3.3548980586159214</v>
      </c>
      <c r="I138" s="19">
        <f t="shared" si="41"/>
        <v>39.969855240044907</v>
      </c>
      <c r="J138" s="8">
        <v>0.31</v>
      </c>
      <c r="K138" s="19">
        <f t="shared" si="42"/>
        <v>235</v>
      </c>
      <c r="L138" s="3">
        <f t="shared" si="29"/>
        <v>9400</v>
      </c>
      <c r="M138" s="3">
        <f t="shared" si="38"/>
        <v>7</v>
      </c>
      <c r="N138">
        <f t="shared" si="32"/>
        <v>7.859374999999999E-2</v>
      </c>
      <c r="O138">
        <v>51</v>
      </c>
      <c r="P138">
        <v>6.58</v>
      </c>
      <c r="Q138">
        <v>7.69</v>
      </c>
      <c r="S138">
        <v>12.37</v>
      </c>
      <c r="T138">
        <v>7.34</v>
      </c>
      <c r="W138">
        <v>64</v>
      </c>
      <c r="X138">
        <f t="shared" ca="1" si="33"/>
        <v>46.561329698869145</v>
      </c>
      <c r="Y138">
        <f ca="1">C138/X138*60</f>
        <v>20.360243277653311</v>
      </c>
      <c r="Z138">
        <v>10.967441860465099</v>
      </c>
      <c r="AA138">
        <v>4.5</v>
      </c>
      <c r="AB138">
        <f t="shared" ca="1" si="34"/>
        <v>19.399999999999999</v>
      </c>
      <c r="AC138">
        <f t="shared" ca="1" si="35"/>
        <v>0.96024327765331241</v>
      </c>
      <c r="AD138">
        <f t="shared" ca="1" si="36"/>
        <v>20.360243277653311</v>
      </c>
      <c r="AE138">
        <f ca="1">C138*60/AD138</f>
        <v>46.561329698869145</v>
      </c>
    </row>
    <row r="139" spans="1:31" x14ac:dyDescent="0.45">
      <c r="A139">
        <f t="shared" ca="1" si="30"/>
        <v>20</v>
      </c>
      <c r="B139" s="3">
        <v>9388</v>
      </c>
      <c r="C139">
        <f t="shared" ca="1" si="31"/>
        <v>16.2</v>
      </c>
      <c r="D139">
        <v>29.56</v>
      </c>
      <c r="E139" s="8">
        <v>0.31</v>
      </c>
      <c r="F139" s="19">
        <f t="shared" si="37"/>
        <v>1.2089440462180379</v>
      </c>
      <c r="G139" s="19">
        <f t="shared" si="39"/>
        <v>2.9950092107639512</v>
      </c>
      <c r="H139" s="19">
        <f t="shared" ca="1" si="40"/>
        <v>3.4398321866821471</v>
      </c>
      <c r="I139" s="19">
        <f t="shared" si="41"/>
        <v>37.636395735879177</v>
      </c>
      <c r="J139" s="8">
        <v>0.31</v>
      </c>
      <c r="K139" s="19">
        <f t="shared" si="42"/>
        <v>250</v>
      </c>
      <c r="L139" s="3">
        <f t="shared" si="29"/>
        <v>9400</v>
      </c>
      <c r="M139" s="3">
        <f t="shared" si="38"/>
        <v>12</v>
      </c>
      <c r="N139">
        <f t="shared" si="32"/>
        <v>0.15499999999999997</v>
      </c>
      <c r="O139">
        <v>52</v>
      </c>
      <c r="P139">
        <v>12.22</v>
      </c>
      <c r="Q139">
        <v>13.88</v>
      </c>
      <c r="S139">
        <v>11.54</v>
      </c>
      <c r="T139">
        <v>7.2</v>
      </c>
      <c r="W139">
        <v>28</v>
      </c>
      <c r="X139">
        <f t="shared" ca="1" si="33"/>
        <v>48.663677185350025</v>
      </c>
      <c r="Y139">
        <f ca="1">C139/X139*60</f>
        <v>19.973829686109625</v>
      </c>
      <c r="Z139">
        <v>18.458823529411799</v>
      </c>
      <c r="AA139">
        <v>4.5</v>
      </c>
      <c r="AB139">
        <f t="shared" ca="1" si="34"/>
        <v>19.899999999999999</v>
      </c>
      <c r="AC139">
        <f t="shared" ca="1" si="35"/>
        <v>7.3829686109624704E-2</v>
      </c>
      <c r="AD139">
        <f t="shared" ca="1" si="36"/>
        <v>19.973829686109625</v>
      </c>
      <c r="AE139">
        <f ca="1">C139*60/AD139</f>
        <v>48.663677185350025</v>
      </c>
    </row>
    <row r="140" spans="1:31" x14ac:dyDescent="0.45">
      <c r="A140">
        <f t="shared" ca="1" si="30"/>
        <v>19</v>
      </c>
      <c r="B140" s="3">
        <v>6531</v>
      </c>
      <c r="C140">
        <f t="shared" ca="1" si="31"/>
        <v>14.7</v>
      </c>
      <c r="D140">
        <v>47.46</v>
      </c>
      <c r="E140" s="8">
        <v>0.32</v>
      </c>
      <c r="F140" s="19">
        <f t="shared" si="37"/>
        <v>1.2171477811288238</v>
      </c>
      <c r="G140" s="19">
        <f t="shared" si="39"/>
        <v>4.4788571428571426</v>
      </c>
      <c r="H140" s="19">
        <f t="shared" ca="1" si="40"/>
        <v>3.0034069451711556</v>
      </c>
      <c r="I140" s="19">
        <f t="shared" si="41"/>
        <v>56.282978785912682</v>
      </c>
      <c r="J140" s="8">
        <v>0.32</v>
      </c>
      <c r="K140" s="19">
        <f t="shared" si="42"/>
        <v>115</v>
      </c>
      <c r="L140" s="3">
        <f t="shared" si="29"/>
        <v>6500</v>
      </c>
      <c r="M140" s="3">
        <f t="shared" si="38"/>
        <v>3</v>
      </c>
      <c r="N140">
        <f t="shared" ca="1" si="32"/>
        <v>0.28152188157266228</v>
      </c>
      <c r="O140">
        <v>61.52</v>
      </c>
      <c r="P140">
        <v>2.61</v>
      </c>
      <c r="Q140">
        <v>0.16</v>
      </c>
      <c r="S140">
        <v>12.99</v>
      </c>
      <c r="T140">
        <v>7.16</v>
      </c>
      <c r="W140">
        <f ca="1">X140-A140-AA140</f>
        <v>20.708869830763923</v>
      </c>
      <c r="X140">
        <f t="shared" ca="1" si="33"/>
        <v>44.208869830763923</v>
      </c>
      <c r="Y140">
        <f ca="1">C140/X140*60</f>
        <v>19.950747516875825</v>
      </c>
      <c r="Z140">
        <v>8.9377358490565992</v>
      </c>
      <c r="AA140">
        <v>4.5</v>
      </c>
      <c r="AB140">
        <f t="shared" ca="1" si="34"/>
        <v>19.7</v>
      </c>
      <c r="AC140">
        <f t="shared" ca="1" si="35"/>
        <v>0.25074751687582675</v>
      </c>
      <c r="AD140">
        <f t="shared" ca="1" si="36"/>
        <v>19.950747516875825</v>
      </c>
      <c r="AE140">
        <f ca="1">C140*60/AD140</f>
        <v>44.208869830763923</v>
      </c>
    </row>
    <row r="141" spans="1:31" x14ac:dyDescent="0.45">
      <c r="A141">
        <f t="shared" ca="1" si="30"/>
        <v>17</v>
      </c>
      <c r="B141" s="3">
        <v>6452</v>
      </c>
      <c r="C141">
        <f t="shared" ca="1" si="31"/>
        <v>16</v>
      </c>
      <c r="D141">
        <v>36.44</v>
      </c>
      <c r="E141" s="8">
        <v>0.32</v>
      </c>
      <c r="F141" s="19">
        <f t="shared" si="37"/>
        <v>1.2171477811288238</v>
      </c>
      <c r="G141" s="19">
        <f t="shared" si="39"/>
        <v>3.554984287520317</v>
      </c>
      <c r="H141" s="19">
        <f t="shared" ca="1" si="40"/>
        <v>3.2690143620910534</v>
      </c>
      <c r="I141" s="19">
        <f t="shared" si="41"/>
        <v>44.67325008520389</v>
      </c>
      <c r="J141" s="8">
        <v>0.32</v>
      </c>
      <c r="K141" s="19">
        <f t="shared" si="42"/>
        <v>146</v>
      </c>
      <c r="L141" s="3">
        <f t="shared" si="29"/>
        <v>6500</v>
      </c>
      <c r="M141" s="3">
        <f t="shared" si="38"/>
        <v>11</v>
      </c>
      <c r="N141">
        <f t="shared" ca="1" si="32"/>
        <v>0.20184777771889523</v>
      </c>
      <c r="O141">
        <v>58.2</v>
      </c>
      <c r="P141">
        <v>10.74</v>
      </c>
      <c r="Q141">
        <v>0.17</v>
      </c>
      <c r="S141">
        <v>12.63</v>
      </c>
      <c r="T141">
        <v>7.3</v>
      </c>
      <c r="W141">
        <f ca="1">X141-A141-AA141</f>
        <v>26.40603756075464</v>
      </c>
      <c r="X141">
        <f t="shared" ca="1" si="33"/>
        <v>47.90603756075464</v>
      </c>
      <c r="Y141">
        <f ca="1">C141/X141*60</f>
        <v>20.039227806777465</v>
      </c>
      <c r="Z141">
        <v>9.0576923076923102</v>
      </c>
      <c r="AA141">
        <v>4.5</v>
      </c>
      <c r="AB141">
        <f t="shared" ca="1" si="34"/>
        <v>19.2</v>
      </c>
      <c r="AC141">
        <f t="shared" ca="1" si="35"/>
        <v>0.83922780677746711</v>
      </c>
      <c r="AD141">
        <f t="shared" ca="1" si="36"/>
        <v>20.039227806777465</v>
      </c>
      <c r="AE141">
        <f ca="1">C141*60/AD141</f>
        <v>47.90603756075464</v>
      </c>
    </row>
    <row r="142" spans="1:31" x14ac:dyDescent="0.45">
      <c r="A142">
        <f t="shared" ca="1" si="30"/>
        <v>22</v>
      </c>
      <c r="B142" s="3">
        <v>6621</v>
      </c>
      <c r="C142">
        <f t="shared" ca="1" si="31"/>
        <v>15.7</v>
      </c>
      <c r="D142">
        <v>39.25</v>
      </c>
      <c r="E142" s="8">
        <v>0.32</v>
      </c>
      <c r="F142" s="19">
        <f t="shared" si="37"/>
        <v>1.2171477811288238</v>
      </c>
      <c r="G142" s="19">
        <f t="shared" si="39"/>
        <v>3.7905634820299796</v>
      </c>
      <c r="H142" s="19">
        <f t="shared" ca="1" si="40"/>
        <v>3.2077203428018466</v>
      </c>
      <c r="I142" s="19">
        <f t="shared" si="41"/>
        <v>47.633625552444521</v>
      </c>
      <c r="J142" s="8">
        <v>0.32</v>
      </c>
      <c r="K142" s="19">
        <f t="shared" si="42"/>
        <v>139</v>
      </c>
      <c r="L142" s="3">
        <f t="shared" si="29"/>
        <v>6600</v>
      </c>
      <c r="M142" s="3">
        <f t="shared" si="38"/>
        <v>8</v>
      </c>
      <c r="N142">
        <f t="shared" ca="1" si="32"/>
        <v>0.26426718003199806</v>
      </c>
      <c r="O142">
        <v>61.6</v>
      </c>
      <c r="P142">
        <v>7.95</v>
      </c>
      <c r="Q142">
        <v>7.34</v>
      </c>
      <c r="S142">
        <v>12.63</v>
      </c>
      <c r="T142">
        <v>7.2</v>
      </c>
      <c r="W142">
        <f ca="1">X142-A142-AA142</f>
        <v>20.547386926149983</v>
      </c>
      <c r="X142">
        <f t="shared" ca="1" si="33"/>
        <v>47.047386926149983</v>
      </c>
      <c r="Y142">
        <f ca="1">C142/X142*60</f>
        <v>20.022365991944504</v>
      </c>
      <c r="Z142">
        <v>12.0075</v>
      </c>
      <c r="AA142">
        <v>4.5</v>
      </c>
      <c r="AB142">
        <f t="shared" ca="1" si="34"/>
        <v>19.100000000000001</v>
      </c>
      <c r="AC142">
        <f t="shared" ca="1" si="35"/>
        <v>0.92236599194450697</v>
      </c>
      <c r="AD142">
        <f t="shared" ca="1" si="36"/>
        <v>20.022365991944508</v>
      </c>
      <c r="AE142">
        <f ca="1">C142*60/AD142</f>
        <v>47.047386926149983</v>
      </c>
    </row>
    <row r="143" spans="1:31" x14ac:dyDescent="0.45">
      <c r="A143">
        <f t="shared" ca="1" si="30"/>
        <v>20</v>
      </c>
      <c r="B143" s="3">
        <v>6852</v>
      </c>
      <c r="C143">
        <f t="shared" ca="1" si="31"/>
        <v>15.6</v>
      </c>
      <c r="D143">
        <v>36.229999999999997</v>
      </c>
      <c r="E143" s="8">
        <v>0.32</v>
      </c>
      <c r="F143" s="19">
        <f t="shared" si="37"/>
        <v>1.2171477811288238</v>
      </c>
      <c r="G143" s="19">
        <f t="shared" si="39"/>
        <v>3.5373787249413033</v>
      </c>
      <c r="H143" s="19">
        <f t="shared" ca="1" si="40"/>
        <v>3.1872890030387775</v>
      </c>
      <c r="I143" s="19">
        <f t="shared" si="41"/>
        <v>44.452012060961714</v>
      </c>
      <c r="J143" s="8">
        <v>0.32</v>
      </c>
      <c r="K143" s="19">
        <f t="shared" si="42"/>
        <v>155</v>
      </c>
      <c r="L143" s="3">
        <f t="shared" si="29"/>
        <v>6900</v>
      </c>
      <c r="M143" s="3">
        <f t="shared" si="38"/>
        <v>8</v>
      </c>
      <c r="N143">
        <f t="shared" ca="1" si="32"/>
        <v>0.20376644527430476</v>
      </c>
      <c r="O143">
        <v>63.1</v>
      </c>
      <c r="P143">
        <v>8.0299999999999994</v>
      </c>
      <c r="Q143">
        <v>5.65</v>
      </c>
      <c r="S143">
        <v>12.18</v>
      </c>
      <c r="T143">
        <v>7.35</v>
      </c>
      <c r="W143">
        <f ca="1">X143-A143-AA143</f>
        <v>23.703608282992754</v>
      </c>
      <c r="X143">
        <f t="shared" ca="1" si="33"/>
        <v>48.203608282992754</v>
      </c>
      <c r="Y143">
        <f ca="1">C143/X143*60</f>
        <v>19.417633520398525</v>
      </c>
      <c r="Z143">
        <v>12.153846153846199</v>
      </c>
      <c r="AA143">
        <v>4.5</v>
      </c>
      <c r="AB143">
        <f t="shared" ca="1" si="34"/>
        <v>19.2</v>
      </c>
      <c r="AC143">
        <f t="shared" ca="1" si="35"/>
        <v>0.21763352039852502</v>
      </c>
      <c r="AD143">
        <f t="shared" ca="1" si="36"/>
        <v>19.417633520398525</v>
      </c>
      <c r="AE143">
        <f ca="1">C143*60/AD143</f>
        <v>48.203608282992754</v>
      </c>
    </row>
    <row r="144" spans="1:31" x14ac:dyDescent="0.45">
      <c r="A144">
        <f t="shared" ca="1" si="30"/>
        <v>19</v>
      </c>
      <c r="B144" s="3">
        <v>6523</v>
      </c>
      <c r="C144">
        <f t="shared" ca="1" si="31"/>
        <v>16</v>
      </c>
      <c r="D144">
        <v>40.9</v>
      </c>
      <c r="E144" s="8">
        <v>0.32</v>
      </c>
      <c r="F144" s="19">
        <f t="shared" si="37"/>
        <v>1.2171477811288238</v>
      </c>
      <c r="G144" s="19">
        <f t="shared" si="39"/>
        <v>3.9288929022936605</v>
      </c>
      <c r="H144" s="19">
        <f t="shared" ca="1" si="40"/>
        <v>3.2690143620910534</v>
      </c>
      <c r="I144" s="19">
        <f t="shared" si="41"/>
        <v>49.371924314347382</v>
      </c>
      <c r="J144" s="8">
        <v>0.32</v>
      </c>
      <c r="K144" s="19">
        <f t="shared" si="42"/>
        <v>132</v>
      </c>
      <c r="L144" s="3">
        <f t="shared" si="29"/>
        <v>6500</v>
      </c>
      <c r="M144" s="3">
        <f t="shared" si="38"/>
        <v>10</v>
      </c>
      <c r="N144">
        <f t="shared" ca="1" si="32"/>
        <v>0.20515346600809303</v>
      </c>
      <c r="O144">
        <v>63.8</v>
      </c>
      <c r="P144">
        <v>9.6</v>
      </c>
      <c r="Q144">
        <v>6.59</v>
      </c>
      <c r="S144">
        <v>12.53</v>
      </c>
      <c r="T144">
        <v>7.3</v>
      </c>
      <c r="W144">
        <f ca="1">X144-A144-AA144</f>
        <v>25.493110605275774</v>
      </c>
      <c r="X144">
        <f t="shared" ca="1" si="33"/>
        <v>48.993110605275774</v>
      </c>
      <c r="Y144">
        <f ca="1">C144/X144*60</f>
        <v>19.594591732181694</v>
      </c>
      <c r="Z144">
        <v>11.262499999999999</v>
      </c>
      <c r="AA144">
        <v>4.5</v>
      </c>
      <c r="AB144">
        <f t="shared" ca="1" si="34"/>
        <v>19.2</v>
      </c>
      <c r="AC144">
        <f t="shared" ca="1" si="35"/>
        <v>0.39459173218169452</v>
      </c>
      <c r="AD144">
        <f t="shared" ca="1" si="36"/>
        <v>19.594591732181694</v>
      </c>
      <c r="AE144">
        <f ca="1">C144*60/AD144</f>
        <v>48.993110605275774</v>
      </c>
    </row>
    <row r="145" spans="1:31" x14ac:dyDescent="0.45">
      <c r="A145">
        <f t="shared" ca="1" si="30"/>
        <v>21</v>
      </c>
      <c r="B145" s="3">
        <v>6385</v>
      </c>
      <c r="C145">
        <f t="shared" ca="1" si="31"/>
        <v>15.3</v>
      </c>
      <c r="D145">
        <v>40.479999999999997</v>
      </c>
      <c r="E145" s="8">
        <v>0.32</v>
      </c>
      <c r="F145" s="19">
        <f>1/(E145/2.26+1-E145)</f>
        <v>1.2171477811288238</v>
      </c>
      <c r="G145" s="19">
        <f t="shared" si="39"/>
        <v>3.8936817771356327</v>
      </c>
      <c r="H145" s="19">
        <f t="shared" ca="1" si="40"/>
        <v>3.1259949837495702</v>
      </c>
      <c r="I145" s="19">
        <f t="shared" si="41"/>
        <v>48.929448265863016</v>
      </c>
      <c r="J145" s="8">
        <v>0.32</v>
      </c>
      <c r="K145" s="19">
        <f t="shared" si="42"/>
        <v>131</v>
      </c>
      <c r="L145" s="3">
        <f t="shared" si="29"/>
        <v>6400</v>
      </c>
      <c r="M145" s="3">
        <f t="shared" si="38"/>
        <v>7</v>
      </c>
      <c r="N145">
        <f t="shared" ca="1" si="32"/>
        <v>0.28477809777170915</v>
      </c>
      <c r="O145">
        <v>59.68</v>
      </c>
      <c r="P145">
        <v>6.6</v>
      </c>
      <c r="Q145">
        <v>9.56</v>
      </c>
      <c r="S145">
        <v>12.63</v>
      </c>
      <c r="T145">
        <v>7.2</v>
      </c>
      <c r="W145">
        <f ca="1">X145-A145-AA145</f>
        <v>19.067477599182965</v>
      </c>
      <c r="X145">
        <f t="shared" ca="1" si="33"/>
        <v>44.567477599182965</v>
      </c>
      <c r="Y145">
        <f ca="1">C145/X145*60</f>
        <v>20.597979725395749</v>
      </c>
      <c r="Z145">
        <v>14.345454545454499</v>
      </c>
      <c r="AA145">
        <v>4.5</v>
      </c>
      <c r="AB145">
        <f t="shared" ca="1" si="34"/>
        <v>19.8</v>
      </c>
      <c r="AC145">
        <f t="shared" ca="1" si="35"/>
        <v>0.79797972539574757</v>
      </c>
      <c r="AD145">
        <f t="shared" ca="1" si="36"/>
        <v>20.597979725395749</v>
      </c>
      <c r="AE145">
        <f ca="1">C145*60/AD145</f>
        <v>44.567477599182965</v>
      </c>
    </row>
    <row r="146" spans="1:31" x14ac:dyDescent="0.45">
      <c r="A146">
        <f t="shared" ca="1" si="30"/>
        <v>17</v>
      </c>
      <c r="B146" s="3">
        <v>6533</v>
      </c>
      <c r="C146">
        <f t="shared" ca="1" si="31"/>
        <v>16.5</v>
      </c>
      <c r="D146">
        <v>41.71</v>
      </c>
      <c r="E146" s="8">
        <v>0.32</v>
      </c>
      <c r="F146" s="19">
        <f t="shared" ref="F146:F209" si="43">1/(E146/2.26+1-E146)</f>
        <v>1.2171477811288238</v>
      </c>
      <c r="G146" s="19">
        <f t="shared" si="39"/>
        <v>3.9968000722412858</v>
      </c>
      <c r="H146" s="19">
        <f t="shared" ca="1" si="40"/>
        <v>3.371171060906399</v>
      </c>
      <c r="I146" s="19">
        <f t="shared" si="41"/>
        <v>50.225270979281511</v>
      </c>
      <c r="J146" s="8">
        <v>0.32</v>
      </c>
      <c r="K146" s="19">
        <f t="shared" si="42"/>
        <v>129</v>
      </c>
      <c r="L146" s="3">
        <f t="shared" si="29"/>
        <v>6500</v>
      </c>
      <c r="M146" s="3">
        <f t="shared" si="38"/>
        <v>9</v>
      </c>
      <c r="N146">
        <f t="shared" ca="1" si="32"/>
        <v>0.19637461836546374</v>
      </c>
      <c r="O146">
        <v>61.2</v>
      </c>
      <c r="P146">
        <v>9.44</v>
      </c>
      <c r="Q146">
        <v>9.5500000000000007</v>
      </c>
      <c r="S146">
        <v>12.62</v>
      </c>
      <c r="T146">
        <v>7.15</v>
      </c>
      <c r="W146">
        <f ca="1">X146-A146-AA146</f>
        <v>27.854923643034326</v>
      </c>
      <c r="X146">
        <f t="shared" ca="1" si="33"/>
        <v>49.354923643034326</v>
      </c>
      <c r="Y146">
        <f ca="1">C146/X146*60</f>
        <v>20.058789010804659</v>
      </c>
      <c r="Z146">
        <v>15.79</v>
      </c>
      <c r="AA146">
        <v>4.5</v>
      </c>
      <c r="AB146">
        <f t="shared" ca="1" si="34"/>
        <v>19.7</v>
      </c>
      <c r="AC146">
        <f t="shared" ca="1" si="35"/>
        <v>0.3587890108046593</v>
      </c>
      <c r="AD146">
        <f t="shared" ca="1" si="36"/>
        <v>20.058789010804659</v>
      </c>
      <c r="AE146">
        <f ca="1">C146*60/AD146</f>
        <v>49.354923643034326</v>
      </c>
    </row>
    <row r="147" spans="1:31" x14ac:dyDescent="0.45">
      <c r="A147">
        <f t="shared" ca="1" si="30"/>
        <v>17</v>
      </c>
      <c r="B147" s="3">
        <v>6431</v>
      </c>
      <c r="C147">
        <f t="shared" ca="1" si="31"/>
        <v>15.8</v>
      </c>
      <c r="D147">
        <v>34.28</v>
      </c>
      <c r="E147" s="8">
        <v>0.32</v>
      </c>
      <c r="F147" s="19">
        <f t="shared" si="43"/>
        <v>1.2171477811288238</v>
      </c>
      <c r="G147" s="19">
        <f t="shared" si="39"/>
        <v>3.3738985009933176</v>
      </c>
      <c r="H147" s="19">
        <f t="shared" ca="1" si="40"/>
        <v>3.2281516825649157</v>
      </c>
      <c r="I147" s="19">
        <f t="shared" si="41"/>
        <v>42.39765897871289</v>
      </c>
      <c r="J147" s="8">
        <v>0.32</v>
      </c>
      <c r="K147" s="19">
        <f t="shared" si="42"/>
        <v>151</v>
      </c>
      <c r="L147" s="3">
        <f t="shared" si="29"/>
        <v>6400</v>
      </c>
      <c r="M147" s="3">
        <f t="shared" si="38"/>
        <v>8</v>
      </c>
      <c r="N147">
        <f t="shared" ca="1" si="32"/>
        <v>0.20694399637857508</v>
      </c>
      <c r="O147">
        <v>61.54</v>
      </c>
      <c r="P147">
        <v>7.52</v>
      </c>
      <c r="Q147">
        <v>6.52</v>
      </c>
      <c r="S147">
        <v>12.74</v>
      </c>
      <c r="T147">
        <v>7.23</v>
      </c>
      <c r="W147">
        <f ca="1">X147-A147-AA147</f>
        <v>26.625561004051676</v>
      </c>
      <c r="X147">
        <f t="shared" ca="1" si="33"/>
        <v>48.125561004051676</v>
      </c>
      <c r="Y147">
        <f ca="1">C147/X147*60</f>
        <v>19.698471669144556</v>
      </c>
      <c r="Z147">
        <v>13.342857142857101</v>
      </c>
      <c r="AA147">
        <v>4.5</v>
      </c>
      <c r="AB147">
        <f t="shared" ca="1" si="34"/>
        <v>19.600000000000001</v>
      </c>
      <c r="AC147">
        <f t="shared" ca="1" si="35"/>
        <v>9.847166914455574E-2</v>
      </c>
      <c r="AD147">
        <f t="shared" ca="1" si="36"/>
        <v>19.698471669144556</v>
      </c>
      <c r="AE147">
        <f ca="1">C147*60/AD147</f>
        <v>48.125561004051676</v>
      </c>
    </row>
    <row r="148" spans="1:31" x14ac:dyDescent="0.45">
      <c r="A148">
        <f t="shared" ca="1" si="30"/>
        <v>19</v>
      </c>
      <c r="B148" s="3">
        <v>6417</v>
      </c>
      <c r="C148">
        <f t="shared" ca="1" si="31"/>
        <v>16.399999999999999</v>
      </c>
      <c r="D148">
        <v>30.08</v>
      </c>
      <c r="E148" s="8">
        <v>0.32</v>
      </c>
      <c r="F148" s="19">
        <f t="shared" si="43"/>
        <v>1.2171477811288238</v>
      </c>
      <c r="G148" s="19">
        <f t="shared" si="39"/>
        <v>3.0217872494130389</v>
      </c>
      <c r="H148" s="19">
        <f t="shared" ca="1" si="40"/>
        <v>3.3507397211433299</v>
      </c>
      <c r="I148" s="19">
        <f t="shared" si="41"/>
        <v>37.972898493869245</v>
      </c>
      <c r="J148" s="8">
        <v>0.32</v>
      </c>
      <c r="K148" s="19">
        <f t="shared" si="42"/>
        <v>169</v>
      </c>
      <c r="L148" s="3">
        <f t="shared" si="29"/>
        <v>6400</v>
      </c>
      <c r="M148" s="3">
        <f t="shared" si="38"/>
        <v>12</v>
      </c>
      <c r="N148">
        <f t="shared" ca="1" si="32"/>
        <v>0.22172397268525856</v>
      </c>
      <c r="O148">
        <v>53.4</v>
      </c>
      <c r="P148">
        <v>12.25</v>
      </c>
      <c r="Q148">
        <v>8.65</v>
      </c>
      <c r="S148">
        <v>12.82</v>
      </c>
      <c r="T148">
        <v>7.24</v>
      </c>
      <c r="W148">
        <f ca="1">X148-A148-AA148</f>
        <v>25.166426220952289</v>
      </c>
      <c r="X148">
        <f t="shared" ca="1" si="33"/>
        <v>48.666426220952289</v>
      </c>
      <c r="Y148">
        <f ca="1">C148/X148*60</f>
        <v>20.219277978878175</v>
      </c>
      <c r="Z148">
        <v>15.521311475409799</v>
      </c>
      <c r="AA148">
        <v>4.5</v>
      </c>
      <c r="AB148">
        <f t="shared" ca="1" si="34"/>
        <v>19.600000000000001</v>
      </c>
      <c r="AC148">
        <f t="shared" ca="1" si="35"/>
        <v>0.61927797887817104</v>
      </c>
      <c r="AD148">
        <f t="shared" ca="1" si="36"/>
        <v>20.219277978878171</v>
      </c>
      <c r="AE148">
        <f ca="1">C148*60/AD148</f>
        <v>48.666426220952289</v>
      </c>
    </row>
    <row r="149" spans="1:31" x14ac:dyDescent="0.45">
      <c r="A149">
        <f t="shared" ca="1" si="30"/>
        <v>19</v>
      </c>
      <c r="B149" s="3">
        <v>6567</v>
      </c>
      <c r="C149">
        <f t="shared" ca="1" si="31"/>
        <v>15.9</v>
      </c>
      <c r="D149">
        <v>41.73</v>
      </c>
      <c r="E149" s="8">
        <v>0.32</v>
      </c>
      <c r="F149" s="19">
        <f t="shared" si="43"/>
        <v>1.2171477811288238</v>
      </c>
      <c r="G149" s="19">
        <f t="shared" si="39"/>
        <v>3.9984767924869056</v>
      </c>
      <c r="H149" s="19">
        <f t="shared" ca="1" si="40"/>
        <v>3.2485830223279843</v>
      </c>
      <c r="I149" s="19">
        <f t="shared" si="41"/>
        <v>50.246341267304572</v>
      </c>
      <c r="J149" s="8">
        <v>0.32</v>
      </c>
      <c r="K149" s="19">
        <f t="shared" si="42"/>
        <v>131</v>
      </c>
      <c r="L149" s="3">
        <f t="shared" si="29"/>
        <v>6600</v>
      </c>
      <c r="M149" s="3">
        <f t="shared" si="38"/>
        <v>13</v>
      </c>
      <c r="N149">
        <f t="shared" ca="1" si="32"/>
        <v>0.24343228487667778</v>
      </c>
      <c r="O149">
        <v>52.7</v>
      </c>
      <c r="P149">
        <v>13.49</v>
      </c>
      <c r="Q149">
        <v>13.72</v>
      </c>
      <c r="S149">
        <v>12.73</v>
      </c>
      <c r="T149">
        <v>7.12</v>
      </c>
      <c r="W149">
        <f ca="1">X149-A149-AA149</f>
        <v>23.045423095141274</v>
      </c>
      <c r="X149">
        <f t="shared" ca="1" si="33"/>
        <v>46.545423095141274</v>
      </c>
      <c r="Y149">
        <f ca="1">C149/X149*60</f>
        <v>20.496107599021592</v>
      </c>
      <c r="Z149">
        <v>13.5342857142857</v>
      </c>
      <c r="AA149">
        <v>4.5</v>
      </c>
      <c r="AB149">
        <f t="shared" ca="1" si="34"/>
        <v>19.8</v>
      </c>
      <c r="AC149">
        <f t="shared" ca="1" si="35"/>
        <v>0.69610759902158581</v>
      </c>
      <c r="AD149">
        <f t="shared" ca="1" si="36"/>
        <v>20.496107599021588</v>
      </c>
      <c r="AE149">
        <f ca="1">C149*60/AD149</f>
        <v>46.545423095141274</v>
      </c>
    </row>
    <row r="150" spans="1:31" x14ac:dyDescent="0.45">
      <c r="A150">
        <f t="shared" ca="1" si="30"/>
        <v>17</v>
      </c>
      <c r="B150" s="3">
        <v>6357</v>
      </c>
      <c r="C150">
        <f t="shared" ca="1" si="31"/>
        <v>15.3</v>
      </c>
      <c r="D150">
        <v>40.35</v>
      </c>
      <c r="E150" s="8">
        <v>0.32</v>
      </c>
      <c r="F150" s="19">
        <f t="shared" si="43"/>
        <v>1.2171477811288238</v>
      </c>
      <c r="G150" s="19">
        <f t="shared" si="39"/>
        <v>3.8827830955391005</v>
      </c>
      <c r="H150" s="19">
        <f t="shared" ca="1" si="40"/>
        <v>3.1259949837495702</v>
      </c>
      <c r="I150" s="19">
        <f t="shared" si="41"/>
        <v>48.792491393713092</v>
      </c>
      <c r="J150" s="8">
        <v>0.32</v>
      </c>
      <c r="K150" s="19">
        <f t="shared" si="42"/>
        <v>131</v>
      </c>
      <c r="L150" s="3">
        <f t="shared" si="29"/>
        <v>6400</v>
      </c>
      <c r="M150" s="3">
        <f t="shared" si="38"/>
        <v>10</v>
      </c>
      <c r="N150">
        <f t="shared" ca="1" si="32"/>
        <v>0.22829573687058402</v>
      </c>
      <c r="O150">
        <v>54</v>
      </c>
      <c r="P150">
        <v>10.36</v>
      </c>
      <c r="Q150">
        <v>7.16</v>
      </c>
      <c r="S150">
        <v>12.41</v>
      </c>
      <c r="T150">
        <v>7.21</v>
      </c>
      <c r="W150">
        <f ca="1">X150-A150-AA150</f>
        <v>22.777473076283371</v>
      </c>
      <c r="X150">
        <f t="shared" ca="1" si="33"/>
        <v>44.277473076283371</v>
      </c>
      <c r="Y150">
        <f ca="1">C150/X150*60</f>
        <v>20.732890479509191</v>
      </c>
      <c r="Z150">
        <v>14.5292307692308</v>
      </c>
      <c r="AA150">
        <v>4.5</v>
      </c>
      <c r="AB150">
        <f t="shared" ca="1" si="34"/>
        <v>19.899999999999999</v>
      </c>
      <c r="AC150">
        <f t="shared" ca="1" si="35"/>
        <v>0.83289047950919348</v>
      </c>
      <c r="AD150">
        <f t="shared" ca="1" si="36"/>
        <v>20.732890479509191</v>
      </c>
      <c r="AE150">
        <f ca="1">C150*60/AD150</f>
        <v>44.277473076283371</v>
      </c>
    </row>
    <row r="151" spans="1:31" x14ac:dyDescent="0.45">
      <c r="A151">
        <f t="shared" ca="1" si="30"/>
        <v>20</v>
      </c>
      <c r="B151" s="3">
        <v>6637</v>
      </c>
      <c r="C151">
        <f t="shared" ca="1" si="31"/>
        <v>14.7</v>
      </c>
      <c r="D151">
        <v>39.07</v>
      </c>
      <c r="E151" s="8">
        <v>0.32</v>
      </c>
      <c r="F151" s="19">
        <f t="shared" si="43"/>
        <v>1.2171477811288238</v>
      </c>
      <c r="G151" s="19">
        <f t="shared" si="39"/>
        <v>3.7754729998193963</v>
      </c>
      <c r="H151" s="19">
        <f t="shared" ca="1" si="40"/>
        <v>3.0034069451711556</v>
      </c>
      <c r="I151" s="19">
        <f t="shared" si="41"/>
        <v>47.443992960236933</v>
      </c>
      <c r="J151" s="8">
        <v>0.32</v>
      </c>
      <c r="K151" s="19">
        <f t="shared" si="42"/>
        <v>139</v>
      </c>
      <c r="L151" s="3">
        <f t="shared" si="29"/>
        <v>6600</v>
      </c>
      <c r="M151" s="3">
        <f t="shared" si="38"/>
        <v>12</v>
      </c>
      <c r="N151">
        <f t="shared" ca="1" si="32"/>
        <v>0.24760529737299961</v>
      </c>
      <c r="O151">
        <v>53.8</v>
      </c>
      <c r="P151">
        <v>12.15</v>
      </c>
      <c r="Q151">
        <v>9.61</v>
      </c>
      <c r="S151">
        <v>12.2</v>
      </c>
      <c r="T151">
        <v>7.15</v>
      </c>
      <c r="W151">
        <f ca="1">X151-A151-AA151</f>
        <v>20.395363320488805</v>
      </c>
      <c r="X151">
        <f t="shared" ca="1" si="33"/>
        <v>44.895363320488805</v>
      </c>
      <c r="Y151">
        <f ca="1">C151/X151*60</f>
        <v>19.645681307973366</v>
      </c>
      <c r="Z151">
        <v>13.44</v>
      </c>
      <c r="AA151">
        <v>4.5</v>
      </c>
      <c r="AB151">
        <f t="shared" ca="1" si="34"/>
        <v>19.2</v>
      </c>
      <c r="AC151">
        <f t="shared" ca="1" si="35"/>
        <v>0.44568130797336536</v>
      </c>
      <c r="AD151">
        <f t="shared" ca="1" si="36"/>
        <v>19.645681307973366</v>
      </c>
      <c r="AE151">
        <f ca="1">C151*60/AD151</f>
        <v>44.895363320488805</v>
      </c>
    </row>
    <row r="152" spans="1:31" x14ac:dyDescent="0.45">
      <c r="A152">
        <f t="shared" ca="1" si="30"/>
        <v>16</v>
      </c>
      <c r="B152" s="3">
        <v>6421</v>
      </c>
      <c r="C152">
        <f t="shared" ca="1" si="31"/>
        <v>16.399999999999999</v>
      </c>
      <c r="D152">
        <v>43.24</v>
      </c>
      <c r="E152" s="8">
        <v>0.32</v>
      </c>
      <c r="F152" s="19">
        <f t="shared" si="43"/>
        <v>1.2171477811288238</v>
      </c>
      <c r="G152" s="19">
        <f t="shared" si="39"/>
        <v>4.1250691710312442</v>
      </c>
      <c r="H152" s="19">
        <f t="shared" ca="1" si="40"/>
        <v>3.3507397211433299</v>
      </c>
      <c r="I152" s="19">
        <f t="shared" si="41"/>
        <v>51.837148013045976</v>
      </c>
      <c r="J152" s="8">
        <v>0.32</v>
      </c>
      <c r="K152" s="19">
        <f t="shared" si="42"/>
        <v>123</v>
      </c>
      <c r="L152" s="3">
        <f t="shared" si="29"/>
        <v>6400</v>
      </c>
      <c r="M152" s="3">
        <f t="shared" si="38"/>
        <v>7</v>
      </c>
      <c r="N152">
        <f t="shared" ca="1" si="32"/>
        <v>0.16373894693045848</v>
      </c>
      <c r="O152">
        <v>65.400000000000006</v>
      </c>
      <c r="P152">
        <v>6.78</v>
      </c>
      <c r="Q152">
        <v>7.56</v>
      </c>
      <c r="S152">
        <v>11.98</v>
      </c>
      <c r="T152">
        <v>7.4</v>
      </c>
      <c r="W152">
        <f ca="1">X152-A152-AA152</f>
        <v>27.971353705756826</v>
      </c>
      <c r="X152">
        <f t="shared" ca="1" si="33"/>
        <v>48.471353705756826</v>
      </c>
      <c r="Y152">
        <f ca="1">C152/X152*60</f>
        <v>20.300650276312226</v>
      </c>
      <c r="Z152">
        <v>14.345454545454499</v>
      </c>
      <c r="AA152">
        <v>4.5</v>
      </c>
      <c r="AB152">
        <f t="shared" ca="1" si="34"/>
        <v>20</v>
      </c>
      <c r="AC152">
        <f t="shared" ca="1" si="35"/>
        <v>0.30065027631222407</v>
      </c>
      <c r="AD152">
        <f t="shared" ca="1" si="36"/>
        <v>20.300650276312226</v>
      </c>
      <c r="AE152">
        <f ca="1">C152*60/AD152</f>
        <v>48.471353705756826</v>
      </c>
    </row>
    <row r="153" spans="1:31" x14ac:dyDescent="0.45">
      <c r="A153">
        <f t="shared" ca="1" si="30"/>
        <v>18</v>
      </c>
      <c r="B153" s="3">
        <v>6884</v>
      </c>
      <c r="C153">
        <f t="shared" ca="1" si="31"/>
        <v>15.5</v>
      </c>
      <c r="D153">
        <v>41.43</v>
      </c>
      <c r="E153" s="8">
        <v>0.32</v>
      </c>
      <c r="F153" s="19">
        <f t="shared" si="43"/>
        <v>1.2171477811288238</v>
      </c>
      <c r="G153" s="19">
        <f t="shared" si="39"/>
        <v>3.9733259888026007</v>
      </c>
      <c r="H153" s="19">
        <f t="shared" ca="1" si="40"/>
        <v>3.1668576632757079</v>
      </c>
      <c r="I153" s="19">
        <f t="shared" si="41"/>
        <v>49.930286946958603</v>
      </c>
      <c r="J153" s="8">
        <v>0.32</v>
      </c>
      <c r="K153" s="19">
        <f t="shared" si="42"/>
        <v>138</v>
      </c>
      <c r="L153" s="3">
        <f t="shared" si="29"/>
        <v>6900</v>
      </c>
      <c r="M153" s="3">
        <f t="shared" si="38"/>
        <v>10</v>
      </c>
      <c r="N153">
        <f t="shared" ca="1" si="32"/>
        <v>0.18561109818493113</v>
      </c>
      <c r="O153">
        <v>55.3</v>
      </c>
      <c r="P153">
        <v>9.67</v>
      </c>
      <c r="Q153">
        <v>12.93</v>
      </c>
      <c r="S153">
        <v>11.92</v>
      </c>
      <c r="T153">
        <v>7.32</v>
      </c>
      <c r="W153">
        <f ca="1">X153-A153-AA153</f>
        <v>24.783000827983095</v>
      </c>
      <c r="X153">
        <f t="shared" ca="1" si="33"/>
        <v>47.283000827983095</v>
      </c>
      <c r="Y153">
        <f ca="1">C153/X153*60</f>
        <v>19.668802396518075</v>
      </c>
      <c r="Z153">
        <v>15.0857142857143</v>
      </c>
      <c r="AA153">
        <v>4.5</v>
      </c>
      <c r="AB153">
        <f t="shared" ca="1" si="34"/>
        <v>19.3</v>
      </c>
      <c r="AC153">
        <f t="shared" ca="1" si="35"/>
        <v>0.36880239651807489</v>
      </c>
      <c r="AD153">
        <f t="shared" ca="1" si="36"/>
        <v>19.668802396518075</v>
      </c>
      <c r="AE153">
        <f ca="1">C153*60/AD153</f>
        <v>47.283000827983095</v>
      </c>
    </row>
    <row r="154" spans="1:31" x14ac:dyDescent="0.45">
      <c r="A154">
        <f t="shared" ca="1" si="30"/>
        <v>19</v>
      </c>
      <c r="B154" s="3">
        <v>6472</v>
      </c>
      <c r="C154">
        <f t="shared" ca="1" si="31"/>
        <v>16</v>
      </c>
      <c r="D154">
        <v>41.37</v>
      </c>
      <c r="E154" s="8">
        <v>0.32</v>
      </c>
      <c r="F154" s="19">
        <f t="shared" si="43"/>
        <v>1.2171477811288238</v>
      </c>
      <c r="G154" s="19">
        <f t="shared" si="39"/>
        <v>3.968295828065739</v>
      </c>
      <c r="H154" s="19">
        <f t="shared" ca="1" si="40"/>
        <v>3.2690143620910534</v>
      </c>
      <c r="I154" s="19">
        <f t="shared" si="41"/>
        <v>49.867076082889405</v>
      </c>
      <c r="J154" s="8">
        <v>0.32</v>
      </c>
      <c r="K154" s="19">
        <f t="shared" si="42"/>
        <v>130</v>
      </c>
      <c r="L154" s="3">
        <f t="shared" si="29"/>
        <v>6500</v>
      </c>
      <c r="M154" s="3">
        <f t="shared" si="38"/>
        <v>9</v>
      </c>
      <c r="N154">
        <f t="shared" ca="1" si="32"/>
        <v>0.19552779001477305</v>
      </c>
      <c r="O154">
        <v>55.1</v>
      </c>
      <c r="P154">
        <v>8.7100000000000009</v>
      </c>
      <c r="Q154">
        <v>11.48</v>
      </c>
      <c r="S154">
        <v>12.4</v>
      </c>
      <c r="T154">
        <v>7.37</v>
      </c>
      <c r="W154">
        <f ca="1">X154-A154-AA154</f>
        <v>25.725243453219413</v>
      </c>
      <c r="X154">
        <f t="shared" ca="1" si="33"/>
        <v>49.225243453219413</v>
      </c>
      <c r="Y154">
        <f ca="1">C154/X154*60</f>
        <v>19.502188971646707</v>
      </c>
      <c r="Z154">
        <v>13.826086956521699</v>
      </c>
      <c r="AA154">
        <v>4.5</v>
      </c>
      <c r="AB154">
        <f t="shared" ca="1" si="34"/>
        <v>19.3</v>
      </c>
      <c r="AC154">
        <f t="shared" ca="1" si="35"/>
        <v>0.2021889716467079</v>
      </c>
      <c r="AD154">
        <f t="shared" ca="1" si="36"/>
        <v>19.50218897164671</v>
      </c>
      <c r="AE154">
        <f ca="1">C154*60/AD154</f>
        <v>49.225243453219413</v>
      </c>
    </row>
    <row r="155" spans="1:31" x14ac:dyDescent="0.45">
      <c r="A155">
        <f t="shared" ca="1" si="30"/>
        <v>20</v>
      </c>
      <c r="B155" s="3">
        <v>6806</v>
      </c>
      <c r="C155">
        <f t="shared" ca="1" si="31"/>
        <v>15.7</v>
      </c>
      <c r="D155">
        <v>40.65</v>
      </c>
      <c r="E155" s="8">
        <v>0.32</v>
      </c>
      <c r="F155" s="19">
        <f t="shared" si="43"/>
        <v>1.2171477811288238</v>
      </c>
      <c r="G155" s="19">
        <f t="shared" si="39"/>
        <v>3.9079338992234054</v>
      </c>
      <c r="H155" s="19">
        <f t="shared" ca="1" si="40"/>
        <v>3.2077203428018466</v>
      </c>
      <c r="I155" s="19">
        <f t="shared" si="41"/>
        <v>49.108545714059062</v>
      </c>
      <c r="J155" s="8">
        <v>0.32</v>
      </c>
      <c r="K155" s="19">
        <f t="shared" si="42"/>
        <v>138</v>
      </c>
      <c r="L155" s="3">
        <f t="shared" si="29"/>
        <v>6800</v>
      </c>
      <c r="M155" s="3">
        <f t="shared" si="38"/>
        <v>9</v>
      </c>
      <c r="N155">
        <f t="shared" ca="1" si="32"/>
        <v>0.19645013037356038</v>
      </c>
      <c r="O155">
        <v>72.400000000000006</v>
      </c>
      <c r="P155">
        <v>8.7200000000000006</v>
      </c>
      <c r="Q155">
        <v>11.21</v>
      </c>
      <c r="S155">
        <v>11.97</v>
      </c>
      <c r="T155">
        <v>7.32</v>
      </c>
      <c r="W155">
        <f ca="1">X155-A155-AA155</f>
        <v>23.670129366459456</v>
      </c>
      <c r="X155">
        <f t="shared" ca="1" si="33"/>
        <v>48.170129366459456</v>
      </c>
      <c r="Y155">
        <f ca="1">C155/X155*60</f>
        <v>19.555687567987068</v>
      </c>
      <c r="Z155">
        <v>17.522222222222201</v>
      </c>
      <c r="AA155">
        <v>4.5</v>
      </c>
      <c r="AB155">
        <f t="shared" ca="1" si="34"/>
        <v>19.100000000000001</v>
      </c>
      <c r="AC155">
        <f t="shared" ca="1" si="35"/>
        <v>0.45568756798706533</v>
      </c>
      <c r="AD155">
        <f t="shared" ca="1" si="36"/>
        <v>19.555687567987068</v>
      </c>
      <c r="AE155">
        <f ca="1">C155*60/AD155</f>
        <v>48.170129366459456</v>
      </c>
    </row>
    <row r="156" spans="1:31" x14ac:dyDescent="0.45">
      <c r="A156">
        <f t="shared" ca="1" si="30"/>
        <v>20</v>
      </c>
      <c r="B156" s="3">
        <v>6547</v>
      </c>
      <c r="C156">
        <f t="shared" ca="1" si="31"/>
        <v>15.2</v>
      </c>
      <c r="D156">
        <v>39.26</v>
      </c>
      <c r="E156" s="8">
        <v>0.32</v>
      </c>
      <c r="F156" s="19">
        <f t="shared" si="43"/>
        <v>1.2171477811288238</v>
      </c>
      <c r="G156" s="19">
        <f t="shared" si="39"/>
        <v>3.7914018421527902</v>
      </c>
      <c r="H156" s="19">
        <f t="shared" ca="1" si="40"/>
        <v>3.1055636439865011</v>
      </c>
      <c r="I156" s="19">
        <f t="shared" si="41"/>
        <v>47.644160696456055</v>
      </c>
      <c r="J156" s="8">
        <v>0.32</v>
      </c>
      <c r="K156" s="19">
        <f t="shared" si="42"/>
        <v>136</v>
      </c>
      <c r="L156" s="3">
        <f t="shared" si="29"/>
        <v>6500</v>
      </c>
      <c r="M156" s="3">
        <f t="shared" si="38"/>
        <v>13</v>
      </c>
      <c r="N156">
        <f t="shared" ca="1" si="32"/>
        <v>0.25633984337065474</v>
      </c>
      <c r="O156">
        <v>65.209999999999994</v>
      </c>
      <c r="P156">
        <v>13.25</v>
      </c>
      <c r="Q156">
        <v>8.08</v>
      </c>
      <c r="S156">
        <v>12.17</v>
      </c>
      <c r="T156">
        <v>7.19</v>
      </c>
      <c r="W156">
        <f ca="1">X156-A156-AA156</f>
        <v>19.427334957052175</v>
      </c>
      <c r="X156">
        <f t="shared" ca="1" si="33"/>
        <v>43.927334957052175</v>
      </c>
      <c r="Y156">
        <f ca="1">C156/X156*60</f>
        <v>20.761559992010984</v>
      </c>
      <c r="Z156">
        <v>12.249350649350699</v>
      </c>
      <c r="AA156">
        <v>4.5</v>
      </c>
      <c r="AB156">
        <f t="shared" ca="1" si="34"/>
        <v>19.899999999999999</v>
      </c>
      <c r="AC156">
        <f t="shared" ca="1" si="35"/>
        <v>0.86155999201098465</v>
      </c>
      <c r="AD156">
        <f t="shared" ca="1" si="36"/>
        <v>20.761559992010984</v>
      </c>
      <c r="AE156">
        <f ca="1">C156*60/AD156</f>
        <v>43.927334957052175</v>
      </c>
    </row>
    <row r="157" spans="1:31" x14ac:dyDescent="0.45">
      <c r="A157">
        <f t="shared" ca="1" si="30"/>
        <v>18</v>
      </c>
      <c r="B157" s="3">
        <v>6458</v>
      </c>
      <c r="C157">
        <f t="shared" ca="1" si="31"/>
        <v>15.8</v>
      </c>
      <c r="D157">
        <v>41.154000000000003</v>
      </c>
      <c r="E157" s="8">
        <v>0.32</v>
      </c>
      <c r="F157" s="19">
        <f t="shared" si="43"/>
        <v>1.2171477811288238</v>
      </c>
      <c r="G157" s="19">
        <f t="shared" si="39"/>
        <v>3.9501872494130397</v>
      </c>
      <c r="H157" s="19">
        <f t="shared" ca="1" si="40"/>
        <v>3.2281516825649157</v>
      </c>
      <c r="I157" s="19">
        <f t="shared" si="41"/>
        <v>49.639516972240308</v>
      </c>
      <c r="J157" s="8">
        <v>0.32</v>
      </c>
      <c r="K157" s="19">
        <f t="shared" si="42"/>
        <v>131</v>
      </c>
      <c r="L157" s="3">
        <f t="shared" si="29"/>
        <v>6500</v>
      </c>
      <c r="M157" s="3">
        <f t="shared" si="38"/>
        <v>6</v>
      </c>
      <c r="N157">
        <f t="shared" ca="1" si="32"/>
        <v>0.20404279157400923</v>
      </c>
      <c r="O157">
        <v>50.6</v>
      </c>
      <c r="P157">
        <v>6.48</v>
      </c>
      <c r="Q157">
        <v>5.79</v>
      </c>
      <c r="S157">
        <v>12.6</v>
      </c>
      <c r="T157">
        <v>7.45</v>
      </c>
      <c r="W157">
        <f ca="1">X157-A157-AA157</f>
        <v>25.239803671927419</v>
      </c>
      <c r="X157">
        <f t="shared" ca="1" si="33"/>
        <v>47.739803671927419</v>
      </c>
      <c r="Y157">
        <f ca="1">C157/X157*60</f>
        <v>19.857643456490699</v>
      </c>
      <c r="Z157">
        <v>12.561038961038999</v>
      </c>
      <c r="AA157">
        <v>4.5</v>
      </c>
      <c r="AB157">
        <f t="shared" ca="1" si="34"/>
        <v>19.2</v>
      </c>
      <c r="AC157">
        <f t="shared" ca="1" si="35"/>
        <v>0.65764345649069456</v>
      </c>
      <c r="AD157">
        <f t="shared" ca="1" si="36"/>
        <v>19.857643456490695</v>
      </c>
      <c r="AE157">
        <f ca="1">C157*60/AD157</f>
        <v>47.739803671927419</v>
      </c>
    </row>
    <row r="158" spans="1:31" x14ac:dyDescent="0.45">
      <c r="A158">
        <f t="shared" ca="1" si="30"/>
        <v>21</v>
      </c>
      <c r="B158" s="3">
        <v>4445</v>
      </c>
      <c r="C158">
        <f t="shared" ca="1" si="31"/>
        <v>16.399999999999999</v>
      </c>
      <c r="D158">
        <v>33.159999999999997</v>
      </c>
      <c r="E158" s="8">
        <v>0.32</v>
      </c>
      <c r="F158" s="19">
        <f t="shared" si="43"/>
        <v>1.2171477811288238</v>
      </c>
      <c r="G158" s="19">
        <f t="shared" si="39"/>
        <v>3.280002167238576</v>
      </c>
      <c r="H158" s="19">
        <f t="shared" ca="1" si="40"/>
        <v>3.3507397211433299</v>
      </c>
      <c r="I158" s="19">
        <f t="shared" si="41"/>
        <v>41.217722849421243</v>
      </c>
      <c r="J158" s="8">
        <v>0.32</v>
      </c>
      <c r="K158" s="19">
        <f t="shared" si="42"/>
        <v>107</v>
      </c>
      <c r="L158" s="3">
        <f t="shared" si="29"/>
        <v>4400</v>
      </c>
      <c r="M158" s="3">
        <f t="shared" si="38"/>
        <v>5</v>
      </c>
      <c r="N158">
        <f t="shared" ca="1" si="32"/>
        <v>0.20764203011678034</v>
      </c>
      <c r="O158">
        <v>53.8</v>
      </c>
      <c r="P158">
        <v>4.53</v>
      </c>
      <c r="Q158">
        <v>8.75</v>
      </c>
      <c r="S158">
        <v>12.31</v>
      </c>
      <c r="T158">
        <v>7.19</v>
      </c>
      <c r="W158">
        <f ca="1">X158-A158-AA158</f>
        <v>24.657820948487412</v>
      </c>
      <c r="X158">
        <f t="shared" ca="1" si="33"/>
        <v>50.157820948487412</v>
      </c>
      <c r="Y158">
        <f ca="1">C158/X158*60</f>
        <v>19.61807712919941</v>
      </c>
      <c r="Z158">
        <v>11.569230769230799</v>
      </c>
      <c r="AA158">
        <v>4.5</v>
      </c>
      <c r="AB158">
        <f t="shared" ca="1" si="34"/>
        <v>19.5</v>
      </c>
      <c r="AC158">
        <f t="shared" ca="1" si="35"/>
        <v>0.11807712919940883</v>
      </c>
      <c r="AD158">
        <f t="shared" ca="1" si="36"/>
        <v>19.61807712919941</v>
      </c>
      <c r="AE158">
        <f ca="1">C158*60/AD158</f>
        <v>50.157820948487412</v>
      </c>
    </row>
    <row r="159" spans="1:31" x14ac:dyDescent="0.45">
      <c r="A159">
        <f t="shared" ca="1" si="30"/>
        <v>22</v>
      </c>
      <c r="B159" s="3">
        <v>4562</v>
      </c>
      <c r="C159">
        <f t="shared" ca="1" si="31"/>
        <v>15.3</v>
      </c>
      <c r="D159">
        <v>32.75</v>
      </c>
      <c r="E159" s="8">
        <v>0.32</v>
      </c>
      <c r="F159" s="19">
        <f t="shared" si="43"/>
        <v>1.2171477811288238</v>
      </c>
      <c r="G159" s="19">
        <f t="shared" si="39"/>
        <v>3.2456294022033587</v>
      </c>
      <c r="H159" s="19">
        <f t="shared" ca="1" si="40"/>
        <v>3.1259949837495702</v>
      </c>
      <c r="I159" s="19">
        <f t="shared" si="41"/>
        <v>40.785781944948411</v>
      </c>
      <c r="J159" s="8">
        <v>0.32</v>
      </c>
      <c r="K159" s="19">
        <f t="shared" si="42"/>
        <v>113</v>
      </c>
      <c r="L159" s="3">
        <f t="shared" si="29"/>
        <v>4600</v>
      </c>
      <c r="M159" s="3">
        <f t="shared" si="38"/>
        <v>2</v>
      </c>
      <c r="N159">
        <f t="shared" ca="1" si="32"/>
        <v>0.23055260036001193</v>
      </c>
      <c r="O159">
        <v>54.1</v>
      </c>
      <c r="P159">
        <v>1.88</v>
      </c>
      <c r="Q159">
        <v>8.39</v>
      </c>
      <c r="S159">
        <v>11.56</v>
      </c>
      <c r="T159">
        <v>7.23</v>
      </c>
      <c r="W159">
        <f ca="1">X159-A159-AA159</f>
        <v>18.780963620616852</v>
      </c>
      <c r="X159">
        <f t="shared" ca="1" si="33"/>
        <v>45.280963620616852</v>
      </c>
      <c r="Y159">
        <f ca="1">C159/X159*60</f>
        <v>20.273420143868712</v>
      </c>
      <c r="Z159">
        <v>15.6</v>
      </c>
      <c r="AA159">
        <v>4.5</v>
      </c>
      <c r="AB159">
        <f t="shared" ca="1" si="34"/>
        <v>19.8</v>
      </c>
      <c r="AC159">
        <f t="shared" ca="1" si="35"/>
        <v>0.4734201438687119</v>
      </c>
      <c r="AD159">
        <f t="shared" ca="1" si="36"/>
        <v>20.273420143868712</v>
      </c>
      <c r="AE159">
        <f ca="1">C159*60/AD159</f>
        <v>45.280963620616852</v>
      </c>
    </row>
    <row r="160" spans="1:31" x14ac:dyDescent="0.45">
      <c r="A160">
        <f t="shared" ca="1" si="30"/>
        <v>20</v>
      </c>
      <c r="B160" s="3">
        <v>4603</v>
      </c>
      <c r="C160">
        <f t="shared" ca="1" si="31"/>
        <v>15.5</v>
      </c>
      <c r="D160">
        <v>31.88</v>
      </c>
      <c r="E160" s="8">
        <v>0.32</v>
      </c>
      <c r="F160" s="19">
        <f t="shared" si="43"/>
        <v>1.2171477811288238</v>
      </c>
      <c r="G160" s="19">
        <f t="shared" si="39"/>
        <v>3.1726920715188727</v>
      </c>
      <c r="H160" s="19">
        <f t="shared" ca="1" si="40"/>
        <v>3.1668576632757079</v>
      </c>
      <c r="I160" s="19">
        <f t="shared" si="41"/>
        <v>39.869224415945091</v>
      </c>
      <c r="J160" s="8">
        <v>0.32</v>
      </c>
      <c r="K160" s="19">
        <f t="shared" si="42"/>
        <v>115</v>
      </c>
      <c r="L160" s="3">
        <f t="shared" si="29"/>
        <v>4600</v>
      </c>
      <c r="M160" s="3">
        <f t="shared" si="38"/>
        <v>6</v>
      </c>
      <c r="N160">
        <f t="shared" ca="1" si="32"/>
        <v>0.22772789393317228</v>
      </c>
      <c r="O160">
        <v>52</v>
      </c>
      <c r="P160">
        <v>5.91</v>
      </c>
      <c r="Q160">
        <v>8.11</v>
      </c>
      <c r="S160">
        <v>12.36</v>
      </c>
      <c r="T160">
        <v>7.19</v>
      </c>
      <c r="W160">
        <f ca="1">X160-A160-AA160</f>
        <v>22.702532881269072</v>
      </c>
      <c r="X160">
        <f t="shared" ca="1" si="33"/>
        <v>47.202532881269072</v>
      </c>
      <c r="Y160">
        <f ca="1">C160/X160*60</f>
        <v>19.702332549384082</v>
      </c>
      <c r="Z160">
        <v>13.4571428571429</v>
      </c>
      <c r="AA160">
        <v>4.5</v>
      </c>
      <c r="AB160">
        <f t="shared" ca="1" si="34"/>
        <v>19.5</v>
      </c>
      <c r="AC160">
        <f t="shared" ca="1" si="35"/>
        <v>0.20233254938408329</v>
      </c>
      <c r="AD160">
        <f t="shared" ca="1" si="36"/>
        <v>19.702332549384082</v>
      </c>
      <c r="AE160">
        <f ca="1">C160*60/AD160</f>
        <v>47.202532881269072</v>
      </c>
    </row>
    <row r="161" spans="1:31" x14ac:dyDescent="0.45">
      <c r="A161">
        <f t="shared" ca="1" si="30"/>
        <v>22</v>
      </c>
      <c r="B161" s="3">
        <v>4599</v>
      </c>
      <c r="C161">
        <f t="shared" ca="1" si="31"/>
        <v>14.9</v>
      </c>
      <c r="D161">
        <v>40.31</v>
      </c>
      <c r="E161" s="8">
        <v>0.32</v>
      </c>
      <c r="F161" s="19">
        <f t="shared" si="43"/>
        <v>1.2171477811288238</v>
      </c>
      <c r="G161" s="19">
        <f t="shared" si="39"/>
        <v>3.87942965504786</v>
      </c>
      <c r="H161" s="19">
        <f t="shared" ca="1" si="40"/>
        <v>3.0442696246972942</v>
      </c>
      <c r="I161" s="19">
        <f t="shared" si="41"/>
        <v>48.75035081766697</v>
      </c>
      <c r="J161" s="8">
        <v>0.32</v>
      </c>
      <c r="K161" s="19">
        <f t="shared" si="42"/>
        <v>94</v>
      </c>
      <c r="L161" s="3">
        <f t="shared" si="29"/>
        <v>4600</v>
      </c>
      <c r="M161" s="3">
        <f t="shared" si="38"/>
        <v>11</v>
      </c>
      <c r="N161">
        <f t="shared" si="32"/>
        <v>6.7460317460317443E-2</v>
      </c>
      <c r="O161">
        <v>55.6</v>
      </c>
      <c r="P161">
        <v>10.73</v>
      </c>
      <c r="Q161">
        <v>3.06</v>
      </c>
      <c r="S161">
        <v>11.44</v>
      </c>
      <c r="T161">
        <v>7.19</v>
      </c>
      <c r="W161">
        <v>63</v>
      </c>
      <c r="X161">
        <f t="shared" ca="1" si="33"/>
        <v>44.659826570555246</v>
      </c>
      <c r="Y161">
        <f ca="1">C161/X161*60</f>
        <v>20.017990857793095</v>
      </c>
      <c r="Z161">
        <v>11.6022471910112</v>
      </c>
      <c r="AA161">
        <v>4.5</v>
      </c>
      <c r="AB161">
        <f t="shared" ca="1" si="34"/>
        <v>19.7</v>
      </c>
      <c r="AC161">
        <f t="shared" ca="1" si="35"/>
        <v>0.31799085779309444</v>
      </c>
      <c r="AD161">
        <f t="shared" ca="1" si="36"/>
        <v>20.017990857793095</v>
      </c>
      <c r="AE161">
        <f ca="1">C161*60/AD161</f>
        <v>44.659826570555246</v>
      </c>
    </row>
    <row r="162" spans="1:31" x14ac:dyDescent="0.45">
      <c r="A162">
        <f t="shared" ca="1" si="30"/>
        <v>16</v>
      </c>
      <c r="B162" s="3">
        <v>4817</v>
      </c>
      <c r="C162">
        <f t="shared" ca="1" si="31"/>
        <v>15.7</v>
      </c>
      <c r="D162">
        <v>33.869999999999997</v>
      </c>
      <c r="E162" s="8">
        <v>0.32</v>
      </c>
      <c r="F162" s="19">
        <f t="shared" si="43"/>
        <v>1.2171477811288238</v>
      </c>
      <c r="G162" s="19">
        <f t="shared" si="39"/>
        <v>3.3395257359580994</v>
      </c>
      <c r="H162" s="19">
        <f t="shared" ca="1" si="40"/>
        <v>3.2077203428018466</v>
      </c>
      <c r="I162" s="19">
        <f t="shared" si="41"/>
        <v>41.965718074240051</v>
      </c>
      <c r="J162" s="8">
        <v>0.32</v>
      </c>
      <c r="K162" s="19">
        <f t="shared" si="42"/>
        <v>114</v>
      </c>
      <c r="L162" s="3">
        <f t="shared" si="29"/>
        <v>4800</v>
      </c>
      <c r="M162" s="3">
        <f t="shared" si="38"/>
        <v>2</v>
      </c>
      <c r="N162">
        <f t="shared" si="32"/>
        <v>0.11744186046511626</v>
      </c>
      <c r="O162">
        <v>57</v>
      </c>
      <c r="P162">
        <v>2.33</v>
      </c>
      <c r="Q162">
        <v>7.92</v>
      </c>
      <c r="S162">
        <v>12.28</v>
      </c>
      <c r="T162">
        <v>7.23</v>
      </c>
      <c r="W162">
        <v>43</v>
      </c>
      <c r="X162">
        <f t="shared" ca="1" si="33"/>
        <v>49.011864640470229</v>
      </c>
      <c r="Y162">
        <f ca="1">C162/X162*60</f>
        <v>19.219835990940219</v>
      </c>
      <c r="Z162">
        <v>13.6782608695652</v>
      </c>
      <c r="AA162">
        <v>4.5</v>
      </c>
      <c r="AB162">
        <f t="shared" ca="1" si="34"/>
        <v>19</v>
      </c>
      <c r="AC162">
        <f t="shared" ca="1" si="35"/>
        <v>0.21983599094021711</v>
      </c>
      <c r="AD162">
        <f t="shared" ca="1" si="36"/>
        <v>19.219835990940219</v>
      </c>
      <c r="AE162">
        <f ca="1">C162*60/AD162</f>
        <v>49.011864640470229</v>
      </c>
    </row>
    <row r="163" spans="1:31" x14ac:dyDescent="0.45">
      <c r="A163">
        <f t="shared" ca="1" si="30"/>
        <v>16</v>
      </c>
      <c r="B163" s="3">
        <v>4736</v>
      </c>
      <c r="C163">
        <f t="shared" ca="1" si="31"/>
        <v>15.7</v>
      </c>
      <c r="D163">
        <v>32.450000000000003</v>
      </c>
      <c r="E163" s="8">
        <v>0.32</v>
      </c>
      <c r="F163" s="19">
        <f t="shared" si="43"/>
        <v>1.2171477811288238</v>
      </c>
      <c r="G163" s="19">
        <f t="shared" si="39"/>
        <v>3.2204785985190534</v>
      </c>
      <c r="H163" s="19">
        <f t="shared" ca="1" si="40"/>
        <v>3.2077203428018466</v>
      </c>
      <c r="I163" s="19">
        <f t="shared" si="41"/>
        <v>40.469727624602442</v>
      </c>
      <c r="J163" s="8">
        <v>0.32</v>
      </c>
      <c r="K163" s="19">
        <f t="shared" si="42"/>
        <v>116</v>
      </c>
      <c r="L163" s="3">
        <f t="shared" si="29"/>
        <v>4700</v>
      </c>
      <c r="M163" s="3">
        <f t="shared" si="38"/>
        <v>1</v>
      </c>
      <c r="N163">
        <f t="shared" si="32"/>
        <v>0.13756756756756755</v>
      </c>
      <c r="O163">
        <v>56</v>
      </c>
      <c r="P163">
        <v>1.27</v>
      </c>
      <c r="Q163">
        <v>6.21</v>
      </c>
      <c r="S163">
        <v>12.29</v>
      </c>
      <c r="T163">
        <v>7.2</v>
      </c>
      <c r="W163">
        <v>37</v>
      </c>
      <c r="X163">
        <f t="shared" ca="1" si="33"/>
        <v>47.319542711862269</v>
      </c>
      <c r="Y163">
        <f ca="1">C163/X163*60</f>
        <v>19.907208438932258</v>
      </c>
      <c r="Z163">
        <v>17.95</v>
      </c>
      <c r="AA163">
        <v>4.5</v>
      </c>
      <c r="AB163">
        <f t="shared" ca="1" si="34"/>
        <v>19.399999999999999</v>
      </c>
      <c r="AC163">
        <f t="shared" ca="1" si="35"/>
        <v>0.50720843893225853</v>
      </c>
      <c r="AD163">
        <f t="shared" ca="1" si="36"/>
        <v>19.907208438932258</v>
      </c>
      <c r="AE163">
        <f ca="1">C163*60/AD163</f>
        <v>47.319542711862269</v>
      </c>
    </row>
    <row r="164" spans="1:31" x14ac:dyDescent="0.45">
      <c r="A164">
        <f t="shared" ca="1" si="30"/>
        <v>20</v>
      </c>
      <c r="B164" s="3">
        <v>4813</v>
      </c>
      <c r="C164">
        <f t="shared" ca="1" si="31"/>
        <v>14.7</v>
      </c>
      <c r="D164">
        <v>36.479999999999997</v>
      </c>
      <c r="E164" s="8">
        <v>0.32</v>
      </c>
      <c r="F164" s="19">
        <f t="shared" si="43"/>
        <v>1.2171477811288238</v>
      </c>
      <c r="G164" s="19">
        <f t="shared" si="39"/>
        <v>3.558337728011558</v>
      </c>
      <c r="H164" s="19">
        <f t="shared" ca="1" si="40"/>
        <v>3.0034069451711556</v>
      </c>
      <c r="I164" s="19">
        <f t="shared" si="41"/>
        <v>44.715390661250026</v>
      </c>
      <c r="J164" s="8">
        <v>0.32</v>
      </c>
      <c r="K164" s="19">
        <f t="shared" si="42"/>
        <v>107</v>
      </c>
      <c r="L164" s="3">
        <f t="shared" si="29"/>
        <v>4800</v>
      </c>
      <c r="M164" s="3">
        <f t="shared" si="38"/>
        <v>7</v>
      </c>
      <c r="N164">
        <f t="shared" si="32"/>
        <v>0.12820512820512822</v>
      </c>
      <c r="O164">
        <v>56</v>
      </c>
      <c r="P164">
        <v>7.15</v>
      </c>
      <c r="Q164">
        <v>7.52</v>
      </c>
      <c r="S164">
        <v>12.22</v>
      </c>
      <c r="T164">
        <v>7.22</v>
      </c>
      <c r="W164">
        <v>39</v>
      </c>
      <c r="X164">
        <f t="shared" ca="1" si="33"/>
        <v>44.79525505281353</v>
      </c>
      <c r="Y164">
        <f ca="1">C164/X164*60</f>
        <v>19.689585402742399</v>
      </c>
      <c r="Z164">
        <v>17.390322580645201</v>
      </c>
      <c r="AA164">
        <v>4.5</v>
      </c>
      <c r="AB164">
        <f t="shared" ca="1" si="34"/>
        <v>19</v>
      </c>
      <c r="AC164">
        <f t="shared" ca="1" si="35"/>
        <v>0.68958540274239843</v>
      </c>
      <c r="AD164">
        <f t="shared" ca="1" si="36"/>
        <v>19.689585402742399</v>
      </c>
      <c r="AE164">
        <f ca="1">C164*60/AD164</f>
        <v>44.79525505281353</v>
      </c>
    </row>
    <row r="165" spans="1:31" x14ac:dyDescent="0.45">
      <c r="A165">
        <f t="shared" ca="1" si="30"/>
        <v>18</v>
      </c>
      <c r="B165" s="3">
        <v>7524</v>
      </c>
      <c r="C165">
        <f t="shared" ca="1" si="31"/>
        <v>16.2</v>
      </c>
      <c r="D165">
        <v>34.43</v>
      </c>
      <c r="E165" s="8">
        <v>0.32</v>
      </c>
      <c r="F165" s="19">
        <f t="shared" si="43"/>
        <v>1.2171477811288238</v>
      </c>
      <c r="G165" s="19">
        <f t="shared" si="39"/>
        <v>3.3864739028354705</v>
      </c>
      <c r="H165" s="19">
        <f t="shared" ca="1" si="40"/>
        <v>3.3098770416171921</v>
      </c>
      <c r="I165" s="19">
        <f t="shared" si="41"/>
        <v>42.555686138885875</v>
      </c>
      <c r="J165" s="8">
        <v>0.32</v>
      </c>
      <c r="K165" s="19">
        <f t="shared" si="42"/>
        <v>176</v>
      </c>
      <c r="L165" s="3">
        <f t="shared" si="29"/>
        <v>7500</v>
      </c>
      <c r="M165" s="3">
        <f t="shared" si="38"/>
        <v>11</v>
      </c>
      <c r="N165">
        <f t="shared" si="32"/>
        <v>0.14222222222222219</v>
      </c>
      <c r="O165">
        <v>57</v>
      </c>
      <c r="P165">
        <v>11.23</v>
      </c>
      <c r="Q165">
        <v>11.96</v>
      </c>
      <c r="S165">
        <v>12.35</v>
      </c>
      <c r="T165">
        <v>7.23</v>
      </c>
      <c r="W165">
        <v>36</v>
      </c>
      <c r="X165">
        <f t="shared" ca="1" si="33"/>
        <v>47.422318677254005</v>
      </c>
      <c r="Y165">
        <f ca="1">C165/X165*60</f>
        <v>20.496678085591316</v>
      </c>
      <c r="Z165">
        <v>15.85</v>
      </c>
      <c r="AA165">
        <v>4.5</v>
      </c>
      <c r="AB165">
        <f t="shared" ca="1" si="34"/>
        <v>19.7</v>
      </c>
      <c r="AC165">
        <f t="shared" ca="1" si="35"/>
        <v>0.79667808559131825</v>
      </c>
      <c r="AD165">
        <f t="shared" ca="1" si="36"/>
        <v>20.496678085591316</v>
      </c>
      <c r="AE165">
        <f ca="1">C165*60/AD165</f>
        <v>47.422318677254005</v>
      </c>
    </row>
    <row r="166" spans="1:31" x14ac:dyDescent="0.45">
      <c r="A166">
        <f t="shared" ca="1" si="30"/>
        <v>22</v>
      </c>
      <c r="B166" s="3">
        <v>7245</v>
      </c>
      <c r="C166">
        <f t="shared" ca="1" si="31"/>
        <v>15.1</v>
      </c>
      <c r="D166">
        <v>32.270000000000003</v>
      </c>
      <c r="E166" s="8">
        <v>0.32</v>
      </c>
      <c r="F166" s="19">
        <f t="shared" si="43"/>
        <v>1.2171477811288238</v>
      </c>
      <c r="G166" s="19">
        <f t="shared" si="39"/>
        <v>3.2053881163084705</v>
      </c>
      <c r="H166" s="19">
        <f t="shared" ca="1" si="40"/>
        <v>3.085132304223432</v>
      </c>
      <c r="I166" s="19">
        <f t="shared" si="41"/>
        <v>40.280095032394868</v>
      </c>
      <c r="J166" s="8">
        <v>0.32</v>
      </c>
      <c r="K166" s="19">
        <f t="shared" si="42"/>
        <v>179</v>
      </c>
      <c r="L166" s="3">
        <f t="shared" si="29"/>
        <v>7200</v>
      </c>
      <c r="M166" s="3">
        <f t="shared" si="38"/>
        <v>13</v>
      </c>
      <c r="N166">
        <f t="shared" si="32"/>
        <v>0.24777777777777782</v>
      </c>
      <c r="O166">
        <v>52</v>
      </c>
      <c r="P166">
        <v>12.99</v>
      </c>
      <c r="Q166">
        <v>13.08</v>
      </c>
      <c r="S166">
        <v>11.56</v>
      </c>
      <c r="T166">
        <v>7.1</v>
      </c>
      <c r="W166">
        <v>18</v>
      </c>
      <c r="X166">
        <f t="shared" ca="1" si="33"/>
        <v>45.025960923767173</v>
      </c>
      <c r="Y166">
        <f ca="1">C166/X166*60</f>
        <v>20.121724920739304</v>
      </c>
      <c r="Z166">
        <v>23.571428571428601</v>
      </c>
      <c r="AA166">
        <v>4.5</v>
      </c>
      <c r="AB166">
        <f t="shared" ca="1" si="34"/>
        <v>19.3</v>
      </c>
      <c r="AC166">
        <f t="shared" ca="1" si="35"/>
        <v>0.82172492073930292</v>
      </c>
      <c r="AD166">
        <f t="shared" ca="1" si="36"/>
        <v>20.121724920739304</v>
      </c>
      <c r="AE166">
        <f ca="1">C166*60/AD166</f>
        <v>45.025960923767173</v>
      </c>
    </row>
    <row r="167" spans="1:31" x14ac:dyDescent="0.45">
      <c r="A167">
        <f t="shared" ca="1" si="30"/>
        <v>19</v>
      </c>
      <c r="B167" s="3">
        <v>7549</v>
      </c>
      <c r="C167">
        <f t="shared" ca="1" si="31"/>
        <v>14.7</v>
      </c>
      <c r="D167">
        <v>31.36</v>
      </c>
      <c r="E167" s="8">
        <v>0.32</v>
      </c>
      <c r="F167" s="19">
        <f t="shared" si="43"/>
        <v>1.2171477811288238</v>
      </c>
      <c r="G167" s="19">
        <f t="shared" si="39"/>
        <v>3.1290973451327431</v>
      </c>
      <c r="H167" s="19">
        <f t="shared" ca="1" si="40"/>
        <v>3.0034069451711556</v>
      </c>
      <c r="I167" s="19">
        <f t="shared" si="41"/>
        <v>39.321396927345404</v>
      </c>
      <c r="J167" s="8">
        <v>0.32</v>
      </c>
      <c r="K167" s="19">
        <f t="shared" si="42"/>
        <v>191</v>
      </c>
      <c r="L167" s="3">
        <f t="shared" si="29"/>
        <v>7500</v>
      </c>
      <c r="M167" s="3">
        <f t="shared" si="38"/>
        <v>13</v>
      </c>
      <c r="N167">
        <f t="shared" si="32"/>
        <v>0.23045454545454547</v>
      </c>
      <c r="O167">
        <v>58.3</v>
      </c>
      <c r="P167">
        <v>13.49</v>
      </c>
      <c r="Q167">
        <v>13.24</v>
      </c>
      <c r="S167">
        <v>12.07</v>
      </c>
      <c r="T167">
        <v>7</v>
      </c>
      <c r="W167">
        <v>22</v>
      </c>
      <c r="X167">
        <f t="shared" ca="1" si="33"/>
        <v>43.144245279569255</v>
      </c>
      <c r="Y167">
        <f ca="1">C167/X167*60</f>
        <v>20.443050846868484</v>
      </c>
      <c r="Z167">
        <v>19.4204081632653</v>
      </c>
      <c r="AA167">
        <v>4.5</v>
      </c>
      <c r="AB167">
        <f t="shared" ca="1" si="34"/>
        <v>19.899999999999999</v>
      </c>
      <c r="AC167">
        <f t="shared" ca="1" si="35"/>
        <v>0.54305084686849081</v>
      </c>
      <c r="AD167">
        <f t="shared" ca="1" si="36"/>
        <v>20.443050846868488</v>
      </c>
      <c r="AE167">
        <f ca="1">C167*60/AD167</f>
        <v>43.144245279569255</v>
      </c>
    </row>
    <row r="168" spans="1:31" x14ac:dyDescent="0.45">
      <c r="A168">
        <f t="shared" ca="1" si="30"/>
        <v>21</v>
      </c>
      <c r="B168" s="3">
        <v>8264</v>
      </c>
      <c r="C168">
        <f t="shared" ca="1" si="31"/>
        <v>14.5</v>
      </c>
      <c r="D168">
        <v>31.39</v>
      </c>
      <c r="E168" s="8">
        <v>0.32</v>
      </c>
      <c r="F168" s="19">
        <f t="shared" si="43"/>
        <v>1.2171477811288238</v>
      </c>
      <c r="G168" s="19">
        <f t="shared" si="39"/>
        <v>3.1316124255011735</v>
      </c>
      <c r="H168" s="19">
        <f t="shared" ca="1" si="40"/>
        <v>2.9625442656450178</v>
      </c>
      <c r="I168" s="19">
        <f t="shared" si="41"/>
        <v>39.35300235938</v>
      </c>
      <c r="J168" s="8">
        <v>0.32</v>
      </c>
      <c r="K168" s="19">
        <f t="shared" si="42"/>
        <v>211</v>
      </c>
      <c r="L168" s="3">
        <f t="shared" si="29"/>
        <v>8300</v>
      </c>
      <c r="M168" s="3">
        <f t="shared" si="38"/>
        <v>12</v>
      </c>
      <c r="N168">
        <f t="shared" si="32"/>
        <v>0.1275</v>
      </c>
      <c r="O168">
        <v>54.2</v>
      </c>
      <c r="P168">
        <v>11.5</v>
      </c>
      <c r="Q168">
        <v>10.26</v>
      </c>
      <c r="S168">
        <v>12.81</v>
      </c>
      <c r="T168">
        <v>7.2</v>
      </c>
      <c r="W168">
        <v>44</v>
      </c>
      <c r="X168">
        <f t="shared" ca="1" si="33"/>
        <v>44.289059605262764</v>
      </c>
      <c r="Y168">
        <f ca="1">C168/X168*60</f>
        <v>19.64367741726943</v>
      </c>
      <c r="Z168">
        <v>14.52</v>
      </c>
      <c r="AA168">
        <v>4.5</v>
      </c>
      <c r="AB168">
        <f t="shared" ca="1" si="34"/>
        <v>19.3</v>
      </c>
      <c r="AC168">
        <f t="shared" ca="1" si="35"/>
        <v>0.34367741726943246</v>
      </c>
      <c r="AD168">
        <f t="shared" ca="1" si="36"/>
        <v>19.643677417269434</v>
      </c>
      <c r="AE168">
        <f ca="1">C168*60/AD168</f>
        <v>44.289059605262764</v>
      </c>
    </row>
    <row r="169" spans="1:31" x14ac:dyDescent="0.45">
      <c r="A169">
        <f t="shared" ca="1" si="30"/>
        <v>16</v>
      </c>
      <c r="B169" s="3">
        <v>7814</v>
      </c>
      <c r="C169">
        <f t="shared" ca="1" si="31"/>
        <v>15.5</v>
      </c>
      <c r="D169">
        <v>31.97</v>
      </c>
      <c r="E169" s="8">
        <v>0.32</v>
      </c>
      <c r="F169" s="19">
        <f t="shared" si="43"/>
        <v>1.2171477811288238</v>
      </c>
      <c r="G169" s="19">
        <f t="shared" si="39"/>
        <v>3.1802373126241643</v>
      </c>
      <c r="H169" s="19">
        <f t="shared" ca="1" si="40"/>
        <v>3.1668576632757079</v>
      </c>
      <c r="I169" s="19">
        <f t="shared" si="41"/>
        <v>39.964040712048885</v>
      </c>
      <c r="J169" s="8">
        <v>0.32</v>
      </c>
      <c r="K169" s="19">
        <f t="shared" si="42"/>
        <v>195</v>
      </c>
      <c r="L169" s="3">
        <f t="shared" si="29"/>
        <v>7800</v>
      </c>
      <c r="M169" s="3">
        <f t="shared" si="38"/>
        <v>12</v>
      </c>
      <c r="N169">
        <f t="shared" si="32"/>
        <v>9.441860465116278E-2</v>
      </c>
      <c r="O169">
        <v>54.6</v>
      </c>
      <c r="P169">
        <v>12.21</v>
      </c>
      <c r="Q169">
        <v>8.3000000000000007</v>
      </c>
      <c r="S169">
        <v>11.26</v>
      </c>
      <c r="T169">
        <v>7.2</v>
      </c>
      <c r="W169">
        <v>43</v>
      </c>
      <c r="X169">
        <f t="shared" ca="1" si="33"/>
        <v>47.567694948705224</v>
      </c>
      <c r="Y169">
        <f ca="1">C169/X169*60</f>
        <v>19.551084007809681</v>
      </c>
      <c r="Z169">
        <v>14.464615384615399</v>
      </c>
      <c r="AA169">
        <v>4.5</v>
      </c>
      <c r="AB169">
        <f t="shared" ca="1" si="34"/>
        <v>19.399999999999999</v>
      </c>
      <c r="AC169">
        <f t="shared" ca="1" si="35"/>
        <v>0.15108400780968212</v>
      </c>
      <c r="AD169">
        <f t="shared" ca="1" si="36"/>
        <v>19.551084007809681</v>
      </c>
      <c r="AE169">
        <f ca="1">C169*60/AD169</f>
        <v>47.567694948705224</v>
      </c>
    </row>
    <row r="170" spans="1:31" x14ac:dyDescent="0.45">
      <c r="A170">
        <f t="shared" ca="1" si="30"/>
        <v>21</v>
      </c>
      <c r="B170" s="3">
        <v>7245</v>
      </c>
      <c r="C170">
        <f t="shared" ca="1" si="31"/>
        <v>15.1</v>
      </c>
      <c r="D170">
        <v>32.270000000000003</v>
      </c>
      <c r="E170" s="8">
        <v>0.32</v>
      </c>
      <c r="F170" s="19">
        <f t="shared" si="43"/>
        <v>1.2171477811288238</v>
      </c>
      <c r="G170" s="19">
        <f t="shared" si="39"/>
        <v>3.2053881163084705</v>
      </c>
      <c r="H170" s="19">
        <f t="shared" ca="1" si="40"/>
        <v>3.085132304223432</v>
      </c>
      <c r="I170" s="19">
        <f t="shared" si="41"/>
        <v>40.280095032394868</v>
      </c>
      <c r="J170" s="8">
        <v>0.32</v>
      </c>
      <c r="K170" s="19">
        <f t="shared" si="42"/>
        <v>179</v>
      </c>
      <c r="L170" s="3">
        <f t="shared" si="29"/>
        <v>7200</v>
      </c>
      <c r="M170" s="3">
        <f t="shared" si="38"/>
        <v>13</v>
      </c>
      <c r="N170">
        <f t="shared" si="32"/>
        <v>0.24777777777777782</v>
      </c>
      <c r="O170">
        <v>52</v>
      </c>
      <c r="P170">
        <v>12.99</v>
      </c>
      <c r="Q170">
        <v>13.08</v>
      </c>
      <c r="S170">
        <v>11.56</v>
      </c>
      <c r="T170">
        <v>7.1</v>
      </c>
      <c r="W170">
        <v>18</v>
      </c>
      <c r="X170">
        <f t="shared" ca="1" si="33"/>
        <v>45.078899052487756</v>
      </c>
      <c r="Y170">
        <f ca="1">C170/X170*60</f>
        <v>20.098095096446254</v>
      </c>
      <c r="Z170">
        <v>23.571428571428601</v>
      </c>
      <c r="AA170">
        <v>4.5</v>
      </c>
      <c r="AB170">
        <f t="shared" ca="1" si="34"/>
        <v>20</v>
      </c>
      <c r="AC170">
        <f t="shared" ca="1" si="35"/>
        <v>9.80950964462588E-2</v>
      </c>
      <c r="AD170">
        <f t="shared" ca="1" si="36"/>
        <v>20.098095096446258</v>
      </c>
      <c r="AE170">
        <f ca="1">C170*60/AD170</f>
        <v>45.078899052487756</v>
      </c>
    </row>
    <row r="171" spans="1:31" x14ac:dyDescent="0.45">
      <c r="A171">
        <f t="shared" ca="1" si="30"/>
        <v>18</v>
      </c>
      <c r="B171" s="3">
        <v>7549</v>
      </c>
      <c r="C171">
        <f t="shared" ca="1" si="31"/>
        <v>15.2</v>
      </c>
      <c r="D171">
        <v>31.36</v>
      </c>
      <c r="E171" s="8">
        <v>0.32</v>
      </c>
      <c r="F171" s="19">
        <f t="shared" si="43"/>
        <v>1.2171477811288238</v>
      </c>
      <c r="G171" s="19">
        <f t="shared" si="39"/>
        <v>3.1290973451327431</v>
      </c>
      <c r="H171" s="19">
        <f t="shared" ca="1" si="40"/>
        <v>3.1055636439865011</v>
      </c>
      <c r="I171" s="19">
        <f t="shared" si="41"/>
        <v>39.321396927345404</v>
      </c>
      <c r="J171" s="8">
        <v>0.32</v>
      </c>
      <c r="K171" s="19">
        <f t="shared" si="42"/>
        <v>191</v>
      </c>
      <c r="L171" s="3">
        <f t="shared" si="29"/>
        <v>7500</v>
      </c>
      <c r="M171" s="3">
        <f t="shared" si="38"/>
        <v>13</v>
      </c>
      <c r="N171">
        <f t="shared" si="32"/>
        <v>0.23045454545454547</v>
      </c>
      <c r="O171">
        <v>58.3</v>
      </c>
      <c r="P171">
        <v>13.49</v>
      </c>
      <c r="Q171">
        <v>13.24</v>
      </c>
      <c r="S171">
        <v>12.07</v>
      </c>
      <c r="T171">
        <v>7</v>
      </c>
      <c r="W171">
        <v>22</v>
      </c>
      <c r="X171">
        <f t="shared" ca="1" si="33"/>
        <v>45.030600058574372</v>
      </c>
      <c r="Y171">
        <f ca="1">C171/X171*60</f>
        <v>20.252894671927521</v>
      </c>
      <c r="Z171">
        <v>19.4204081632653</v>
      </c>
      <c r="AA171">
        <v>4.5</v>
      </c>
      <c r="AB171">
        <f t="shared" ca="1" si="34"/>
        <v>19.399999999999999</v>
      </c>
      <c r="AC171">
        <f t="shared" ca="1" si="35"/>
        <v>0.85289467192752366</v>
      </c>
      <c r="AD171">
        <f t="shared" ca="1" si="36"/>
        <v>20.252894671927521</v>
      </c>
      <c r="AE171">
        <f ca="1">C171*60/AD171</f>
        <v>45.030600058574372</v>
      </c>
    </row>
    <row r="172" spans="1:31" x14ac:dyDescent="0.45">
      <c r="A172">
        <f t="shared" ca="1" si="30"/>
        <v>16</v>
      </c>
      <c r="B172" s="3">
        <v>9320</v>
      </c>
      <c r="C172">
        <f t="shared" ca="1" si="31"/>
        <v>16.100000000000001</v>
      </c>
      <c r="D172">
        <v>31.98</v>
      </c>
      <c r="E172" s="8">
        <v>0.32</v>
      </c>
      <c r="F172" s="19">
        <f t="shared" si="43"/>
        <v>1.2171477811288238</v>
      </c>
      <c r="G172" s="19">
        <f t="shared" si="39"/>
        <v>3.1810756727469744</v>
      </c>
      <c r="H172" s="19">
        <f t="shared" ca="1" si="40"/>
        <v>3.289445701854123</v>
      </c>
      <c r="I172" s="19">
        <f t="shared" si="41"/>
        <v>39.974575856060412</v>
      </c>
      <c r="J172" s="8">
        <v>0.32</v>
      </c>
      <c r="K172" s="19">
        <f t="shared" si="42"/>
        <v>233</v>
      </c>
      <c r="L172" s="3">
        <f t="shared" si="29"/>
        <v>9300</v>
      </c>
      <c r="M172" s="3">
        <f t="shared" si="38"/>
        <v>13</v>
      </c>
      <c r="N172">
        <f t="shared" si="32"/>
        <v>0.17200000000000004</v>
      </c>
      <c r="O172">
        <v>51</v>
      </c>
      <c r="P172">
        <v>12.91</v>
      </c>
      <c r="Q172">
        <v>12.34</v>
      </c>
      <c r="S172">
        <v>11.63</v>
      </c>
      <c r="T172">
        <v>7.33</v>
      </c>
      <c r="W172">
        <v>25</v>
      </c>
      <c r="X172">
        <f t="shared" ca="1" si="33"/>
        <v>47.466109348235904</v>
      </c>
      <c r="Y172">
        <f ca="1">C172/X172*60</f>
        <v>20.351362546125806</v>
      </c>
      <c r="Z172">
        <v>18.4352941176471</v>
      </c>
      <c r="AA172">
        <v>4.5</v>
      </c>
      <c r="AB172">
        <f t="shared" ca="1" si="34"/>
        <v>19.5</v>
      </c>
      <c r="AC172">
        <f t="shared" ca="1" si="35"/>
        <v>0.8513625461258072</v>
      </c>
      <c r="AD172">
        <f t="shared" ca="1" si="36"/>
        <v>20.351362546125806</v>
      </c>
      <c r="AE172">
        <f ca="1">C172*60/AD172</f>
        <v>47.466109348235904</v>
      </c>
    </row>
    <row r="173" spans="1:31" x14ac:dyDescent="0.45">
      <c r="A173">
        <f t="shared" ca="1" si="30"/>
        <v>17</v>
      </c>
      <c r="B173" s="3">
        <v>6074</v>
      </c>
      <c r="C173">
        <f t="shared" ca="1" si="31"/>
        <v>14.5</v>
      </c>
      <c r="D173">
        <v>27.95</v>
      </c>
      <c r="E173" s="8">
        <v>0.33</v>
      </c>
      <c r="F173" s="19">
        <f t="shared" si="43"/>
        <v>1.2254636156599066</v>
      </c>
      <c r="G173" s="19">
        <f t="shared" si="39"/>
        <v>2.8273157847209682</v>
      </c>
      <c r="H173" s="19">
        <f t="shared" ca="1" si="40"/>
        <v>2.8532759571775705</v>
      </c>
      <c r="I173" s="19">
        <f t="shared" si="41"/>
        <v>35.529097994631421</v>
      </c>
      <c r="J173" s="8">
        <v>0.33</v>
      </c>
      <c r="K173" s="19">
        <f t="shared" si="42"/>
        <v>172</v>
      </c>
      <c r="L173" s="3">
        <f t="shared" si="29"/>
        <v>6100</v>
      </c>
      <c r="M173" s="3">
        <f t="shared" si="38"/>
        <v>13</v>
      </c>
      <c r="N173">
        <f t="shared" ca="1" si="32"/>
        <v>0.22599248205762409</v>
      </c>
      <c r="O173">
        <v>70.8</v>
      </c>
      <c r="P173">
        <v>12.61</v>
      </c>
      <c r="Q173">
        <v>8.5</v>
      </c>
      <c r="S173">
        <v>12.04</v>
      </c>
      <c r="T173">
        <v>7.24</v>
      </c>
      <c r="W173">
        <f ca="1">X173-A173-AA173</f>
        <v>21.239644594797113</v>
      </c>
      <c r="X173">
        <f t="shared" ca="1" si="33"/>
        <v>42.739644594797113</v>
      </c>
      <c r="Y173">
        <f ca="1">C173/X173*60</f>
        <v>20.355808014976073</v>
      </c>
      <c r="Z173">
        <v>9.5766990291262104</v>
      </c>
      <c r="AA173">
        <v>4.5</v>
      </c>
      <c r="AB173">
        <f t="shared" ca="1" si="34"/>
        <v>20</v>
      </c>
      <c r="AC173">
        <f t="shared" ca="1" si="35"/>
        <v>0.35580801497607861</v>
      </c>
      <c r="AD173">
        <f t="shared" ca="1" si="36"/>
        <v>20.355808014976077</v>
      </c>
      <c r="AE173">
        <f ca="1">C173*60/AD173</f>
        <v>42.739644594797113</v>
      </c>
    </row>
    <row r="174" spans="1:31" x14ac:dyDescent="0.45">
      <c r="A174">
        <f t="shared" ca="1" si="30"/>
        <v>20</v>
      </c>
      <c r="B174" s="3">
        <v>6262</v>
      </c>
      <c r="C174">
        <f t="shared" ca="1" si="31"/>
        <v>16.100000000000001</v>
      </c>
      <c r="D174">
        <v>35.89</v>
      </c>
      <c r="E174" s="8">
        <v>0.33</v>
      </c>
      <c r="F174" s="19">
        <f t="shared" si="43"/>
        <v>1.2254636156599066</v>
      </c>
      <c r="G174" s="19">
        <f t="shared" si="39"/>
        <v>3.4884566552284633</v>
      </c>
      <c r="H174" s="19">
        <f t="shared" ca="1" si="40"/>
        <v>3.1681202007281994</v>
      </c>
      <c r="I174" s="19">
        <f t="shared" si="41"/>
        <v>43.83723920172865</v>
      </c>
      <c r="J174" s="8">
        <v>0.33</v>
      </c>
      <c r="K174" s="19">
        <f t="shared" si="42"/>
        <v>144</v>
      </c>
      <c r="L174" s="3">
        <f t="shared" si="29"/>
        <v>6300</v>
      </c>
      <c r="M174" s="3">
        <f t="shared" si="38"/>
        <v>9</v>
      </c>
      <c r="N174">
        <f t="shared" ca="1" si="32"/>
        <v>0.21917939397360897</v>
      </c>
      <c r="O174">
        <v>61.5</v>
      </c>
      <c r="P174">
        <v>8.5299999999999994</v>
      </c>
      <c r="Q174">
        <v>6.87</v>
      </c>
      <c r="S174">
        <v>12.8</v>
      </c>
      <c r="T174">
        <v>7.37</v>
      </c>
      <c r="W174">
        <f ca="1">X174-A174-AA174</f>
        <v>24.774226726139311</v>
      </c>
      <c r="X174">
        <f t="shared" ca="1" si="33"/>
        <v>49.274226726139311</v>
      </c>
      <c r="Y174">
        <f ca="1">C174/X174*60</f>
        <v>19.604569451062542</v>
      </c>
      <c r="Z174">
        <v>9.8096385542168694</v>
      </c>
      <c r="AA174">
        <v>4.5</v>
      </c>
      <c r="AB174">
        <f t="shared" ca="1" si="34"/>
        <v>19</v>
      </c>
      <c r="AC174">
        <f t="shared" ca="1" si="35"/>
        <v>0.60456945106254278</v>
      </c>
      <c r="AD174">
        <f t="shared" ca="1" si="36"/>
        <v>19.604569451062542</v>
      </c>
      <c r="AE174">
        <f ca="1">C174*60/AD174</f>
        <v>49.274226726139311</v>
      </c>
    </row>
    <row r="175" spans="1:31" x14ac:dyDescent="0.45">
      <c r="A175">
        <f t="shared" ca="1" si="30"/>
        <v>21</v>
      </c>
      <c r="B175" s="3">
        <v>6427</v>
      </c>
      <c r="C175">
        <f t="shared" ca="1" si="31"/>
        <v>15.5</v>
      </c>
      <c r="D175">
        <v>51.31</v>
      </c>
      <c r="E175" s="8">
        <v>0.33</v>
      </c>
      <c r="F175" s="19">
        <f t="shared" si="43"/>
        <v>1.2254636156599066</v>
      </c>
      <c r="G175" s="19">
        <f t="shared" si="39"/>
        <v>4.7724355246523391</v>
      </c>
      <c r="H175" s="19">
        <f t="shared" ca="1" si="40"/>
        <v>3.0500536093967137</v>
      </c>
      <c r="I175" s="19">
        <f t="shared" si="41"/>
        <v>59.972193535914954</v>
      </c>
      <c r="J175" s="8">
        <v>0.33</v>
      </c>
      <c r="K175" s="19">
        <f t="shared" si="42"/>
        <v>107</v>
      </c>
      <c r="L175" s="3">
        <f t="shared" si="29"/>
        <v>6400</v>
      </c>
      <c r="M175" s="3">
        <f t="shared" si="38"/>
        <v>12</v>
      </c>
      <c r="N175">
        <f t="shared" ca="1" si="32"/>
        <v>0.22882223275770311</v>
      </c>
      <c r="O175">
        <v>60.38</v>
      </c>
      <c r="P175">
        <v>12.02</v>
      </c>
      <c r="Q175">
        <v>0.14000000000000001</v>
      </c>
      <c r="S175">
        <v>12.31</v>
      </c>
      <c r="T175">
        <v>7.25</v>
      </c>
      <c r="W175">
        <f ca="1">X175-A175-AA175</f>
        <v>22.113235846964088</v>
      </c>
      <c r="X175">
        <f t="shared" ca="1" si="33"/>
        <v>47.613235846964088</v>
      </c>
      <c r="Y175">
        <f ca="1">C175/X175*60</f>
        <v>19.53238387302968</v>
      </c>
      <c r="Z175">
        <v>11.071232876712299</v>
      </c>
      <c r="AA175">
        <v>4.5</v>
      </c>
      <c r="AB175">
        <f t="shared" ca="1" si="34"/>
        <v>19.5</v>
      </c>
      <c r="AC175">
        <f t="shared" ca="1" si="35"/>
        <v>3.2383873029678822E-2</v>
      </c>
      <c r="AD175">
        <f t="shared" ca="1" si="36"/>
        <v>19.53238387302968</v>
      </c>
      <c r="AE175">
        <f ca="1">C175*60/AD175</f>
        <v>47.613235846964088</v>
      </c>
    </row>
    <row r="176" spans="1:31" x14ac:dyDescent="0.45">
      <c r="A176">
        <f t="shared" ca="1" si="30"/>
        <v>19</v>
      </c>
      <c r="B176" s="3">
        <v>6472</v>
      </c>
      <c r="C176">
        <f t="shared" ca="1" si="31"/>
        <v>14.7</v>
      </c>
      <c r="D176">
        <v>39</v>
      </c>
      <c r="E176" s="8">
        <v>0.33</v>
      </c>
      <c r="F176" s="19">
        <f t="shared" si="43"/>
        <v>1.2254636156599066</v>
      </c>
      <c r="G176" s="19">
        <f t="shared" si="39"/>
        <v>3.7474173740292578</v>
      </c>
      <c r="H176" s="19">
        <f t="shared" ca="1" si="40"/>
        <v>2.892631487621399</v>
      </c>
      <c r="I176" s="19">
        <f t="shared" si="41"/>
        <v>47.09143556874028</v>
      </c>
      <c r="J176" s="8">
        <v>0.33</v>
      </c>
      <c r="K176" s="19">
        <f t="shared" si="42"/>
        <v>138</v>
      </c>
      <c r="L176" s="3">
        <f t="shared" si="29"/>
        <v>6500</v>
      </c>
      <c r="M176" s="3">
        <f t="shared" si="38"/>
        <v>0</v>
      </c>
      <c r="N176">
        <f t="shared" ca="1" si="32"/>
        <v>0.2518415833559951</v>
      </c>
      <c r="O176">
        <v>52.4</v>
      </c>
      <c r="S176">
        <v>12.38</v>
      </c>
      <c r="T176">
        <v>7.34</v>
      </c>
      <c r="W176">
        <f ca="1">X176-A176-AA176</f>
        <v>20.012580658197422</v>
      </c>
      <c r="X176">
        <f t="shared" ca="1" si="33"/>
        <v>43.512580658197422</v>
      </c>
      <c r="Y176">
        <f ca="1">C176/X176*60</f>
        <v>20.26999977152213</v>
      </c>
      <c r="Z176">
        <v>12.9428571428571</v>
      </c>
      <c r="AA176">
        <v>4.5</v>
      </c>
      <c r="AB176">
        <f t="shared" ca="1" si="34"/>
        <v>19.3</v>
      </c>
      <c r="AC176">
        <f t="shared" ca="1" si="35"/>
        <v>0.96999977152212791</v>
      </c>
      <c r="AD176">
        <f t="shared" ca="1" si="36"/>
        <v>20.26999977152213</v>
      </c>
      <c r="AE176">
        <f ca="1">C176*60/AD176</f>
        <v>43.512580658197422</v>
      </c>
    </row>
    <row r="177" spans="1:31" x14ac:dyDescent="0.45">
      <c r="A177">
        <f t="shared" ca="1" si="30"/>
        <v>21</v>
      </c>
      <c r="B177" s="3">
        <v>6424</v>
      </c>
      <c r="C177">
        <f t="shared" ca="1" si="31"/>
        <v>14.7</v>
      </c>
      <c r="D177">
        <v>38.840000000000003</v>
      </c>
      <c r="E177" s="8">
        <v>0.33</v>
      </c>
      <c r="F177" s="19">
        <f t="shared" si="43"/>
        <v>1.2254636156599066</v>
      </c>
      <c r="G177" s="19">
        <f t="shared" si="39"/>
        <v>3.7340946360845226</v>
      </c>
      <c r="H177" s="19">
        <f t="shared" ca="1" si="40"/>
        <v>2.892631487621399</v>
      </c>
      <c r="I177" s="19">
        <f t="shared" si="41"/>
        <v>46.924017106128751</v>
      </c>
      <c r="J177" s="8">
        <v>0.33</v>
      </c>
      <c r="K177" s="19">
        <f t="shared" si="42"/>
        <v>136</v>
      </c>
      <c r="L177" s="3">
        <f t="shared" si="29"/>
        <v>6400</v>
      </c>
      <c r="M177" s="3">
        <f t="shared" si="38"/>
        <v>10</v>
      </c>
      <c r="N177">
        <f t="shared" ca="1" si="32"/>
        <v>0.30766080633986009</v>
      </c>
      <c r="O177">
        <v>59.82</v>
      </c>
      <c r="P177">
        <v>10.039999999999999</v>
      </c>
      <c r="Q177">
        <v>9.27</v>
      </c>
      <c r="S177">
        <v>12.74</v>
      </c>
      <c r="T177">
        <v>7.03</v>
      </c>
      <c r="W177">
        <f ca="1">X177-A177-AA177</f>
        <v>18.559400100162257</v>
      </c>
      <c r="X177">
        <f t="shared" ca="1" si="33"/>
        <v>44.059400100162257</v>
      </c>
      <c r="Y177">
        <f ca="1">C177/X177*60</f>
        <v>20.018429619897432</v>
      </c>
      <c r="Z177">
        <v>13.9058823529412</v>
      </c>
      <c r="AA177">
        <v>4.5</v>
      </c>
      <c r="AB177">
        <f t="shared" ca="1" si="34"/>
        <v>19.2</v>
      </c>
      <c r="AC177">
        <f t="shared" ca="1" si="35"/>
        <v>0.81842961989743368</v>
      </c>
      <c r="AD177">
        <f t="shared" ca="1" si="36"/>
        <v>20.018429619897432</v>
      </c>
      <c r="AE177">
        <f ca="1">C177*60/AD177</f>
        <v>44.059400100162257</v>
      </c>
    </row>
    <row r="178" spans="1:31" x14ac:dyDescent="0.45">
      <c r="A178">
        <f t="shared" ca="1" si="30"/>
        <v>17</v>
      </c>
      <c r="B178" s="3">
        <v>6482</v>
      </c>
      <c r="C178">
        <f t="shared" ca="1" si="31"/>
        <v>16.399999999999999</v>
      </c>
      <c r="D178">
        <v>30.27</v>
      </c>
      <c r="E178" s="8">
        <v>0.33</v>
      </c>
      <c r="F178" s="19">
        <f t="shared" si="43"/>
        <v>1.2254636156599066</v>
      </c>
      <c r="G178" s="19">
        <f t="shared" si="39"/>
        <v>3.0204954849196315</v>
      </c>
      <c r="H178" s="19">
        <f t="shared" ca="1" si="40"/>
        <v>3.2271534963939419</v>
      </c>
      <c r="I178" s="19">
        <f t="shared" si="41"/>
        <v>37.956665702498618</v>
      </c>
      <c r="J178" s="8">
        <v>0.33</v>
      </c>
      <c r="K178" s="19">
        <f t="shared" si="42"/>
        <v>171</v>
      </c>
      <c r="L178" s="3">
        <f t="shared" si="29"/>
        <v>6500</v>
      </c>
      <c r="M178" s="3">
        <f t="shared" si="38"/>
        <v>10</v>
      </c>
      <c r="N178">
        <f t="shared" ca="1" si="32"/>
        <v>0.20546340281368872</v>
      </c>
      <c r="O178">
        <v>50.6</v>
      </c>
      <c r="P178">
        <v>9.75</v>
      </c>
      <c r="Q178">
        <v>0.11</v>
      </c>
      <c r="S178">
        <v>13.29</v>
      </c>
      <c r="T178">
        <v>7.33</v>
      </c>
      <c r="W178">
        <f ca="1">X178-A178-AA178</f>
        <v>29.00759900975865</v>
      </c>
      <c r="X178">
        <f t="shared" ca="1" si="33"/>
        <v>50.50759900975865</v>
      </c>
      <c r="Y178">
        <f ca="1">C178/X178*60</f>
        <v>19.482216919673409</v>
      </c>
      <c r="Z178">
        <v>10.953488372093</v>
      </c>
      <c r="AA178">
        <v>4.5</v>
      </c>
      <c r="AB178">
        <f t="shared" ca="1" si="34"/>
        <v>19.399999999999999</v>
      </c>
      <c r="AC178">
        <f t="shared" ca="1" si="35"/>
        <v>8.2216919673408828E-2</v>
      </c>
      <c r="AD178">
        <f t="shared" ca="1" si="36"/>
        <v>19.482216919673409</v>
      </c>
      <c r="AE178">
        <f ca="1">C178*60/AD178</f>
        <v>50.50759900975865</v>
      </c>
    </row>
    <row r="179" spans="1:31" x14ac:dyDescent="0.45">
      <c r="A179">
        <f t="shared" ca="1" si="30"/>
        <v>20</v>
      </c>
      <c r="B179" s="3">
        <v>6738</v>
      </c>
      <c r="C179">
        <f t="shared" ca="1" si="31"/>
        <v>15.9</v>
      </c>
      <c r="D179">
        <v>42.07</v>
      </c>
      <c r="E179" s="8">
        <v>0.33</v>
      </c>
      <c r="F179" s="19">
        <f t="shared" si="43"/>
        <v>1.2254636156599066</v>
      </c>
      <c r="G179" s="19">
        <f t="shared" si="39"/>
        <v>4.0030474083438694</v>
      </c>
      <c r="H179" s="19">
        <f t="shared" ca="1" si="40"/>
        <v>3.1287646702843706</v>
      </c>
      <c r="I179" s="19">
        <f t="shared" si="41"/>
        <v>50.303777320099044</v>
      </c>
      <c r="J179" s="8">
        <v>0.33</v>
      </c>
      <c r="K179" s="19">
        <f t="shared" si="42"/>
        <v>133</v>
      </c>
      <c r="L179" s="3">
        <f t="shared" si="29"/>
        <v>6700</v>
      </c>
      <c r="M179" s="3">
        <f t="shared" si="38"/>
        <v>11</v>
      </c>
      <c r="N179">
        <f t="shared" ca="1" si="32"/>
        <v>0.18567596173259504</v>
      </c>
      <c r="O179">
        <v>53.3</v>
      </c>
      <c r="P179">
        <v>11.15</v>
      </c>
      <c r="Q179">
        <v>9.73</v>
      </c>
      <c r="S179">
        <v>11.69</v>
      </c>
      <c r="T179">
        <v>7.34</v>
      </c>
      <c r="W179">
        <f ca="1">X179-A179-AA179</f>
        <v>23.427911504585282</v>
      </c>
      <c r="X179">
        <f t="shared" ca="1" si="33"/>
        <v>47.927911504585282</v>
      </c>
      <c r="Y179">
        <f ca="1">C179/X179*60</f>
        <v>19.904894038805143</v>
      </c>
      <c r="Z179">
        <v>14.185074626865701</v>
      </c>
      <c r="AA179">
        <v>4.5</v>
      </c>
      <c r="AB179">
        <f t="shared" ca="1" si="34"/>
        <v>19.3</v>
      </c>
      <c r="AC179">
        <f t="shared" ca="1" si="35"/>
        <v>0.60489403880514203</v>
      </c>
      <c r="AD179">
        <f t="shared" ca="1" si="36"/>
        <v>19.904894038805143</v>
      </c>
      <c r="AE179">
        <f ca="1">C179*60/AD179</f>
        <v>47.927911504585282</v>
      </c>
    </row>
    <row r="180" spans="1:31" x14ac:dyDescent="0.45">
      <c r="A180">
        <f t="shared" ca="1" si="30"/>
        <v>20</v>
      </c>
      <c r="B180" s="3">
        <v>6514</v>
      </c>
      <c r="C180">
        <f t="shared" ca="1" si="31"/>
        <v>16.3</v>
      </c>
      <c r="D180">
        <v>39.409999999999997</v>
      </c>
      <c r="E180" s="8">
        <v>0.33</v>
      </c>
      <c r="F180" s="19">
        <f t="shared" si="43"/>
        <v>1.2254636156599066</v>
      </c>
      <c r="G180" s="19">
        <f t="shared" si="39"/>
        <v>3.7815568900126419</v>
      </c>
      <c r="H180" s="19">
        <f t="shared" ca="1" si="40"/>
        <v>3.2074757311720279</v>
      </c>
      <c r="I180" s="19">
        <f t="shared" si="41"/>
        <v>47.520445379182327</v>
      </c>
      <c r="J180" s="8">
        <v>0.33</v>
      </c>
      <c r="K180" s="19">
        <f t="shared" si="42"/>
        <v>137</v>
      </c>
      <c r="L180" s="3">
        <f t="shared" si="29"/>
        <v>6500</v>
      </c>
      <c r="M180" s="3">
        <f t="shared" si="38"/>
        <v>10</v>
      </c>
      <c r="N180">
        <f t="shared" ca="1" si="32"/>
        <v>0.17569957074623641</v>
      </c>
      <c r="O180">
        <v>62.5</v>
      </c>
      <c r="P180">
        <v>9.6</v>
      </c>
      <c r="Q180">
        <v>7.91</v>
      </c>
      <c r="S180">
        <v>11.68</v>
      </c>
      <c r="T180">
        <v>7.14</v>
      </c>
      <c r="W180">
        <f ca="1">X180-A180-AA180</f>
        <v>25.839562275067479</v>
      </c>
      <c r="X180">
        <f t="shared" ca="1" si="33"/>
        <v>50.339562275067479</v>
      </c>
      <c r="Y180">
        <f ca="1">C180/X180*60</f>
        <v>19.428059279815997</v>
      </c>
      <c r="Z180">
        <v>13.192682926829301</v>
      </c>
      <c r="AA180">
        <v>4.5</v>
      </c>
      <c r="AB180">
        <f t="shared" ca="1" si="34"/>
        <v>19.100000000000001</v>
      </c>
      <c r="AC180">
        <f t="shared" ca="1" si="35"/>
        <v>0.32805927981599414</v>
      </c>
      <c r="AD180">
        <f t="shared" ca="1" si="36"/>
        <v>19.428059279815997</v>
      </c>
      <c r="AE180">
        <f ca="1">C180*60/AD180</f>
        <v>50.339562275067479</v>
      </c>
    </row>
    <row r="181" spans="1:31" x14ac:dyDescent="0.45">
      <c r="A181">
        <f t="shared" ca="1" si="30"/>
        <v>16</v>
      </c>
      <c r="B181" s="3">
        <v>6391</v>
      </c>
      <c r="C181">
        <f t="shared" ca="1" si="31"/>
        <v>15.9</v>
      </c>
      <c r="D181">
        <v>40.369999999999997</v>
      </c>
      <c r="E181" s="8">
        <v>0.33</v>
      </c>
      <c r="F181" s="19">
        <f t="shared" si="43"/>
        <v>1.2254636156599066</v>
      </c>
      <c r="G181" s="19">
        <f t="shared" si="39"/>
        <v>3.8614933176810546</v>
      </c>
      <c r="H181" s="19">
        <f t="shared" ca="1" si="40"/>
        <v>3.1287646702843706</v>
      </c>
      <c r="I181" s="19">
        <f t="shared" si="41"/>
        <v>48.524956154851516</v>
      </c>
      <c r="J181" s="8">
        <v>0.33</v>
      </c>
      <c r="K181" s="19">
        <f t="shared" si="42"/>
        <v>132</v>
      </c>
      <c r="L181" s="3">
        <f t="shared" si="29"/>
        <v>6400</v>
      </c>
      <c r="M181" s="3">
        <f t="shared" si="38"/>
        <v>13</v>
      </c>
      <c r="N181">
        <f t="shared" ca="1" si="32"/>
        <v>0.20975440775646589</v>
      </c>
      <c r="O181">
        <v>52.8</v>
      </c>
      <c r="P181">
        <v>12.83</v>
      </c>
      <c r="Q181">
        <v>11.8</v>
      </c>
      <c r="S181">
        <v>12.84</v>
      </c>
      <c r="T181">
        <v>7.16</v>
      </c>
      <c r="W181">
        <f ca="1">X181-A181-AA181</f>
        <v>27.079287919397288</v>
      </c>
      <c r="X181">
        <f t="shared" ca="1" si="33"/>
        <v>47.579287919397288</v>
      </c>
      <c r="Y181">
        <f ca="1">C181/X181*60</f>
        <v>20.050741440606345</v>
      </c>
      <c r="Z181">
        <v>11.2357142857143</v>
      </c>
      <c r="AA181">
        <v>4.5</v>
      </c>
      <c r="AB181">
        <f t="shared" ca="1" si="34"/>
        <v>20</v>
      </c>
      <c r="AC181">
        <f t="shared" ca="1" si="35"/>
        <v>5.0741440606344779E-2</v>
      </c>
      <c r="AD181">
        <f t="shared" ca="1" si="36"/>
        <v>20.050741440606345</v>
      </c>
      <c r="AE181">
        <f ca="1">C181*60/AD181</f>
        <v>47.579287919397288</v>
      </c>
    </row>
    <row r="182" spans="1:31" x14ac:dyDescent="0.45">
      <c r="A182">
        <f t="shared" ca="1" si="30"/>
        <v>18</v>
      </c>
      <c r="B182" s="3">
        <v>6345</v>
      </c>
      <c r="C182">
        <f t="shared" ca="1" si="31"/>
        <v>15.7</v>
      </c>
      <c r="D182">
        <v>45.03</v>
      </c>
      <c r="E182" s="8">
        <v>0.33</v>
      </c>
      <c r="F182" s="19">
        <f t="shared" si="43"/>
        <v>1.2254636156599066</v>
      </c>
      <c r="G182" s="19">
        <f t="shared" si="39"/>
        <v>4.2495180603214742</v>
      </c>
      <c r="H182" s="19">
        <f t="shared" ca="1" si="40"/>
        <v>3.0894091398405421</v>
      </c>
      <c r="I182" s="19">
        <f t="shared" si="41"/>
        <v>53.401018878412366</v>
      </c>
      <c r="J182" s="8">
        <v>0.33</v>
      </c>
      <c r="K182" s="19">
        <f t="shared" si="42"/>
        <v>118</v>
      </c>
      <c r="L182" s="3">
        <f t="shared" si="29"/>
        <v>6300</v>
      </c>
      <c r="M182" s="3">
        <f t="shared" si="38"/>
        <v>9</v>
      </c>
      <c r="N182">
        <f t="shared" ca="1" si="32"/>
        <v>0.23044872228298821</v>
      </c>
      <c r="O182">
        <v>62.45</v>
      </c>
      <c r="P182">
        <v>8.6</v>
      </c>
      <c r="Q182">
        <v>9.36</v>
      </c>
      <c r="S182">
        <v>12.5</v>
      </c>
      <c r="T182">
        <v>7</v>
      </c>
      <c r="W182">
        <f ca="1">X182-A182-AA182</f>
        <v>23.866480775042298</v>
      </c>
      <c r="X182">
        <f t="shared" ca="1" si="33"/>
        <v>46.366480775042298</v>
      </c>
      <c r="Y182">
        <f ca="1">C182/X182*60</f>
        <v>20.316400646629418</v>
      </c>
      <c r="Z182">
        <v>4.6735294117647097</v>
      </c>
      <c r="AA182">
        <v>4.5</v>
      </c>
      <c r="AB182">
        <f t="shared" ca="1" si="34"/>
        <v>19.7</v>
      </c>
      <c r="AC182">
        <f t="shared" ca="1" si="35"/>
        <v>0.61640064662942318</v>
      </c>
      <c r="AD182">
        <f t="shared" ca="1" si="36"/>
        <v>20.316400646629422</v>
      </c>
      <c r="AE182">
        <f ca="1">C182*60/AD182</f>
        <v>46.366480775042298</v>
      </c>
    </row>
    <row r="183" spans="1:31" x14ac:dyDescent="0.45">
      <c r="A183">
        <f t="shared" ca="1" si="30"/>
        <v>16</v>
      </c>
      <c r="B183" s="3">
        <v>6515</v>
      </c>
      <c r="C183">
        <f t="shared" ca="1" si="31"/>
        <v>14.6</v>
      </c>
      <c r="D183">
        <v>32.94</v>
      </c>
      <c r="E183" s="8">
        <v>0.33</v>
      </c>
      <c r="F183" s="19">
        <f t="shared" si="43"/>
        <v>1.2254636156599066</v>
      </c>
      <c r="G183" s="19">
        <f t="shared" si="39"/>
        <v>3.2428186743724039</v>
      </c>
      <c r="H183" s="19">
        <f t="shared" ca="1" si="40"/>
        <v>2.872953722399485</v>
      </c>
      <c r="I183" s="19">
        <f t="shared" si="41"/>
        <v>40.750461297328542</v>
      </c>
      <c r="J183" s="8">
        <v>0.33</v>
      </c>
      <c r="K183" s="19">
        <f t="shared" si="42"/>
        <v>160</v>
      </c>
      <c r="L183" s="3">
        <f t="shared" si="29"/>
        <v>6500</v>
      </c>
      <c r="M183" s="3">
        <f t="shared" si="38"/>
        <v>13</v>
      </c>
      <c r="N183">
        <f t="shared" ca="1" si="32"/>
        <v>0.24279116783622731</v>
      </c>
      <c r="O183">
        <v>60.58</v>
      </c>
      <c r="P183">
        <v>12.92</v>
      </c>
      <c r="Q183">
        <v>11.41</v>
      </c>
      <c r="S183">
        <v>12.53</v>
      </c>
      <c r="T183">
        <v>7.09</v>
      </c>
      <c r="W183">
        <f ca="1">X183-A183-AA183</f>
        <v>22.406086879031385</v>
      </c>
      <c r="X183">
        <f t="shared" ca="1" si="33"/>
        <v>42.906086879031385</v>
      </c>
      <c r="Y183">
        <f ca="1">C183/X183*60</f>
        <v>20.416683592465048</v>
      </c>
      <c r="Z183">
        <v>12.246153846153801</v>
      </c>
      <c r="AA183">
        <v>4.5</v>
      </c>
      <c r="AB183">
        <f t="shared" ca="1" si="34"/>
        <v>19.5</v>
      </c>
      <c r="AC183">
        <f t="shared" ca="1" si="35"/>
        <v>0.9166835924650476</v>
      </c>
      <c r="AD183">
        <f t="shared" ca="1" si="36"/>
        <v>20.416683592465048</v>
      </c>
      <c r="AE183">
        <f ca="1">C183*60/AD183</f>
        <v>42.906086879031385</v>
      </c>
    </row>
    <row r="184" spans="1:31" x14ac:dyDescent="0.45">
      <c r="A184">
        <f t="shared" ca="1" si="30"/>
        <v>17</v>
      </c>
      <c r="B184" s="3">
        <v>6658</v>
      </c>
      <c r="C184">
        <f t="shared" ca="1" si="31"/>
        <v>16.100000000000001</v>
      </c>
      <c r="D184">
        <v>36.840000000000003</v>
      </c>
      <c r="E184" s="8">
        <v>0.33</v>
      </c>
      <c r="F184" s="19">
        <f t="shared" si="43"/>
        <v>1.2254636156599066</v>
      </c>
      <c r="G184" s="19">
        <f t="shared" si="39"/>
        <v>3.5675604117753301</v>
      </c>
      <c r="H184" s="19">
        <f t="shared" ca="1" si="40"/>
        <v>3.1681202007281994</v>
      </c>
      <c r="I184" s="19">
        <f t="shared" si="41"/>
        <v>44.831286323484619</v>
      </c>
      <c r="J184" s="8">
        <v>0.33</v>
      </c>
      <c r="K184" s="19">
        <f t="shared" si="42"/>
        <v>149</v>
      </c>
      <c r="L184" s="3">
        <f t="shared" si="29"/>
        <v>6700</v>
      </c>
      <c r="M184" s="3">
        <f t="shared" si="38"/>
        <v>13</v>
      </c>
      <c r="N184">
        <f t="shared" ca="1" si="32"/>
        <v>0.18413037600561644</v>
      </c>
      <c r="O184">
        <v>62</v>
      </c>
      <c r="P184">
        <v>12.94</v>
      </c>
      <c r="Q184">
        <v>12.86</v>
      </c>
      <c r="S184">
        <v>12.23</v>
      </c>
      <c r="T184">
        <v>7.36</v>
      </c>
      <c r="W184">
        <f ca="1">X184-A184-AA184</f>
        <v>26.448650709600749</v>
      </c>
      <c r="X184">
        <f t="shared" ca="1" si="33"/>
        <v>47.948650709600749</v>
      </c>
      <c r="Y184">
        <f ca="1">C184/X184*60</f>
        <v>20.146552315946153</v>
      </c>
      <c r="Z184">
        <v>17.443636363636401</v>
      </c>
      <c r="AA184">
        <v>4.5</v>
      </c>
      <c r="AB184">
        <f t="shared" ca="1" si="34"/>
        <v>19.2</v>
      </c>
      <c r="AC184">
        <f t="shared" ca="1" si="35"/>
        <v>0.94655231594615374</v>
      </c>
      <c r="AD184">
        <f t="shared" ca="1" si="36"/>
        <v>20.146552315946153</v>
      </c>
      <c r="AE184">
        <f ca="1">C184*60/AD184</f>
        <v>47.948650709600749</v>
      </c>
    </row>
    <row r="185" spans="1:31" x14ac:dyDescent="0.45">
      <c r="A185">
        <f t="shared" ca="1" si="30"/>
        <v>18</v>
      </c>
      <c r="B185" s="3">
        <v>6309</v>
      </c>
      <c r="C185">
        <f t="shared" ca="1" si="31"/>
        <v>16.3</v>
      </c>
      <c r="D185">
        <v>41.1</v>
      </c>
      <c r="E185" s="8">
        <v>0.33</v>
      </c>
      <c r="F185" s="19">
        <f t="shared" si="43"/>
        <v>1.2254636156599066</v>
      </c>
      <c r="G185" s="19">
        <f t="shared" si="39"/>
        <v>3.92227830955391</v>
      </c>
      <c r="H185" s="19">
        <f t="shared" ca="1" si="40"/>
        <v>3.2074757311720279</v>
      </c>
      <c r="I185" s="19">
        <f t="shared" si="41"/>
        <v>49.288802890516621</v>
      </c>
      <c r="J185" s="8">
        <v>0.33</v>
      </c>
      <c r="K185" s="19">
        <f t="shared" si="42"/>
        <v>128</v>
      </c>
      <c r="L185" s="3">
        <f t="shared" si="29"/>
        <v>6300</v>
      </c>
      <c r="M185" s="3">
        <f t="shared" si="38"/>
        <v>13</v>
      </c>
      <c r="N185">
        <f t="shared" ca="1" si="32"/>
        <v>0.17990222318367302</v>
      </c>
      <c r="O185">
        <v>51.1</v>
      </c>
      <c r="P185">
        <v>13.19</v>
      </c>
      <c r="Q185">
        <v>9.51</v>
      </c>
      <c r="S185">
        <v>11.98</v>
      </c>
      <c r="T185">
        <v>7.14</v>
      </c>
      <c r="W185">
        <f ca="1">X185-A185-AA185</f>
        <v>26.903502993726505</v>
      </c>
      <c r="X185">
        <f t="shared" ca="1" si="33"/>
        <v>49.403502993726505</v>
      </c>
      <c r="Y185">
        <f ca="1">C185/X185*60</f>
        <v>19.796167088074526</v>
      </c>
      <c r="Z185">
        <v>14.878125000000001</v>
      </c>
      <c r="AA185">
        <v>4.5</v>
      </c>
      <c r="AB185">
        <f t="shared" ca="1" si="34"/>
        <v>19.7</v>
      </c>
      <c r="AC185">
        <f t="shared" ca="1" si="35"/>
        <v>9.6167088074525564E-2</v>
      </c>
      <c r="AD185">
        <f t="shared" ca="1" si="36"/>
        <v>19.796167088074526</v>
      </c>
      <c r="AE185">
        <f ca="1">C185*60/AD185</f>
        <v>49.403502993726505</v>
      </c>
    </row>
    <row r="186" spans="1:31" x14ac:dyDescent="0.45">
      <c r="A186">
        <f t="shared" ca="1" si="30"/>
        <v>16</v>
      </c>
      <c r="B186" s="3">
        <v>6624</v>
      </c>
      <c r="C186">
        <f t="shared" ca="1" si="31"/>
        <v>14.7</v>
      </c>
      <c r="D186">
        <v>40.21</v>
      </c>
      <c r="E186" s="8">
        <v>0.33</v>
      </c>
      <c r="F186" s="19">
        <f t="shared" si="43"/>
        <v>1.2254636156599066</v>
      </c>
      <c r="G186" s="19">
        <f t="shared" si="39"/>
        <v>3.8481705797363199</v>
      </c>
      <c r="H186" s="19">
        <f t="shared" ca="1" si="40"/>
        <v>2.892631487621399</v>
      </c>
      <c r="I186" s="19">
        <f t="shared" si="41"/>
        <v>48.357537692239994</v>
      </c>
      <c r="J186" s="8">
        <v>0.33</v>
      </c>
      <c r="K186" s="19">
        <f t="shared" si="42"/>
        <v>136</v>
      </c>
      <c r="L186" s="3">
        <f t="shared" si="29"/>
        <v>6600</v>
      </c>
      <c r="M186" s="3">
        <f t="shared" si="38"/>
        <v>13</v>
      </c>
      <c r="N186">
        <f t="shared" ca="1" si="32"/>
        <v>0.21075552515469426</v>
      </c>
      <c r="O186">
        <v>60.59</v>
      </c>
      <c r="P186">
        <v>13.21</v>
      </c>
      <c r="Q186">
        <v>8.51</v>
      </c>
      <c r="S186">
        <v>12.39</v>
      </c>
      <c r="T186">
        <v>7.16</v>
      </c>
      <c r="W186">
        <f ca="1">X186-A186-AA186</f>
        <v>24.81548228052948</v>
      </c>
      <c r="X186">
        <f t="shared" ca="1" si="33"/>
        <v>45.31548228052948</v>
      </c>
      <c r="Y186">
        <f ca="1">C186/X186*60</f>
        <v>19.463546576419542</v>
      </c>
      <c r="Z186">
        <v>6.6083916083916101</v>
      </c>
      <c r="AA186">
        <v>4.5</v>
      </c>
      <c r="AB186">
        <f t="shared" ca="1" si="34"/>
        <v>19.100000000000001</v>
      </c>
      <c r="AC186">
        <f t="shared" ca="1" si="35"/>
        <v>0.36354657641954147</v>
      </c>
      <c r="AD186">
        <f t="shared" ca="1" si="36"/>
        <v>19.463546576419542</v>
      </c>
      <c r="AE186">
        <f ca="1">C186*60/AD186</f>
        <v>45.31548228052948</v>
      </c>
    </row>
    <row r="187" spans="1:31" x14ac:dyDescent="0.45">
      <c r="A187">
        <f t="shared" ca="1" si="30"/>
        <v>16</v>
      </c>
      <c r="B187" s="3">
        <v>6528</v>
      </c>
      <c r="C187">
        <f t="shared" ca="1" si="31"/>
        <v>16.399999999999999</v>
      </c>
      <c r="D187">
        <v>34.979999999999997</v>
      </c>
      <c r="E187" s="8">
        <v>0.33</v>
      </c>
      <c r="F187" s="19">
        <f t="shared" si="43"/>
        <v>1.2254636156599066</v>
      </c>
      <c r="G187" s="19">
        <f t="shared" si="39"/>
        <v>3.4126835831677802</v>
      </c>
      <c r="H187" s="19">
        <f t="shared" ca="1" si="40"/>
        <v>3.2271534963939419</v>
      </c>
      <c r="I187" s="19">
        <f t="shared" si="41"/>
        <v>42.885046695625562</v>
      </c>
      <c r="J187" s="8">
        <v>0.33</v>
      </c>
      <c r="K187" s="19">
        <f t="shared" si="42"/>
        <v>152</v>
      </c>
      <c r="L187" s="3">
        <f t="shared" si="29"/>
        <v>6500</v>
      </c>
      <c r="M187" s="3">
        <f t="shared" si="38"/>
        <v>14</v>
      </c>
      <c r="N187">
        <f t="shared" ca="1" si="32"/>
        <v>0.19312830737885556</v>
      </c>
      <c r="O187">
        <v>52</v>
      </c>
      <c r="P187">
        <v>13.91</v>
      </c>
      <c r="Q187">
        <v>10.01</v>
      </c>
      <c r="S187">
        <v>12.57</v>
      </c>
      <c r="T187">
        <v>7.27</v>
      </c>
      <c r="W187">
        <f ca="1">X187-A187-AA187</f>
        <v>27.442895720113711</v>
      </c>
      <c r="X187">
        <f t="shared" ca="1" si="33"/>
        <v>47.942895720113711</v>
      </c>
      <c r="Y187">
        <f ca="1">C187/X187*60</f>
        <v>20.524417334833149</v>
      </c>
      <c r="Z187">
        <v>15.9050847457627</v>
      </c>
      <c r="AA187">
        <v>4.5</v>
      </c>
      <c r="AB187">
        <f t="shared" ca="1" si="34"/>
        <v>19.8</v>
      </c>
      <c r="AC187">
        <f t="shared" ca="1" si="35"/>
        <v>0.72441733483314785</v>
      </c>
      <c r="AD187">
        <f t="shared" ca="1" si="36"/>
        <v>20.524417334833149</v>
      </c>
      <c r="AE187">
        <f ca="1">C187*60/AD187</f>
        <v>47.942895720113711</v>
      </c>
    </row>
    <row r="188" spans="1:31" x14ac:dyDescent="0.45">
      <c r="A188">
        <f t="shared" ca="1" si="30"/>
        <v>21</v>
      </c>
      <c r="B188" s="3">
        <v>4163</v>
      </c>
      <c r="C188">
        <f t="shared" ca="1" si="31"/>
        <v>16.3</v>
      </c>
      <c r="D188">
        <v>32.86</v>
      </c>
      <c r="E188" s="8">
        <v>0.33</v>
      </c>
      <c r="F188" s="19">
        <f t="shared" si="43"/>
        <v>1.2254636156599066</v>
      </c>
      <c r="G188" s="19">
        <f t="shared" si="39"/>
        <v>3.2361573054000363</v>
      </c>
      <c r="H188" s="19">
        <f t="shared" ca="1" si="40"/>
        <v>3.2074757311720279</v>
      </c>
      <c r="I188" s="19">
        <f t="shared" si="41"/>
        <v>40.666752066022781</v>
      </c>
      <c r="J188" s="8">
        <v>0.33</v>
      </c>
      <c r="K188" s="19">
        <f t="shared" si="42"/>
        <v>103</v>
      </c>
      <c r="L188" s="3">
        <f t="shared" si="29"/>
        <v>4200</v>
      </c>
      <c r="M188" s="3">
        <f t="shared" si="38"/>
        <v>11</v>
      </c>
      <c r="N188">
        <f t="shared" ca="1" si="32"/>
        <v>0.21099665751092306</v>
      </c>
      <c r="O188">
        <v>58.7</v>
      </c>
      <c r="P188">
        <v>10.58</v>
      </c>
      <c r="Q188">
        <v>10.34</v>
      </c>
      <c r="S188">
        <v>12.35</v>
      </c>
      <c r="T188">
        <v>7.38</v>
      </c>
      <c r="W188">
        <f ca="1">X188-A188-AA188</f>
        <v>23.554875506701848</v>
      </c>
      <c r="X188">
        <f t="shared" ca="1" si="33"/>
        <v>49.054875506701848</v>
      </c>
      <c r="Y188">
        <f ca="1">C188/X188*60</f>
        <v>19.936856222708919</v>
      </c>
      <c r="Z188">
        <v>6.16734693877551</v>
      </c>
      <c r="AA188">
        <v>4.5</v>
      </c>
      <c r="AB188">
        <f t="shared" ca="1" si="34"/>
        <v>19.2</v>
      </c>
      <c r="AC188">
        <f t="shared" ca="1" si="35"/>
        <v>0.73685622270891826</v>
      </c>
      <c r="AD188">
        <f t="shared" ca="1" si="36"/>
        <v>19.936856222708919</v>
      </c>
      <c r="AE188">
        <f ca="1">C188*60/AD188</f>
        <v>49.054875506701848</v>
      </c>
    </row>
    <row r="189" spans="1:31" x14ac:dyDescent="0.45">
      <c r="A189">
        <f t="shared" ca="1" si="30"/>
        <v>21</v>
      </c>
      <c r="B189" s="3">
        <v>4744</v>
      </c>
      <c r="C189">
        <f t="shared" ca="1" si="31"/>
        <v>15.6</v>
      </c>
      <c r="D189">
        <v>34.619999999999997</v>
      </c>
      <c r="E189" s="8">
        <v>0.33</v>
      </c>
      <c r="F189" s="19">
        <f t="shared" si="43"/>
        <v>1.2254636156599066</v>
      </c>
      <c r="G189" s="19">
        <f t="shared" si="39"/>
        <v>3.3827074227921257</v>
      </c>
      <c r="H189" s="19">
        <f t="shared" ca="1" si="40"/>
        <v>3.0697313746186277</v>
      </c>
      <c r="I189" s="19">
        <f t="shared" si="41"/>
        <v>42.508355154749616</v>
      </c>
      <c r="J189" s="8">
        <v>0.33</v>
      </c>
      <c r="K189" s="19">
        <f t="shared" si="42"/>
        <v>111</v>
      </c>
      <c r="L189" s="3">
        <f t="shared" si="29"/>
        <v>4700</v>
      </c>
      <c r="M189" s="3">
        <f t="shared" si="38"/>
        <v>6</v>
      </c>
      <c r="N189">
        <f t="shared" ca="1" si="32"/>
        <v>0.24643726571977159</v>
      </c>
      <c r="O189">
        <v>70.8</v>
      </c>
      <c r="P189">
        <v>5.93</v>
      </c>
      <c r="Q189">
        <v>4.76</v>
      </c>
      <c r="S189">
        <v>12.47</v>
      </c>
      <c r="T189">
        <v>7.37</v>
      </c>
      <c r="W189">
        <f ca="1">X189-A189-AA189</f>
        <v>20.694922032608922</v>
      </c>
      <c r="X189">
        <f t="shared" ca="1" si="33"/>
        <v>46.194922032608922</v>
      </c>
      <c r="Y189">
        <f ca="1">C189/X189*60</f>
        <v>20.261967307559889</v>
      </c>
      <c r="Z189">
        <v>9.3711340206185607</v>
      </c>
      <c r="AA189">
        <v>4.5</v>
      </c>
      <c r="AB189">
        <f t="shared" ca="1" si="34"/>
        <v>19.7</v>
      </c>
      <c r="AC189">
        <f t="shared" ca="1" si="35"/>
        <v>0.56196730755988811</v>
      </c>
      <c r="AD189">
        <f t="shared" ca="1" si="36"/>
        <v>20.261967307559889</v>
      </c>
      <c r="AE189">
        <f ca="1">C189*60/AD189</f>
        <v>46.194922032608922</v>
      </c>
    </row>
    <row r="190" spans="1:31" x14ac:dyDescent="0.45">
      <c r="A190">
        <f t="shared" ca="1" si="30"/>
        <v>22</v>
      </c>
      <c r="B190" s="3">
        <v>4610</v>
      </c>
      <c r="C190">
        <f t="shared" ca="1" si="31"/>
        <v>16.399999999999999</v>
      </c>
      <c r="D190">
        <v>33.380000000000003</v>
      </c>
      <c r="E190" s="8">
        <v>0.33</v>
      </c>
      <c r="F190" s="19">
        <f t="shared" si="43"/>
        <v>1.2254636156599066</v>
      </c>
      <c r="G190" s="19">
        <f t="shared" si="39"/>
        <v>3.2794562037204269</v>
      </c>
      <c r="H190" s="19">
        <f t="shared" ca="1" si="40"/>
        <v>3.2271534963939419</v>
      </c>
      <c r="I190" s="19">
        <f t="shared" si="41"/>
        <v>41.210862069510263</v>
      </c>
      <c r="J190" s="8">
        <v>0.33</v>
      </c>
      <c r="K190" s="19">
        <f t="shared" si="42"/>
        <v>112</v>
      </c>
      <c r="L190" s="3">
        <f t="shared" si="29"/>
        <v>4600</v>
      </c>
      <c r="M190" s="3">
        <f t="shared" si="38"/>
        <v>1</v>
      </c>
      <c r="N190">
        <f t="shared" ca="1" si="32"/>
        <v>0.21724692817626523</v>
      </c>
      <c r="O190">
        <v>54.9</v>
      </c>
      <c r="P190">
        <v>1.1299999999999999</v>
      </c>
      <c r="Q190">
        <v>7.21</v>
      </c>
      <c r="S190">
        <v>12.46</v>
      </c>
      <c r="T190">
        <v>7.31</v>
      </c>
      <c r="W190">
        <f ca="1">X190-A190-AA190</f>
        <v>23.705743704792468</v>
      </c>
      <c r="X190">
        <f t="shared" ca="1" si="33"/>
        <v>50.205743704792468</v>
      </c>
      <c r="Y190">
        <f ca="1">C190/X190*60</f>
        <v>19.599351137707988</v>
      </c>
      <c r="Z190">
        <v>15.579310344827601</v>
      </c>
      <c r="AA190">
        <v>4.5</v>
      </c>
      <c r="AB190">
        <f t="shared" ca="1" si="34"/>
        <v>19.3</v>
      </c>
      <c r="AC190">
        <f t="shared" ca="1" si="35"/>
        <v>0.29935113770798694</v>
      </c>
      <c r="AD190">
        <f t="shared" ca="1" si="36"/>
        <v>19.599351137707988</v>
      </c>
      <c r="AE190">
        <f ca="1">C190*60/AD190</f>
        <v>50.205743704792468</v>
      </c>
    </row>
    <row r="191" spans="1:31" x14ac:dyDescent="0.45">
      <c r="A191">
        <f t="shared" ca="1" si="30"/>
        <v>18</v>
      </c>
      <c r="B191" s="3">
        <v>4608</v>
      </c>
      <c r="C191">
        <f t="shared" ca="1" si="31"/>
        <v>16.3</v>
      </c>
      <c r="D191">
        <v>33.19</v>
      </c>
      <c r="E191" s="8">
        <v>0.33</v>
      </c>
      <c r="F191" s="19">
        <f t="shared" si="43"/>
        <v>1.2254636156599066</v>
      </c>
      <c r="G191" s="19">
        <f t="shared" si="39"/>
        <v>3.2636354524110529</v>
      </c>
      <c r="H191" s="19">
        <f t="shared" ca="1" si="40"/>
        <v>3.2074757311720279</v>
      </c>
      <c r="I191" s="19">
        <f t="shared" si="41"/>
        <v>41.012052645159059</v>
      </c>
      <c r="J191" s="8">
        <v>0.33</v>
      </c>
      <c r="K191" s="19">
        <f t="shared" si="42"/>
        <v>112</v>
      </c>
      <c r="L191" s="3">
        <f t="shared" si="29"/>
        <v>4600</v>
      </c>
      <c r="M191" s="3">
        <f t="shared" si="38"/>
        <v>4</v>
      </c>
      <c r="N191">
        <f t="shared" ca="1" si="32"/>
        <v>0.20586635339495135</v>
      </c>
      <c r="O191">
        <v>50.81</v>
      </c>
      <c r="P191">
        <v>3.97</v>
      </c>
      <c r="Q191">
        <v>7.41</v>
      </c>
      <c r="S191">
        <v>12.38</v>
      </c>
      <c r="T191">
        <v>7.15</v>
      </c>
      <c r="W191">
        <f ca="1">X191-A191-AA191</f>
        <v>25.404831405189988</v>
      </c>
      <c r="X191">
        <f t="shared" ca="1" si="33"/>
        <v>47.904831405189988</v>
      </c>
      <c r="Y191">
        <f ca="1">C191/X191*60</f>
        <v>20.415477339390947</v>
      </c>
      <c r="Z191">
        <v>13.2441176470588</v>
      </c>
      <c r="AA191">
        <v>4.5</v>
      </c>
      <c r="AB191">
        <f t="shared" ca="1" si="34"/>
        <v>19.8</v>
      </c>
      <c r="AC191">
        <f t="shared" ca="1" si="35"/>
        <v>0.61547733939094718</v>
      </c>
      <c r="AD191">
        <f t="shared" ca="1" si="36"/>
        <v>20.415477339390947</v>
      </c>
      <c r="AE191">
        <f ca="1">C191*60/AD191</f>
        <v>47.904831405189988</v>
      </c>
    </row>
    <row r="192" spans="1:31" x14ac:dyDescent="0.45">
      <c r="A192">
        <f t="shared" ca="1" si="30"/>
        <v>21</v>
      </c>
      <c r="B192" s="3">
        <v>4735</v>
      </c>
      <c r="C192">
        <f t="shared" ca="1" si="31"/>
        <v>14.6</v>
      </c>
      <c r="D192">
        <v>32</v>
      </c>
      <c r="E192" s="8">
        <v>0.33</v>
      </c>
      <c r="F192" s="19">
        <f t="shared" si="43"/>
        <v>1.2254636156599066</v>
      </c>
      <c r="G192" s="19">
        <f t="shared" si="39"/>
        <v>3.1645475889470833</v>
      </c>
      <c r="H192" s="19">
        <f t="shared" ca="1" si="40"/>
        <v>2.872953722399485</v>
      </c>
      <c r="I192" s="19">
        <f t="shared" si="41"/>
        <v>39.7668778294858</v>
      </c>
      <c r="J192" s="8">
        <v>0.33</v>
      </c>
      <c r="K192" s="19">
        <f t="shared" si="42"/>
        <v>118</v>
      </c>
      <c r="L192" s="3">
        <f t="shared" si="29"/>
        <v>4700</v>
      </c>
      <c r="M192" s="3">
        <f t="shared" si="38"/>
        <v>2</v>
      </c>
      <c r="N192">
        <f t="shared" ca="1" si="32"/>
        <v>0.29158779978635768</v>
      </c>
      <c r="O192">
        <v>54</v>
      </c>
      <c r="P192">
        <v>1.65</v>
      </c>
      <c r="Q192">
        <v>9.75</v>
      </c>
      <c r="S192">
        <v>12.73</v>
      </c>
      <c r="T192">
        <v>7.31</v>
      </c>
      <c r="W192">
        <f ca="1">X192-A192-AA192</f>
        <v>18.587883320122309</v>
      </c>
      <c r="X192">
        <f t="shared" ca="1" si="33"/>
        <v>44.087883320122309</v>
      </c>
      <c r="Y192">
        <f ca="1">C192/X192*60</f>
        <v>19.869404789505548</v>
      </c>
      <c r="Z192">
        <v>14.724590163934399</v>
      </c>
      <c r="AA192">
        <v>4.5</v>
      </c>
      <c r="AB192">
        <f t="shared" ca="1" si="34"/>
        <v>19.600000000000001</v>
      </c>
      <c r="AC192">
        <f t="shared" ca="1" si="35"/>
        <v>0.26940478950554525</v>
      </c>
      <c r="AD192">
        <f t="shared" ca="1" si="36"/>
        <v>19.869404789505548</v>
      </c>
      <c r="AE192">
        <f ca="1">C192*60/AD192</f>
        <v>44.087883320122309</v>
      </c>
    </row>
    <row r="193" spans="1:31" x14ac:dyDescent="0.45">
      <c r="A193">
        <f t="shared" ca="1" si="30"/>
        <v>21</v>
      </c>
      <c r="B193" s="3">
        <v>4589</v>
      </c>
      <c r="C193">
        <f t="shared" ca="1" si="31"/>
        <v>15.8</v>
      </c>
      <c r="D193">
        <v>35.380000000000003</v>
      </c>
      <c r="E193" s="8">
        <v>0.33</v>
      </c>
      <c r="F193" s="19">
        <f t="shared" si="43"/>
        <v>1.2254636156599066</v>
      </c>
      <c r="G193" s="19">
        <f t="shared" si="39"/>
        <v>3.4459904280296194</v>
      </c>
      <c r="H193" s="19">
        <f t="shared" ca="1" si="40"/>
        <v>3.1090869050624566</v>
      </c>
      <c r="I193" s="19">
        <f t="shared" si="41"/>
        <v>43.303592852154395</v>
      </c>
      <c r="J193" s="8">
        <v>0.33</v>
      </c>
      <c r="K193" s="19">
        <f t="shared" si="42"/>
        <v>106</v>
      </c>
      <c r="L193" s="3">
        <f t="shared" si="29"/>
        <v>4600</v>
      </c>
      <c r="M193" s="3">
        <f t="shared" si="38"/>
        <v>4</v>
      </c>
      <c r="N193">
        <f t="shared" ca="1" si="32"/>
        <v>0.22333245553755735</v>
      </c>
      <c r="O193">
        <v>54</v>
      </c>
      <c r="P193">
        <v>4.2300000000000004</v>
      </c>
      <c r="Q193">
        <v>10.41</v>
      </c>
      <c r="S193">
        <v>12.39</v>
      </c>
      <c r="T193">
        <v>7.19</v>
      </c>
      <c r="W193">
        <f ca="1">X193-A193-AA193</f>
        <v>23.283673604374655</v>
      </c>
      <c r="X193">
        <f t="shared" ca="1" si="33"/>
        <v>48.783673604374655</v>
      </c>
      <c r="Y193">
        <f ca="1">C193/X193*60</f>
        <v>19.432730869923425</v>
      </c>
      <c r="Z193">
        <v>12.5647058823529</v>
      </c>
      <c r="AA193">
        <v>4.5</v>
      </c>
      <c r="AB193">
        <f t="shared" ca="1" si="34"/>
        <v>19.3</v>
      </c>
      <c r="AC193">
        <f t="shared" ca="1" si="35"/>
        <v>0.13273086992342276</v>
      </c>
      <c r="AD193">
        <f t="shared" ca="1" si="36"/>
        <v>19.432730869923425</v>
      </c>
      <c r="AE193">
        <f ca="1">C193*60/AD193</f>
        <v>48.783673604374655</v>
      </c>
    </row>
    <row r="194" spans="1:31" x14ac:dyDescent="0.45">
      <c r="A194">
        <f t="shared" ca="1" si="30"/>
        <v>20</v>
      </c>
      <c r="B194" s="3">
        <v>4163</v>
      </c>
      <c r="C194">
        <f t="shared" ca="1" si="31"/>
        <v>16</v>
      </c>
      <c r="D194">
        <v>32.86</v>
      </c>
      <c r="E194" s="8">
        <v>0.33</v>
      </c>
      <c r="F194" s="19">
        <f t="shared" si="43"/>
        <v>1.2254636156599066</v>
      </c>
      <c r="G194" s="19">
        <f t="shared" si="39"/>
        <v>3.2361573054000363</v>
      </c>
      <c r="H194" s="19">
        <f t="shared" ca="1" si="40"/>
        <v>3.148442435506285</v>
      </c>
      <c r="I194" s="19">
        <f t="shared" si="41"/>
        <v>40.666752066022781</v>
      </c>
      <c r="J194" s="8">
        <v>0.33</v>
      </c>
      <c r="K194" s="19">
        <f t="shared" si="42"/>
        <v>103</v>
      </c>
      <c r="L194" s="3">
        <f t="shared" si="29"/>
        <v>4200</v>
      </c>
      <c r="M194" s="3">
        <f t="shared" si="38"/>
        <v>11</v>
      </c>
      <c r="N194">
        <f t="shared" ca="1" si="32"/>
        <v>0.20191146701334975</v>
      </c>
      <c r="O194">
        <v>58.7</v>
      </c>
      <c r="P194">
        <v>10.58</v>
      </c>
      <c r="Q194">
        <v>10.34</v>
      </c>
      <c r="S194">
        <v>12.35</v>
      </c>
      <c r="T194">
        <v>7.38</v>
      </c>
      <c r="W194">
        <f ca="1">X194-A194-AA194</f>
        <v>24.61474860004558</v>
      </c>
      <c r="X194">
        <f t="shared" ca="1" si="33"/>
        <v>49.11474860004558</v>
      </c>
      <c r="Y194">
        <f ca="1">C194/X194*60</f>
        <v>19.546063603369625</v>
      </c>
      <c r="Z194">
        <v>6.16734693877551</v>
      </c>
      <c r="AA194">
        <v>4.5</v>
      </c>
      <c r="AB194">
        <f t="shared" ca="1" si="34"/>
        <v>19</v>
      </c>
      <c r="AC194">
        <f t="shared" ca="1" si="35"/>
        <v>0.54606360336961957</v>
      </c>
      <c r="AD194">
        <f t="shared" ca="1" si="36"/>
        <v>19.546063603369621</v>
      </c>
      <c r="AE194">
        <f ca="1">C194*60/AD194</f>
        <v>49.11474860004558</v>
      </c>
    </row>
    <row r="195" spans="1:31" x14ac:dyDescent="0.45">
      <c r="A195">
        <f t="shared" ca="1" si="30"/>
        <v>22</v>
      </c>
      <c r="B195" s="3">
        <v>4744</v>
      </c>
      <c r="C195">
        <f t="shared" ca="1" si="31"/>
        <v>15.4</v>
      </c>
      <c r="D195">
        <v>34.619999999999997</v>
      </c>
      <c r="E195" s="8">
        <v>0.33</v>
      </c>
      <c r="F195" s="19">
        <f t="shared" si="43"/>
        <v>1.2254636156599066</v>
      </c>
      <c r="G195" s="19">
        <f t="shared" si="39"/>
        <v>3.3827074227921257</v>
      </c>
      <c r="H195" s="19">
        <f t="shared" ca="1" si="40"/>
        <v>3.0303758441747988</v>
      </c>
      <c r="I195" s="19">
        <f t="shared" si="41"/>
        <v>42.508355154749616</v>
      </c>
      <c r="J195" s="8">
        <v>0.33</v>
      </c>
      <c r="K195" s="19">
        <f t="shared" si="42"/>
        <v>111</v>
      </c>
      <c r="L195" s="3">
        <f t="shared" ref="L195:L226" si="44">ROUND(B195/100,0)*100</f>
        <v>4700</v>
      </c>
      <c r="M195" s="3">
        <f t="shared" si="38"/>
        <v>6</v>
      </c>
      <c r="N195">
        <f t="shared" ca="1" si="32"/>
        <v>0.28562493782785836</v>
      </c>
      <c r="O195">
        <v>70.8</v>
      </c>
      <c r="P195">
        <v>5.93</v>
      </c>
      <c r="Q195">
        <v>4.76</v>
      </c>
      <c r="S195">
        <v>12.47</v>
      </c>
      <c r="T195">
        <v>7.37</v>
      </c>
      <c r="W195">
        <f ca="1">X195-A195-AA195</f>
        <v>17.855583755343133</v>
      </c>
      <c r="X195">
        <f t="shared" ca="1" si="33"/>
        <v>44.355583755343133</v>
      </c>
      <c r="Y195">
        <f ca="1">C195/X195*60</f>
        <v>20.831650082582751</v>
      </c>
      <c r="Z195">
        <v>9.3711340206185607</v>
      </c>
      <c r="AA195">
        <v>4.5</v>
      </c>
      <c r="AB195">
        <f t="shared" ca="1" si="34"/>
        <v>20</v>
      </c>
      <c r="AC195">
        <f t="shared" ca="1" si="35"/>
        <v>0.83165008258275597</v>
      </c>
      <c r="AD195">
        <f t="shared" ca="1" si="36"/>
        <v>20.831650082582755</v>
      </c>
      <c r="AE195">
        <f ca="1">C195*60/AD195</f>
        <v>44.355583755343133</v>
      </c>
    </row>
    <row r="196" spans="1:31" x14ac:dyDescent="0.45">
      <c r="A196">
        <f t="shared" ref="A196:A259" ca="1" si="45">RANDBETWEEN(16,22)</f>
        <v>22</v>
      </c>
      <c r="B196" s="3">
        <v>6935</v>
      </c>
      <c r="C196">
        <f t="shared" ref="C196:C259" ca="1" si="46">RANDBETWEEN(145,165)/10</f>
        <v>15.3</v>
      </c>
      <c r="D196">
        <v>32.64</v>
      </c>
      <c r="E196" s="8">
        <v>0.33</v>
      </c>
      <c r="F196" s="19">
        <f t="shared" si="43"/>
        <v>1.2254636156599066</v>
      </c>
      <c r="G196" s="19">
        <f t="shared" si="39"/>
        <v>3.2178385407260253</v>
      </c>
      <c r="H196" s="19">
        <f t="shared" ca="1" si="40"/>
        <v>3.0106980789528857</v>
      </c>
      <c r="I196" s="19">
        <f t="shared" si="41"/>
        <v>40.436551679931924</v>
      </c>
      <c r="J196" s="8">
        <v>0.33</v>
      </c>
      <c r="K196" s="19">
        <f t="shared" si="42"/>
        <v>171</v>
      </c>
      <c r="L196" s="3">
        <f t="shared" si="44"/>
        <v>6900</v>
      </c>
      <c r="M196" s="3">
        <f t="shared" si="38"/>
        <v>13</v>
      </c>
      <c r="N196">
        <f t="shared" ref="N196:N259" si="47">(S196-T196)/W196</f>
        <v>0.12051282051282051</v>
      </c>
      <c r="O196">
        <v>54.3</v>
      </c>
      <c r="P196">
        <v>12.53</v>
      </c>
      <c r="Q196">
        <v>10.71</v>
      </c>
      <c r="S196">
        <v>11.92</v>
      </c>
      <c r="T196">
        <v>7.22</v>
      </c>
      <c r="W196">
        <v>39</v>
      </c>
      <c r="X196">
        <f t="shared" ref="X196:X259" ca="1" si="48">AE196</f>
        <v>47.305567676190137</v>
      </c>
      <c r="Y196">
        <f ca="1">C196/X196*60</f>
        <v>19.405749578649456</v>
      </c>
      <c r="Z196">
        <v>14.676923076923099</v>
      </c>
      <c r="AA196">
        <v>4.5</v>
      </c>
      <c r="AB196">
        <f t="shared" ref="AB196:AB259" ca="1" si="49">RANDBETWEEN(190,200)/10</f>
        <v>19.399999999999999</v>
      </c>
      <c r="AC196">
        <f t="shared" ref="AC196:AC259" ca="1" si="50">RAND()</f>
        <v>5.749578649456244E-3</v>
      </c>
      <c r="AD196">
        <f t="shared" ref="AD196:AD259" ca="1" si="51">AB196+AC196</f>
        <v>19.405749578649456</v>
      </c>
      <c r="AE196">
        <f ca="1">C196*60/AD196</f>
        <v>47.305567676190137</v>
      </c>
    </row>
    <row r="197" spans="1:31" x14ac:dyDescent="0.45">
      <c r="A197">
        <f t="shared" ca="1" si="45"/>
        <v>17</v>
      </c>
      <c r="B197" s="3">
        <v>6760</v>
      </c>
      <c r="C197">
        <f t="shared" ca="1" si="46"/>
        <v>14.8</v>
      </c>
      <c r="D197">
        <v>35.4</v>
      </c>
      <c r="E197" s="8">
        <v>0.33</v>
      </c>
      <c r="F197" s="19">
        <f t="shared" si="43"/>
        <v>1.2254636156599066</v>
      </c>
      <c r="G197" s="19">
        <f t="shared" si="39"/>
        <v>3.4476557702727111</v>
      </c>
      <c r="H197" s="19">
        <f t="shared" ca="1" si="40"/>
        <v>2.9123092528433139</v>
      </c>
      <c r="I197" s="19">
        <f t="shared" si="41"/>
        <v>43.324520159980835</v>
      </c>
      <c r="J197" s="8">
        <v>0.33</v>
      </c>
      <c r="K197" s="19">
        <f t="shared" si="42"/>
        <v>157</v>
      </c>
      <c r="L197" s="3">
        <f t="shared" si="44"/>
        <v>6800</v>
      </c>
      <c r="M197" s="3">
        <f t="shared" ref="M197:M260" si="52">ROUND(P197,0)</f>
        <v>12</v>
      </c>
      <c r="N197">
        <f t="shared" si="47"/>
        <v>0.11808510638297874</v>
      </c>
      <c r="O197">
        <v>52</v>
      </c>
      <c r="P197">
        <v>11.57</v>
      </c>
      <c r="Q197">
        <v>12.83</v>
      </c>
      <c r="S197">
        <v>12.73</v>
      </c>
      <c r="T197">
        <v>7.18</v>
      </c>
      <c r="W197">
        <v>47</v>
      </c>
      <c r="X197">
        <f t="shared" ca="1" si="48"/>
        <v>45.046431015494072</v>
      </c>
      <c r="Y197">
        <f ca="1">C197/X197*60</f>
        <v>19.71299345989398</v>
      </c>
      <c r="Z197">
        <v>15.695652173913</v>
      </c>
      <c r="AA197">
        <v>4.5</v>
      </c>
      <c r="AB197">
        <f t="shared" ca="1" si="49"/>
        <v>19.399999999999999</v>
      </c>
      <c r="AC197">
        <f t="shared" ca="1" si="50"/>
        <v>0.31299345989398075</v>
      </c>
      <c r="AD197">
        <f t="shared" ca="1" si="51"/>
        <v>19.71299345989398</v>
      </c>
      <c r="AE197">
        <f ca="1">C197*60/AD197</f>
        <v>45.046431015494072</v>
      </c>
    </row>
    <row r="198" spans="1:31" x14ac:dyDescent="0.45">
      <c r="A198">
        <f t="shared" ca="1" si="45"/>
        <v>16</v>
      </c>
      <c r="B198" s="3">
        <v>9213</v>
      </c>
      <c r="C198">
        <f t="shared" ca="1" si="46"/>
        <v>15.4</v>
      </c>
      <c r="D198">
        <v>32.25</v>
      </c>
      <c r="E198" s="8">
        <v>0.33</v>
      </c>
      <c r="F198" s="19">
        <f t="shared" si="43"/>
        <v>1.2254636156599066</v>
      </c>
      <c r="G198" s="19">
        <f t="shared" ref="G198:G261" si="53">D198/9.8/F198+0.5</f>
        <v>3.1853643669857323</v>
      </c>
      <c r="H198" s="19">
        <f t="shared" ref="H198:H261" ca="1" si="54">C198/E198/F198/(4*PI())</f>
        <v>3.0303758441747988</v>
      </c>
      <c r="I198" s="19">
        <f t="shared" ref="I198:I261" si="55">G198*4*4/4*PI()</f>
        <v>40.02846917731631</v>
      </c>
      <c r="J198" s="8">
        <v>0.33</v>
      </c>
      <c r="K198" s="19">
        <f t="shared" ref="K198:K261" si="56">ROUND(L198/I198,0)</f>
        <v>230</v>
      </c>
      <c r="L198" s="3">
        <f t="shared" si="44"/>
        <v>9200</v>
      </c>
      <c r="M198" s="3">
        <f t="shared" si="52"/>
        <v>9</v>
      </c>
      <c r="N198">
        <f t="shared" si="47"/>
        <v>0.21080000000000002</v>
      </c>
      <c r="O198">
        <v>55</v>
      </c>
      <c r="P198">
        <v>9.3800000000000008</v>
      </c>
      <c r="Q198">
        <v>9.77</v>
      </c>
      <c r="S198">
        <v>12.57</v>
      </c>
      <c r="T198">
        <v>7.3</v>
      </c>
      <c r="W198">
        <v>25</v>
      </c>
      <c r="X198">
        <f t="shared" ca="1" si="48"/>
        <v>44.727610432668428</v>
      </c>
      <c r="Y198">
        <f ca="1">C198/X198*60</f>
        <v>20.658380607901272</v>
      </c>
      <c r="Z198">
        <v>23.3739130434783</v>
      </c>
      <c r="AA198">
        <v>4.5</v>
      </c>
      <c r="AB198">
        <f t="shared" ca="1" si="49"/>
        <v>19.7</v>
      </c>
      <c r="AC198">
        <f t="shared" ca="1" si="50"/>
        <v>0.958380607901271</v>
      </c>
      <c r="AD198">
        <f t="shared" ca="1" si="51"/>
        <v>20.658380607901272</v>
      </c>
      <c r="AE198">
        <f ca="1">C198*60/AD198</f>
        <v>44.727610432668428</v>
      </c>
    </row>
    <row r="199" spans="1:31" x14ac:dyDescent="0.45">
      <c r="A199">
        <f t="shared" ca="1" si="45"/>
        <v>16</v>
      </c>
      <c r="B199" s="3">
        <v>7382</v>
      </c>
      <c r="C199">
        <f t="shared" ca="1" si="46"/>
        <v>16.2</v>
      </c>
      <c r="D199">
        <v>31.15</v>
      </c>
      <c r="E199" s="8">
        <v>0.33</v>
      </c>
      <c r="F199" s="19">
        <f t="shared" si="43"/>
        <v>1.2254636156599066</v>
      </c>
      <c r="G199" s="19">
        <f t="shared" si="53"/>
        <v>3.0937705436156766</v>
      </c>
      <c r="H199" s="19">
        <f t="shared" ca="1" si="54"/>
        <v>3.1877979659501134</v>
      </c>
      <c r="I199" s="19">
        <f t="shared" si="55"/>
        <v>38.877467246862039</v>
      </c>
      <c r="J199" s="8">
        <v>0.33</v>
      </c>
      <c r="K199" s="19">
        <f t="shared" si="56"/>
        <v>190</v>
      </c>
      <c r="L199" s="3">
        <f t="shared" si="44"/>
        <v>7400</v>
      </c>
      <c r="M199" s="3">
        <f t="shared" si="52"/>
        <v>10</v>
      </c>
      <c r="N199">
        <f t="shared" si="47"/>
        <v>0.10999999999999999</v>
      </c>
      <c r="O199">
        <v>51.4</v>
      </c>
      <c r="P199">
        <v>10.38</v>
      </c>
      <c r="Q199">
        <v>9.2799999999999994</v>
      </c>
      <c r="S199">
        <v>12.51</v>
      </c>
      <c r="T199">
        <v>7.23</v>
      </c>
      <c r="W199">
        <v>48</v>
      </c>
      <c r="X199">
        <f t="shared" ca="1" si="48"/>
        <v>48.58698896246775</v>
      </c>
      <c r="Y199">
        <f ca="1">C199/X199*60</f>
        <v>20.005355770262813</v>
      </c>
      <c r="Z199">
        <v>13.695652173913</v>
      </c>
      <c r="AA199">
        <v>4.5</v>
      </c>
      <c r="AB199">
        <f t="shared" ca="1" si="49"/>
        <v>19.2</v>
      </c>
      <c r="AC199">
        <f t="shared" ca="1" si="50"/>
        <v>0.80535577026281924</v>
      </c>
      <c r="AD199">
        <f t="shared" ca="1" si="51"/>
        <v>20.005355770262817</v>
      </c>
      <c r="AE199">
        <f ca="1">C199*60/AD199</f>
        <v>48.58698896246775</v>
      </c>
    </row>
    <row r="200" spans="1:31" x14ac:dyDescent="0.45">
      <c r="A200">
        <f t="shared" ca="1" si="45"/>
        <v>21</v>
      </c>
      <c r="B200" s="3">
        <v>6423</v>
      </c>
      <c r="C200">
        <f t="shared" ca="1" si="46"/>
        <v>14.6</v>
      </c>
      <c r="D200">
        <v>34.770000000000003</v>
      </c>
      <c r="E200" s="8">
        <v>0.34</v>
      </c>
      <c r="F200" s="19">
        <f t="shared" si="43"/>
        <v>1.2338938632889278</v>
      </c>
      <c r="G200" s="19">
        <f t="shared" si="53"/>
        <v>3.3754168322196132</v>
      </c>
      <c r="H200" s="19">
        <f t="shared" ca="1" si="54"/>
        <v>2.7694037148619768</v>
      </c>
      <c r="I200" s="19">
        <f t="shared" si="55"/>
        <v>42.416738891617875</v>
      </c>
      <c r="J200" s="8">
        <v>0.34</v>
      </c>
      <c r="K200" s="19">
        <f t="shared" si="56"/>
        <v>151</v>
      </c>
      <c r="L200" s="3">
        <f t="shared" si="44"/>
        <v>6400</v>
      </c>
      <c r="M200" s="3">
        <f t="shared" si="52"/>
        <v>6</v>
      </c>
      <c r="N200">
        <f t="shared" ca="1" si="47"/>
        <v>0.30892932404653212</v>
      </c>
      <c r="O200">
        <v>60.1</v>
      </c>
      <c r="P200">
        <v>5.62</v>
      </c>
      <c r="Q200">
        <v>0.14000000000000001</v>
      </c>
      <c r="S200">
        <v>13.02</v>
      </c>
      <c r="T200">
        <v>7.15</v>
      </c>
      <c r="W200">
        <f ca="1">X200-A200-AA200</f>
        <v>19.001109778480718</v>
      </c>
      <c r="X200">
        <f t="shared" ca="1" si="48"/>
        <v>44.501109778480718</v>
      </c>
      <c r="Y200">
        <f ca="1">C200/X200*60</f>
        <v>19.684902339752544</v>
      </c>
      <c r="Z200">
        <v>8.3381443298969096</v>
      </c>
      <c r="AA200">
        <v>4.5</v>
      </c>
      <c r="AB200">
        <f t="shared" ca="1" si="49"/>
        <v>19.2</v>
      </c>
      <c r="AC200">
        <f t="shared" ca="1" si="50"/>
        <v>0.48490233975254649</v>
      </c>
      <c r="AD200">
        <f t="shared" ca="1" si="51"/>
        <v>19.684902339752547</v>
      </c>
      <c r="AE200">
        <f ca="1">C200*60/AD200</f>
        <v>44.501109778480718</v>
      </c>
    </row>
    <row r="201" spans="1:31" x14ac:dyDescent="0.45">
      <c r="A201">
        <f t="shared" ca="1" si="45"/>
        <v>18</v>
      </c>
      <c r="B201" s="3">
        <v>6320</v>
      </c>
      <c r="C201">
        <f t="shared" ca="1" si="46"/>
        <v>15.8</v>
      </c>
      <c r="D201">
        <v>35.56</v>
      </c>
      <c r="E201" s="8">
        <v>0.34</v>
      </c>
      <c r="F201" s="19">
        <f t="shared" si="43"/>
        <v>1.2338938632889278</v>
      </c>
      <c r="G201" s="19">
        <f t="shared" si="53"/>
        <v>3.4407484197218707</v>
      </c>
      <c r="H201" s="19">
        <f t="shared" ca="1" si="54"/>
        <v>2.9970259380013178</v>
      </c>
      <c r="I201" s="19">
        <f t="shared" si="55"/>
        <v>43.23771983299568</v>
      </c>
      <c r="J201" s="8">
        <v>0.34</v>
      </c>
      <c r="K201" s="19">
        <f t="shared" si="56"/>
        <v>146</v>
      </c>
      <c r="L201" s="3">
        <f t="shared" si="44"/>
        <v>6300</v>
      </c>
      <c r="M201" s="3">
        <f t="shared" si="52"/>
        <v>7</v>
      </c>
      <c r="N201">
        <f t="shared" ca="1" si="47"/>
        <v>0.1942885691037691</v>
      </c>
      <c r="O201">
        <v>60.2</v>
      </c>
      <c r="P201">
        <v>7.32</v>
      </c>
      <c r="Q201">
        <v>9.07</v>
      </c>
      <c r="S201">
        <v>12.6</v>
      </c>
      <c r="T201">
        <v>7.42</v>
      </c>
      <c r="W201">
        <f ca="1">X201-A201-AA201</f>
        <v>26.661372945895614</v>
      </c>
      <c r="X201">
        <f t="shared" ca="1" si="48"/>
        <v>49.161372945895614</v>
      </c>
      <c r="Y201">
        <f ca="1">C201/X201*60</f>
        <v>19.283432158074962</v>
      </c>
      <c r="Z201">
        <v>8.5749999999999993</v>
      </c>
      <c r="AA201">
        <v>4.5</v>
      </c>
      <c r="AB201">
        <f t="shared" ca="1" si="49"/>
        <v>19.2</v>
      </c>
      <c r="AC201">
        <f t="shared" ca="1" si="50"/>
        <v>8.3432158074962071E-2</v>
      </c>
      <c r="AD201">
        <f t="shared" ca="1" si="51"/>
        <v>19.283432158074962</v>
      </c>
      <c r="AE201">
        <f ca="1">C201*60/AD201</f>
        <v>49.161372945895614</v>
      </c>
    </row>
    <row r="202" spans="1:31" x14ac:dyDescent="0.45">
      <c r="A202">
        <f t="shared" ca="1" si="45"/>
        <v>21</v>
      </c>
      <c r="B202" s="3">
        <v>6521</v>
      </c>
      <c r="C202">
        <f t="shared" ca="1" si="46"/>
        <v>14.7</v>
      </c>
      <c r="D202">
        <v>39.69</v>
      </c>
      <c r="E202" s="8">
        <v>0.34</v>
      </c>
      <c r="F202" s="19">
        <f t="shared" si="43"/>
        <v>1.2338938632889278</v>
      </c>
      <c r="G202" s="19">
        <f t="shared" si="53"/>
        <v>3.7822920353982297</v>
      </c>
      <c r="H202" s="19">
        <f t="shared" ca="1" si="54"/>
        <v>2.7883722334569212</v>
      </c>
      <c r="I202" s="19">
        <f t="shared" si="55"/>
        <v>47.529683488553054</v>
      </c>
      <c r="J202" s="8">
        <v>0.34</v>
      </c>
      <c r="K202" s="19">
        <f t="shared" si="56"/>
        <v>137</v>
      </c>
      <c r="L202" s="3">
        <f t="shared" si="44"/>
        <v>6500</v>
      </c>
      <c r="M202" s="3">
        <f t="shared" si="52"/>
        <v>12</v>
      </c>
      <c r="N202">
        <f t="shared" ca="1" si="47"/>
        <v>0.32335256728232631</v>
      </c>
      <c r="O202">
        <v>58.3</v>
      </c>
      <c r="P202">
        <v>11.93</v>
      </c>
      <c r="Q202">
        <v>7.6</v>
      </c>
      <c r="S202">
        <v>12.58</v>
      </c>
      <c r="T202">
        <v>7.16</v>
      </c>
      <c r="W202">
        <f ca="1">X202-A202-AA202</f>
        <v>16.761889492801451</v>
      </c>
      <c r="X202">
        <f t="shared" ca="1" si="48"/>
        <v>42.261889492801451</v>
      </c>
      <c r="Y202">
        <f ca="1">C202/X202*60</f>
        <v>20.869866695151732</v>
      </c>
      <c r="Z202">
        <v>11.842499999999999</v>
      </c>
      <c r="AA202">
        <v>4.5</v>
      </c>
      <c r="AB202">
        <f t="shared" ca="1" si="49"/>
        <v>20</v>
      </c>
      <c r="AC202">
        <f t="shared" ca="1" si="50"/>
        <v>0.86986669515173498</v>
      </c>
      <c r="AD202">
        <f t="shared" ca="1" si="51"/>
        <v>20.869866695151735</v>
      </c>
      <c r="AE202">
        <f ca="1">C202*60/AD202</f>
        <v>42.261889492801451</v>
      </c>
    </row>
    <row r="203" spans="1:31" x14ac:dyDescent="0.45">
      <c r="A203">
        <f t="shared" ca="1" si="45"/>
        <v>21</v>
      </c>
      <c r="B203" s="3">
        <v>6584</v>
      </c>
      <c r="C203">
        <f t="shared" ca="1" si="46"/>
        <v>14.6</v>
      </c>
      <c r="D203">
        <v>39.25</v>
      </c>
      <c r="E203" s="8">
        <v>0.34</v>
      </c>
      <c r="F203" s="19">
        <f t="shared" si="43"/>
        <v>1.2338938632889278</v>
      </c>
      <c r="G203" s="19">
        <f t="shared" si="53"/>
        <v>3.7459048221058331</v>
      </c>
      <c r="H203" s="19">
        <f t="shared" ca="1" si="54"/>
        <v>2.7694037148619768</v>
      </c>
      <c r="I203" s="19">
        <f t="shared" si="55"/>
        <v>47.072428280697068</v>
      </c>
      <c r="J203" s="8">
        <v>0.34</v>
      </c>
      <c r="K203" s="19">
        <f t="shared" si="56"/>
        <v>140</v>
      </c>
      <c r="L203" s="3">
        <f t="shared" si="44"/>
        <v>6600</v>
      </c>
      <c r="M203" s="3">
        <f t="shared" si="52"/>
        <v>5</v>
      </c>
      <c r="N203">
        <f t="shared" ca="1" si="47"/>
        <v>0.27601244693304972</v>
      </c>
      <c r="O203">
        <v>60.2</v>
      </c>
      <c r="P203">
        <v>5.08</v>
      </c>
      <c r="Q203">
        <v>4.78</v>
      </c>
      <c r="S203">
        <v>12.5</v>
      </c>
      <c r="T203">
        <v>7.35</v>
      </c>
      <c r="W203">
        <f ca="1">X203-A203-AA203</f>
        <v>18.658578833037907</v>
      </c>
      <c r="X203">
        <f t="shared" ca="1" si="48"/>
        <v>44.158578833037907</v>
      </c>
      <c r="Y203">
        <f ca="1">C203/X203*60</f>
        <v>19.837594939640752</v>
      </c>
      <c r="Z203">
        <v>12.530232558139501</v>
      </c>
      <c r="AA203">
        <v>4.5</v>
      </c>
      <c r="AB203">
        <f t="shared" ca="1" si="49"/>
        <v>19.5</v>
      </c>
      <c r="AC203">
        <f t="shared" ca="1" si="50"/>
        <v>0.3375949396407526</v>
      </c>
      <c r="AD203">
        <f t="shared" ca="1" si="51"/>
        <v>19.837594939640752</v>
      </c>
      <c r="AE203">
        <f ca="1">C203*60/AD203</f>
        <v>44.158578833037907</v>
      </c>
    </row>
    <row r="204" spans="1:31" x14ac:dyDescent="0.45">
      <c r="A204">
        <f t="shared" ca="1" si="45"/>
        <v>16</v>
      </c>
      <c r="B204" s="3">
        <v>6521</v>
      </c>
      <c r="C204">
        <f t="shared" ca="1" si="46"/>
        <v>14.8</v>
      </c>
      <c r="D204">
        <v>43.72</v>
      </c>
      <c r="E204" s="8">
        <v>0.34</v>
      </c>
      <c r="F204" s="19">
        <f t="shared" si="43"/>
        <v>1.2338938632889278</v>
      </c>
      <c r="G204" s="19">
        <f t="shared" si="53"/>
        <v>4.1155658298717714</v>
      </c>
      <c r="H204" s="19">
        <f t="shared" ca="1" si="54"/>
        <v>2.8073407520518674</v>
      </c>
      <c r="I204" s="19">
        <f t="shared" si="55"/>
        <v>51.717725505961347</v>
      </c>
      <c r="J204" s="8">
        <v>0.34</v>
      </c>
      <c r="K204" s="19">
        <f t="shared" si="56"/>
        <v>126</v>
      </c>
      <c r="L204" s="3">
        <f t="shared" si="44"/>
        <v>6500</v>
      </c>
      <c r="M204" s="3">
        <f t="shared" si="52"/>
        <v>0</v>
      </c>
      <c r="N204">
        <f t="shared" ca="1" si="47"/>
        <v>0.22779893097053769</v>
      </c>
      <c r="O204">
        <v>62.5</v>
      </c>
      <c r="P204">
        <v>0.01</v>
      </c>
      <c r="Q204">
        <v>0.08</v>
      </c>
      <c r="S204">
        <v>12.46</v>
      </c>
      <c r="T204">
        <v>7.43</v>
      </c>
      <c r="W204">
        <f ca="1">X204-A204-AA204</f>
        <v>22.080876229619157</v>
      </c>
      <c r="X204">
        <f t="shared" ca="1" si="48"/>
        <v>42.580876229619157</v>
      </c>
      <c r="Y204">
        <f ca="1">C204/X204*60</f>
        <v>20.854432285785357</v>
      </c>
      <c r="Z204">
        <v>8.4149999999999991</v>
      </c>
      <c r="AA204">
        <v>4.5</v>
      </c>
      <c r="AB204">
        <f t="shared" ca="1" si="49"/>
        <v>19.899999999999999</v>
      </c>
      <c r="AC204">
        <f t="shared" ca="1" si="50"/>
        <v>0.95443228578535855</v>
      </c>
      <c r="AD204">
        <f t="shared" ca="1" si="51"/>
        <v>20.854432285785357</v>
      </c>
      <c r="AE204">
        <f ca="1">C204*60/AD204</f>
        <v>42.580876229619157</v>
      </c>
    </row>
    <row r="205" spans="1:31" x14ac:dyDescent="0.45">
      <c r="A205">
        <f t="shared" ca="1" si="45"/>
        <v>19</v>
      </c>
      <c r="B205" s="3">
        <v>6512</v>
      </c>
      <c r="C205">
        <f t="shared" ca="1" si="46"/>
        <v>16.3</v>
      </c>
      <c r="D205">
        <v>40.549999999999997</v>
      </c>
      <c r="E205" s="8">
        <v>0.34</v>
      </c>
      <c r="F205" s="19">
        <f t="shared" si="43"/>
        <v>1.2338938632889278</v>
      </c>
      <c r="G205" s="19">
        <f t="shared" si="53"/>
        <v>3.8534124977424593</v>
      </c>
      <c r="H205" s="19">
        <f t="shared" ca="1" si="54"/>
        <v>3.0918685309760421</v>
      </c>
      <c r="I205" s="19">
        <f t="shared" si="55"/>
        <v>48.423409576635223</v>
      </c>
      <c r="J205" s="8">
        <v>0.34</v>
      </c>
      <c r="K205" s="19">
        <f t="shared" si="56"/>
        <v>134</v>
      </c>
      <c r="L205" s="3">
        <f t="shared" si="44"/>
        <v>6500</v>
      </c>
      <c r="M205" s="3">
        <f t="shared" si="52"/>
        <v>9</v>
      </c>
      <c r="N205">
        <f t="shared" ca="1" si="47"/>
        <v>0.2044712847574163</v>
      </c>
      <c r="O205">
        <v>61.5</v>
      </c>
      <c r="P205">
        <v>8.91</v>
      </c>
      <c r="Q205">
        <v>9.11</v>
      </c>
      <c r="S205">
        <v>12.56</v>
      </c>
      <c r="T205">
        <v>7.41</v>
      </c>
      <c r="W205">
        <f ca="1">X205-A205-AA205</f>
        <v>25.18691074939904</v>
      </c>
      <c r="X205">
        <f t="shared" ca="1" si="48"/>
        <v>48.68691074939904</v>
      </c>
      <c r="Y205">
        <f ca="1">C205/X205*60</f>
        <v>20.08753451279658</v>
      </c>
      <c r="Z205">
        <v>9.48</v>
      </c>
      <c r="AA205">
        <v>4.5</v>
      </c>
      <c r="AB205">
        <f t="shared" ca="1" si="49"/>
        <v>19.100000000000001</v>
      </c>
      <c r="AC205">
        <f t="shared" ca="1" si="50"/>
        <v>0.98753451279658011</v>
      </c>
      <c r="AD205">
        <f t="shared" ca="1" si="51"/>
        <v>20.08753451279658</v>
      </c>
      <c r="AE205">
        <f ca="1">C205*60/AD205</f>
        <v>48.68691074939904</v>
      </c>
    </row>
    <row r="206" spans="1:31" x14ac:dyDescent="0.45">
      <c r="A206">
        <f t="shared" ca="1" si="45"/>
        <v>17</v>
      </c>
      <c r="B206" s="3">
        <v>6541</v>
      </c>
      <c r="C206">
        <f t="shared" ca="1" si="46"/>
        <v>16.399999999999999</v>
      </c>
      <c r="D206">
        <v>29.54</v>
      </c>
      <c r="E206" s="8">
        <v>0.34</v>
      </c>
      <c r="F206" s="19">
        <f t="shared" si="43"/>
        <v>1.2338938632889278</v>
      </c>
      <c r="G206" s="19">
        <f t="shared" si="53"/>
        <v>2.9429051833122624</v>
      </c>
      <c r="H206" s="19">
        <f t="shared" ca="1" si="54"/>
        <v>3.1108370495709869</v>
      </c>
      <c r="I206" s="19">
        <f t="shared" si="55"/>
        <v>36.981637216420509</v>
      </c>
      <c r="J206" s="8">
        <v>0.34</v>
      </c>
      <c r="K206" s="19">
        <f t="shared" si="56"/>
        <v>176</v>
      </c>
      <c r="L206" s="3">
        <f t="shared" si="44"/>
        <v>6500</v>
      </c>
      <c r="M206" s="3">
        <f t="shared" si="52"/>
        <v>12</v>
      </c>
      <c r="N206">
        <f t="shared" ca="1" si="47"/>
        <v>0.19274738103373509</v>
      </c>
      <c r="O206">
        <v>52.1</v>
      </c>
      <c r="P206">
        <v>11.93</v>
      </c>
      <c r="Q206">
        <v>7.82</v>
      </c>
      <c r="S206">
        <v>12.87</v>
      </c>
      <c r="T206">
        <v>7.38</v>
      </c>
      <c r="W206">
        <f ca="1">X206-A206-AA206</f>
        <v>28.482877279868859</v>
      </c>
      <c r="X206">
        <f t="shared" ca="1" si="48"/>
        <v>49.982877279868859</v>
      </c>
      <c r="Y206">
        <f ca="1">C206/X206*60</f>
        <v>19.686741811406613</v>
      </c>
      <c r="Z206">
        <v>14.803125</v>
      </c>
      <c r="AA206">
        <v>4.5</v>
      </c>
      <c r="AB206">
        <f t="shared" ca="1" si="49"/>
        <v>19</v>
      </c>
      <c r="AC206">
        <f t="shared" ca="1" si="50"/>
        <v>0.68674181140661439</v>
      </c>
      <c r="AD206">
        <f t="shared" ca="1" si="51"/>
        <v>19.686741811406613</v>
      </c>
      <c r="AE206">
        <f ca="1">C206*60/AD206</f>
        <v>49.982877279868859</v>
      </c>
    </row>
    <row r="207" spans="1:31" x14ac:dyDescent="0.45">
      <c r="A207">
        <f t="shared" ca="1" si="45"/>
        <v>20</v>
      </c>
      <c r="B207" s="3">
        <v>6582</v>
      </c>
      <c r="C207">
        <f t="shared" ca="1" si="46"/>
        <v>15.8</v>
      </c>
      <c r="D207">
        <v>36.21</v>
      </c>
      <c r="E207" s="8">
        <v>0.34</v>
      </c>
      <c r="F207" s="19">
        <f t="shared" si="43"/>
        <v>1.2338938632889278</v>
      </c>
      <c r="G207" s="19">
        <f t="shared" si="53"/>
        <v>3.4945022575401841</v>
      </c>
      <c r="H207" s="19">
        <f t="shared" ca="1" si="54"/>
        <v>2.9970259380013178</v>
      </c>
      <c r="I207" s="19">
        <f t="shared" si="55"/>
        <v>43.913210480964757</v>
      </c>
      <c r="J207" s="8">
        <v>0.34</v>
      </c>
      <c r="K207" s="19">
        <f t="shared" si="56"/>
        <v>150</v>
      </c>
      <c r="L207" s="3">
        <f t="shared" si="44"/>
        <v>6600</v>
      </c>
      <c r="M207" s="3">
        <f t="shared" si="52"/>
        <v>4</v>
      </c>
      <c r="N207">
        <f t="shared" ca="1" si="47"/>
        <v>0.24974354652526248</v>
      </c>
      <c r="O207">
        <v>58.24</v>
      </c>
      <c r="P207">
        <v>4.1399999999999997</v>
      </c>
      <c r="Q207">
        <v>12.61</v>
      </c>
      <c r="S207">
        <v>12.83</v>
      </c>
      <c r="T207">
        <v>7.2</v>
      </c>
      <c r="W207">
        <f ca="1">X207-A207-AA207</f>
        <v>22.543125051003088</v>
      </c>
      <c r="X207">
        <f t="shared" ca="1" si="48"/>
        <v>47.043125051003088</v>
      </c>
      <c r="Y207">
        <f ca="1">C207/X207*60</f>
        <v>20.151722466825916</v>
      </c>
      <c r="Z207">
        <v>12</v>
      </c>
      <c r="AA207">
        <v>4.5</v>
      </c>
      <c r="AB207">
        <f t="shared" ca="1" si="49"/>
        <v>19.899999999999999</v>
      </c>
      <c r="AC207">
        <f t="shared" ca="1" si="50"/>
        <v>0.25172246682591781</v>
      </c>
      <c r="AD207">
        <f t="shared" ca="1" si="51"/>
        <v>20.151722466825916</v>
      </c>
      <c r="AE207">
        <f ca="1">C207*60/AD207</f>
        <v>47.043125051003088</v>
      </c>
    </row>
    <row r="208" spans="1:31" x14ac:dyDescent="0.45">
      <c r="A208">
        <f t="shared" ca="1" si="45"/>
        <v>22</v>
      </c>
      <c r="B208" s="3">
        <v>6458</v>
      </c>
      <c r="C208">
        <f t="shared" ca="1" si="46"/>
        <v>15.3</v>
      </c>
      <c r="D208">
        <v>38.520000000000003</v>
      </c>
      <c r="E208" s="8">
        <v>0.34</v>
      </c>
      <c r="F208" s="19">
        <f t="shared" si="43"/>
        <v>1.2338938632889278</v>
      </c>
      <c r="G208" s="19">
        <f t="shared" si="53"/>
        <v>3.6855351273252661</v>
      </c>
      <c r="H208" s="19">
        <f t="shared" ca="1" si="54"/>
        <v>2.9021833450265926</v>
      </c>
      <c r="I208" s="19">
        <f t="shared" si="55"/>
        <v>46.313800322208714</v>
      </c>
      <c r="J208" s="8">
        <v>0.34</v>
      </c>
      <c r="K208" s="19">
        <f t="shared" si="56"/>
        <v>140</v>
      </c>
      <c r="L208" s="3">
        <f t="shared" si="44"/>
        <v>6500</v>
      </c>
      <c r="M208" s="3">
        <f t="shared" si="52"/>
        <v>11</v>
      </c>
      <c r="N208">
        <f t="shared" ca="1" si="47"/>
        <v>0.24318320806931107</v>
      </c>
      <c r="O208">
        <v>54.9</v>
      </c>
      <c r="P208">
        <v>11.45</v>
      </c>
      <c r="Q208">
        <v>8.56</v>
      </c>
      <c r="S208">
        <v>12.18</v>
      </c>
      <c r="T208">
        <v>7.24</v>
      </c>
      <c r="W208">
        <f ca="1">X208-A208-AA208</f>
        <v>20.313902588997927</v>
      </c>
      <c r="X208">
        <f t="shared" ca="1" si="48"/>
        <v>46.813902588997927</v>
      </c>
      <c r="Y208">
        <f ca="1">C208/X208*60</f>
        <v>19.609559323852352</v>
      </c>
      <c r="Z208">
        <v>11.124705882352901</v>
      </c>
      <c r="AA208">
        <v>4.5</v>
      </c>
      <c r="AB208">
        <f t="shared" ca="1" si="49"/>
        <v>19</v>
      </c>
      <c r="AC208">
        <f t="shared" ca="1" si="50"/>
        <v>0.60955932385235245</v>
      </c>
      <c r="AD208">
        <f t="shared" ca="1" si="51"/>
        <v>19.609559323852352</v>
      </c>
      <c r="AE208">
        <f ca="1">C208*60/AD208</f>
        <v>46.813902588997927</v>
      </c>
    </row>
    <row r="209" spans="1:31" x14ac:dyDescent="0.45">
      <c r="A209">
        <f t="shared" ca="1" si="45"/>
        <v>21</v>
      </c>
      <c r="B209" s="3">
        <v>6423</v>
      </c>
      <c r="C209">
        <f t="shared" ca="1" si="46"/>
        <v>16.5</v>
      </c>
      <c r="D209">
        <v>34.01</v>
      </c>
      <c r="E209" s="8">
        <v>0.34</v>
      </c>
      <c r="F209" s="19">
        <f t="shared" si="43"/>
        <v>1.2338938632889278</v>
      </c>
      <c r="G209" s="19">
        <f t="shared" si="53"/>
        <v>3.3125661910782007</v>
      </c>
      <c r="H209" s="19">
        <f t="shared" ca="1" si="54"/>
        <v>3.1298055681659323</v>
      </c>
      <c r="I209" s="19">
        <f t="shared" si="55"/>
        <v>41.626934441684796</v>
      </c>
      <c r="J209" s="8">
        <v>0.34</v>
      </c>
      <c r="K209" s="19">
        <f t="shared" si="56"/>
        <v>154</v>
      </c>
      <c r="L209" s="3">
        <f t="shared" si="44"/>
        <v>6400</v>
      </c>
      <c r="M209" s="3">
        <f t="shared" si="52"/>
        <v>4</v>
      </c>
      <c r="N209">
        <f t="shared" ca="1" si="47"/>
        <v>0.23767209456778349</v>
      </c>
      <c r="O209">
        <v>64.28</v>
      </c>
      <c r="P209">
        <v>3.98</v>
      </c>
      <c r="Q209">
        <v>5.88</v>
      </c>
      <c r="S209">
        <v>12.94</v>
      </c>
      <c r="T209">
        <v>7.45</v>
      </c>
      <c r="W209">
        <f ca="1">X209-A209-AA209</f>
        <v>23.099051699711701</v>
      </c>
      <c r="X209">
        <f t="shared" ca="1" si="48"/>
        <v>48.599051699711701</v>
      </c>
      <c r="Y209">
        <f ca="1">C209/X209*60</f>
        <v>20.370767851955286</v>
      </c>
      <c r="Z209">
        <v>11.0093023255814</v>
      </c>
      <c r="AA209">
        <v>4.5</v>
      </c>
      <c r="AB209">
        <f t="shared" ca="1" si="49"/>
        <v>19.5</v>
      </c>
      <c r="AC209">
        <f t="shared" ca="1" si="50"/>
        <v>0.87076785195528561</v>
      </c>
      <c r="AD209">
        <f t="shared" ca="1" si="51"/>
        <v>20.370767851955286</v>
      </c>
      <c r="AE209">
        <f ca="1">C209*60/AD209</f>
        <v>48.599051699711701</v>
      </c>
    </row>
    <row r="210" spans="1:31" x14ac:dyDescent="0.45">
      <c r="A210">
        <f t="shared" ca="1" si="45"/>
        <v>22</v>
      </c>
      <c r="B210" s="3">
        <v>6523</v>
      </c>
      <c r="C210">
        <f t="shared" ca="1" si="46"/>
        <v>16.2</v>
      </c>
      <c r="D210">
        <v>28.89</v>
      </c>
      <c r="E210" s="8">
        <v>0.34</v>
      </c>
      <c r="F210" s="19">
        <f t="shared" ref="F210:F273" si="57">1/(E210/2.26+1-E210)</f>
        <v>1.2338938632889278</v>
      </c>
      <c r="G210" s="19">
        <f t="shared" si="53"/>
        <v>2.8891513454939495</v>
      </c>
      <c r="H210" s="19">
        <f t="shared" ca="1" si="54"/>
        <v>3.0729000123810972</v>
      </c>
      <c r="I210" s="19">
        <f t="shared" si="55"/>
        <v>36.306146568451432</v>
      </c>
      <c r="J210" s="8">
        <v>0.34</v>
      </c>
      <c r="K210" s="19">
        <f t="shared" si="56"/>
        <v>179</v>
      </c>
      <c r="L210" s="3">
        <f t="shared" si="44"/>
        <v>6500</v>
      </c>
      <c r="M210" s="3">
        <f t="shared" si="52"/>
        <v>7</v>
      </c>
      <c r="N210">
        <f t="shared" ca="1" si="47"/>
        <v>0.24182476449635984</v>
      </c>
      <c r="O210">
        <v>63.74</v>
      </c>
      <c r="P210">
        <v>7.17</v>
      </c>
      <c r="Q210">
        <v>7.38</v>
      </c>
      <c r="S210">
        <v>12.66</v>
      </c>
      <c r="T210">
        <v>7.4</v>
      </c>
      <c r="W210">
        <f ca="1">X210-A210-AA210</f>
        <v>21.751287594365373</v>
      </c>
      <c r="X210">
        <f t="shared" ca="1" si="48"/>
        <v>48.251287594365373</v>
      </c>
      <c r="Y210">
        <f ca="1">C210/X210*60</f>
        <v>20.144540145152664</v>
      </c>
      <c r="Z210">
        <v>13.233333333333301</v>
      </c>
      <c r="AA210">
        <v>4.5</v>
      </c>
      <c r="AB210">
        <f t="shared" ca="1" si="49"/>
        <v>19.2</v>
      </c>
      <c r="AC210">
        <f t="shared" ca="1" si="50"/>
        <v>0.9445401451526666</v>
      </c>
      <c r="AD210">
        <f t="shared" ca="1" si="51"/>
        <v>20.144540145152664</v>
      </c>
      <c r="AE210">
        <f ca="1">C210*60/AD210</f>
        <v>48.251287594365373</v>
      </c>
    </row>
    <row r="211" spans="1:31" x14ac:dyDescent="0.45">
      <c r="A211">
        <f t="shared" ca="1" si="45"/>
        <v>19</v>
      </c>
      <c r="B211" s="3">
        <v>6521</v>
      </c>
      <c r="C211">
        <f t="shared" ca="1" si="46"/>
        <v>14.5</v>
      </c>
      <c r="D211">
        <v>40.729999999999997</v>
      </c>
      <c r="E211" s="8">
        <v>0.34</v>
      </c>
      <c r="F211" s="19">
        <f t="shared" si="57"/>
        <v>1.2338938632889278</v>
      </c>
      <c r="G211" s="19">
        <f t="shared" si="53"/>
        <v>3.8682981759075306</v>
      </c>
      <c r="H211" s="19">
        <f t="shared" ca="1" si="54"/>
        <v>2.750435196267031</v>
      </c>
      <c r="I211" s="19">
        <f t="shared" si="55"/>
        <v>48.610468525303581</v>
      </c>
      <c r="J211" s="8">
        <v>0.34</v>
      </c>
      <c r="K211" s="19">
        <f t="shared" si="56"/>
        <v>134</v>
      </c>
      <c r="L211" s="3">
        <f t="shared" si="44"/>
        <v>6500</v>
      </c>
      <c r="M211" s="3">
        <f t="shared" si="52"/>
        <v>14</v>
      </c>
      <c r="N211">
        <f t="shared" ca="1" si="47"/>
        <v>0.27579033792430463</v>
      </c>
      <c r="O211">
        <v>60.58</v>
      </c>
      <c r="P211">
        <v>13.66</v>
      </c>
      <c r="Q211">
        <v>12.73</v>
      </c>
      <c r="S211">
        <v>12.73</v>
      </c>
      <c r="T211">
        <v>7.4</v>
      </c>
      <c r="W211">
        <f ca="1">X211-A211-AA211</f>
        <v>19.326275315210317</v>
      </c>
      <c r="X211">
        <f t="shared" ca="1" si="48"/>
        <v>42.826275315210317</v>
      </c>
      <c r="Y211">
        <f ca="1">C211/X211*60</f>
        <v>20.314631463899641</v>
      </c>
      <c r="Z211">
        <v>12.420779220779201</v>
      </c>
      <c r="AA211">
        <v>4.5</v>
      </c>
      <c r="AB211">
        <f t="shared" ca="1" si="49"/>
        <v>19.8</v>
      </c>
      <c r="AC211">
        <f t="shared" ca="1" si="50"/>
        <v>0.5146314638996411</v>
      </c>
      <c r="AD211">
        <f t="shared" ca="1" si="51"/>
        <v>20.314631463899641</v>
      </c>
      <c r="AE211">
        <f ca="1">C211*60/AD211</f>
        <v>42.826275315210317</v>
      </c>
    </row>
    <row r="212" spans="1:31" x14ac:dyDescent="0.45">
      <c r="A212">
        <f t="shared" ca="1" si="45"/>
        <v>17</v>
      </c>
      <c r="B212" s="3">
        <v>6542</v>
      </c>
      <c r="C212">
        <f t="shared" ca="1" si="46"/>
        <v>14.6</v>
      </c>
      <c r="D212">
        <v>39.96</v>
      </c>
      <c r="E212" s="8">
        <v>0.34</v>
      </c>
      <c r="F212" s="19">
        <f t="shared" si="57"/>
        <v>1.2338938632889278</v>
      </c>
      <c r="G212" s="19">
        <f t="shared" si="53"/>
        <v>3.8046205526458365</v>
      </c>
      <c r="H212" s="19">
        <f t="shared" ca="1" si="54"/>
        <v>2.7694037148619768</v>
      </c>
      <c r="I212" s="19">
        <f t="shared" si="55"/>
        <v>47.810271911555596</v>
      </c>
      <c r="J212" s="8">
        <v>0.34</v>
      </c>
      <c r="K212" s="19">
        <f t="shared" si="56"/>
        <v>136</v>
      </c>
      <c r="L212" s="3">
        <f t="shared" si="44"/>
        <v>6500</v>
      </c>
      <c r="M212" s="3">
        <f t="shared" si="52"/>
        <v>14</v>
      </c>
      <c r="N212">
        <f t="shared" ca="1" si="47"/>
        <v>0.26212244755631792</v>
      </c>
      <c r="O212">
        <v>53.2</v>
      </c>
      <c r="P212">
        <v>14.3</v>
      </c>
      <c r="Q212">
        <v>12.2</v>
      </c>
      <c r="S212">
        <v>12.82</v>
      </c>
      <c r="T212">
        <v>7.05</v>
      </c>
      <c r="W212">
        <f ca="1">X212-A212-AA212</f>
        <v>22.012613012703902</v>
      </c>
      <c r="X212">
        <f t="shared" ca="1" si="48"/>
        <v>43.512613012703902</v>
      </c>
      <c r="Y212">
        <f ca="1">C212/X212*60</f>
        <v>20.132093647059161</v>
      </c>
      <c r="Z212">
        <v>10.4571428571429</v>
      </c>
      <c r="AA212">
        <v>4.5</v>
      </c>
      <c r="AB212">
        <f t="shared" ca="1" si="49"/>
        <v>19.7</v>
      </c>
      <c r="AC212">
        <f t="shared" ca="1" si="50"/>
        <v>0.43209364705916253</v>
      </c>
      <c r="AD212">
        <f t="shared" ca="1" si="51"/>
        <v>20.132093647059161</v>
      </c>
      <c r="AE212">
        <f ca="1">C212*60/AD212</f>
        <v>43.512613012703902</v>
      </c>
    </row>
    <row r="213" spans="1:31" x14ac:dyDescent="0.45">
      <c r="A213">
        <f t="shared" ca="1" si="45"/>
        <v>16</v>
      </c>
      <c r="B213" s="3">
        <v>6722</v>
      </c>
      <c r="C213">
        <f t="shared" ca="1" si="46"/>
        <v>15.5</v>
      </c>
      <c r="D213">
        <v>42</v>
      </c>
      <c r="E213" s="8">
        <v>0.34</v>
      </c>
      <c r="F213" s="19">
        <f t="shared" si="57"/>
        <v>1.2338938632889278</v>
      </c>
      <c r="G213" s="19">
        <f t="shared" si="53"/>
        <v>3.9733249051833117</v>
      </c>
      <c r="H213" s="19">
        <f t="shared" ca="1" si="54"/>
        <v>2.9401203822164819</v>
      </c>
      <c r="I213" s="19">
        <f t="shared" si="55"/>
        <v>49.930273329797011</v>
      </c>
      <c r="J213" s="8">
        <v>0.34</v>
      </c>
      <c r="K213" s="19">
        <f t="shared" si="56"/>
        <v>134</v>
      </c>
      <c r="L213" s="3">
        <f t="shared" si="44"/>
        <v>6700</v>
      </c>
      <c r="M213" s="3">
        <f t="shared" si="52"/>
        <v>6</v>
      </c>
      <c r="N213">
        <f t="shared" ca="1" si="47"/>
        <v>0.22174891235824842</v>
      </c>
      <c r="O213">
        <v>53.3</v>
      </c>
      <c r="P213">
        <v>6.27</v>
      </c>
      <c r="Q213">
        <v>10.09</v>
      </c>
      <c r="S213">
        <v>12.85</v>
      </c>
      <c r="T213">
        <v>7.35</v>
      </c>
      <c r="W213">
        <f ca="1">X213-A213-AA213</f>
        <v>24.802827402889022</v>
      </c>
      <c r="X213">
        <f t="shared" ca="1" si="48"/>
        <v>45.302827402889022</v>
      </c>
      <c r="Y213">
        <f ca="1">C213/X213*60</f>
        <v>20.528520035389505</v>
      </c>
      <c r="Z213">
        <v>13.2083333333333</v>
      </c>
      <c r="AA213">
        <v>4.5</v>
      </c>
      <c r="AB213">
        <f t="shared" ca="1" si="49"/>
        <v>19.600000000000001</v>
      </c>
      <c r="AC213">
        <f t="shared" ca="1" si="50"/>
        <v>0.92852003538950212</v>
      </c>
      <c r="AD213">
        <f t="shared" ca="1" si="51"/>
        <v>20.528520035389505</v>
      </c>
      <c r="AE213">
        <f ca="1">C213*60/AD213</f>
        <v>45.302827402889022</v>
      </c>
    </row>
    <row r="214" spans="1:31" x14ac:dyDescent="0.45">
      <c r="A214">
        <f t="shared" ca="1" si="45"/>
        <v>19</v>
      </c>
      <c r="B214" s="3">
        <v>6385</v>
      </c>
      <c r="C214">
        <f t="shared" ca="1" si="46"/>
        <v>15.3</v>
      </c>
      <c r="D214">
        <v>41.31</v>
      </c>
      <c r="E214" s="8">
        <v>0.34</v>
      </c>
      <c r="F214" s="19">
        <f t="shared" si="57"/>
        <v>1.2338938632889278</v>
      </c>
      <c r="G214" s="19">
        <f t="shared" si="53"/>
        <v>3.9162631388838722</v>
      </c>
      <c r="H214" s="19">
        <f t="shared" ca="1" si="54"/>
        <v>2.9021833450265926</v>
      </c>
      <c r="I214" s="19">
        <f t="shared" si="55"/>
        <v>49.213214026568309</v>
      </c>
      <c r="J214" s="8">
        <v>0.34</v>
      </c>
      <c r="K214" s="19">
        <f t="shared" si="56"/>
        <v>130</v>
      </c>
      <c r="L214" s="3">
        <f t="shared" si="44"/>
        <v>6400</v>
      </c>
      <c r="M214" s="3">
        <f t="shared" si="52"/>
        <v>6</v>
      </c>
      <c r="N214">
        <f t="shared" ca="1" si="47"/>
        <v>0.257398387391853</v>
      </c>
      <c r="O214">
        <v>52.5</v>
      </c>
      <c r="P214">
        <v>6.43</v>
      </c>
      <c r="Q214">
        <v>12.04</v>
      </c>
      <c r="S214">
        <v>12.63</v>
      </c>
      <c r="T214">
        <v>6.98</v>
      </c>
      <c r="W214">
        <f ca="1">X214-A214-AA214</f>
        <v>21.950409469343981</v>
      </c>
      <c r="X214">
        <f t="shared" ca="1" si="48"/>
        <v>45.450409469343981</v>
      </c>
      <c r="Y214">
        <f ca="1">C214/X214*60</f>
        <v>20.197837835084531</v>
      </c>
      <c r="Z214">
        <v>27.681818181818201</v>
      </c>
      <c r="AA214">
        <v>4.5</v>
      </c>
      <c r="AB214">
        <f t="shared" ca="1" si="49"/>
        <v>19.7</v>
      </c>
      <c r="AC214">
        <f t="shared" ca="1" si="50"/>
        <v>0.49783783508452739</v>
      </c>
      <c r="AD214">
        <f t="shared" ca="1" si="51"/>
        <v>20.197837835084528</v>
      </c>
      <c r="AE214">
        <f ca="1">C214*60/AD214</f>
        <v>45.450409469343981</v>
      </c>
    </row>
    <row r="215" spans="1:31" x14ac:dyDescent="0.45">
      <c r="A215">
        <f t="shared" ca="1" si="45"/>
        <v>20</v>
      </c>
      <c r="B215" s="3">
        <v>6381</v>
      </c>
      <c r="C215">
        <f t="shared" ca="1" si="46"/>
        <v>15</v>
      </c>
      <c r="D215">
        <v>37.92</v>
      </c>
      <c r="E215" s="8">
        <v>0.34</v>
      </c>
      <c r="F215" s="19">
        <f t="shared" si="57"/>
        <v>1.2338938632889278</v>
      </c>
      <c r="G215" s="19">
        <f t="shared" si="53"/>
        <v>3.6359162001083614</v>
      </c>
      <c r="H215" s="19">
        <f t="shared" ca="1" si="54"/>
        <v>2.8452777892417571</v>
      </c>
      <c r="I215" s="19">
        <f t="shared" si="55"/>
        <v>45.690270493314173</v>
      </c>
      <c r="J215" s="8">
        <v>0.34</v>
      </c>
      <c r="K215" s="19">
        <f t="shared" si="56"/>
        <v>140</v>
      </c>
      <c r="L215" s="3">
        <f t="shared" si="44"/>
        <v>6400</v>
      </c>
      <c r="M215" s="3">
        <f t="shared" si="52"/>
        <v>9</v>
      </c>
      <c r="N215">
        <f t="shared" ca="1" si="47"/>
        <v>0.26539734515157859</v>
      </c>
      <c r="O215">
        <v>50.7</v>
      </c>
      <c r="P215">
        <v>8.85</v>
      </c>
      <c r="Q215">
        <v>8.32</v>
      </c>
      <c r="S215">
        <v>12.36</v>
      </c>
      <c r="T215">
        <v>7.31</v>
      </c>
      <c r="W215">
        <f ca="1">X215-A215-AA215</f>
        <v>19.028072783153696</v>
      </c>
      <c r="X215">
        <f t="shared" ca="1" si="48"/>
        <v>43.528072783153696</v>
      </c>
      <c r="Y215">
        <f ca="1">C215/X215*60</f>
        <v>20.676311687025102</v>
      </c>
      <c r="Z215">
        <v>14.3391304347826</v>
      </c>
      <c r="AA215">
        <v>4.5</v>
      </c>
      <c r="AB215">
        <f t="shared" ca="1" si="49"/>
        <v>19.899999999999999</v>
      </c>
      <c r="AC215">
        <f t="shared" ca="1" si="50"/>
        <v>0.77631168702510489</v>
      </c>
      <c r="AD215">
        <f t="shared" ca="1" si="51"/>
        <v>20.676311687025102</v>
      </c>
      <c r="AE215">
        <f ca="1">C215*60/AD215</f>
        <v>43.528072783153696</v>
      </c>
    </row>
    <row r="216" spans="1:31" x14ac:dyDescent="0.45">
      <c r="A216">
        <f t="shared" ca="1" si="45"/>
        <v>19</v>
      </c>
      <c r="B216" s="3">
        <v>4311</v>
      </c>
      <c r="C216">
        <f t="shared" ca="1" si="46"/>
        <v>16.3</v>
      </c>
      <c r="D216">
        <v>32.18</v>
      </c>
      <c r="E216" s="8">
        <v>0.34</v>
      </c>
      <c r="F216" s="19">
        <f t="shared" si="57"/>
        <v>1.2338938632889278</v>
      </c>
      <c r="G216" s="19">
        <f t="shared" si="53"/>
        <v>3.1612284630666423</v>
      </c>
      <c r="H216" s="19">
        <f t="shared" ca="1" si="54"/>
        <v>3.0918685309760421</v>
      </c>
      <c r="I216" s="19">
        <f t="shared" si="55"/>
        <v>39.725168463556464</v>
      </c>
      <c r="J216" s="8">
        <v>0.34</v>
      </c>
      <c r="K216" s="19">
        <f t="shared" si="56"/>
        <v>108</v>
      </c>
      <c r="L216" s="3">
        <f t="shared" si="44"/>
        <v>4300</v>
      </c>
      <c r="M216" s="3">
        <f t="shared" si="52"/>
        <v>7</v>
      </c>
      <c r="N216">
        <f t="shared" ca="1" si="47"/>
        <v>0.21874210309684558</v>
      </c>
      <c r="O216">
        <v>57.3</v>
      </c>
      <c r="P216">
        <v>6.55</v>
      </c>
      <c r="Q216">
        <v>7.22</v>
      </c>
      <c r="S216">
        <v>12.87</v>
      </c>
      <c r="T216">
        <v>7.3</v>
      </c>
      <c r="W216">
        <f ca="1">X216-A216-AA216</f>
        <v>25.463776388462101</v>
      </c>
      <c r="X216">
        <f t="shared" ca="1" si="48"/>
        <v>48.963776388462101</v>
      </c>
      <c r="Y216">
        <f ca="1">C216/X216*60</f>
        <v>19.973949563058159</v>
      </c>
      <c r="Z216">
        <v>9.06</v>
      </c>
      <c r="AA216">
        <v>4.5</v>
      </c>
      <c r="AB216">
        <f t="shared" ca="1" si="49"/>
        <v>19.7</v>
      </c>
      <c r="AC216">
        <f t="shared" ca="1" si="50"/>
        <v>0.27394956305815898</v>
      </c>
      <c r="AD216">
        <f t="shared" ca="1" si="51"/>
        <v>19.973949563058159</v>
      </c>
      <c r="AE216">
        <f ca="1">C216*60/AD216</f>
        <v>48.963776388462101</v>
      </c>
    </row>
    <row r="217" spans="1:31" x14ac:dyDescent="0.45">
      <c r="A217">
        <f t="shared" ca="1" si="45"/>
        <v>17</v>
      </c>
      <c r="B217" s="3">
        <v>4381</v>
      </c>
      <c r="C217">
        <f t="shared" ca="1" si="46"/>
        <v>15.5</v>
      </c>
      <c r="D217">
        <v>31.43</v>
      </c>
      <c r="E217" s="8">
        <v>0.34</v>
      </c>
      <c r="F217" s="19">
        <f t="shared" si="57"/>
        <v>1.2338938632889278</v>
      </c>
      <c r="G217" s="19">
        <f t="shared" si="53"/>
        <v>3.0992048040455118</v>
      </c>
      <c r="H217" s="19">
        <f t="shared" ca="1" si="54"/>
        <v>2.9401203822164819</v>
      </c>
      <c r="I217" s="19">
        <f t="shared" si="55"/>
        <v>38.945756177438298</v>
      </c>
      <c r="J217" s="8">
        <v>0.34</v>
      </c>
      <c r="K217" s="19">
        <f t="shared" si="56"/>
        <v>113</v>
      </c>
      <c r="L217" s="3">
        <f t="shared" si="44"/>
        <v>4400</v>
      </c>
      <c r="M217" s="3">
        <f t="shared" si="52"/>
        <v>7</v>
      </c>
      <c r="N217">
        <f t="shared" ca="1" si="47"/>
        <v>0.21650941062585388</v>
      </c>
      <c r="O217">
        <v>52.5</v>
      </c>
      <c r="P217">
        <v>6.58</v>
      </c>
      <c r="Q217">
        <v>5.88</v>
      </c>
      <c r="S217">
        <v>12.64</v>
      </c>
      <c r="T217">
        <v>7.23</v>
      </c>
      <c r="W217">
        <f ca="1">X217-A217-AA217</f>
        <v>24.987366527679143</v>
      </c>
      <c r="X217">
        <f t="shared" ca="1" si="48"/>
        <v>46.487366527679143</v>
      </c>
      <c r="Y217">
        <f ca="1">C217/X217*60</f>
        <v>20.005435228219834</v>
      </c>
      <c r="Z217">
        <v>13.02</v>
      </c>
      <c r="AA217">
        <v>4.5</v>
      </c>
      <c r="AB217">
        <f t="shared" ca="1" si="49"/>
        <v>19.600000000000001</v>
      </c>
      <c r="AC217">
        <f t="shared" ca="1" si="50"/>
        <v>0.40543522821983824</v>
      </c>
      <c r="AD217">
        <f t="shared" ca="1" si="51"/>
        <v>20.005435228219838</v>
      </c>
      <c r="AE217">
        <f ca="1">C217*60/AD217</f>
        <v>46.487366527679143</v>
      </c>
    </row>
    <row r="218" spans="1:31" x14ac:dyDescent="0.45">
      <c r="A218">
        <f t="shared" ca="1" si="45"/>
        <v>17</v>
      </c>
      <c r="B218" s="3">
        <v>4234</v>
      </c>
      <c r="C218">
        <f t="shared" ca="1" si="46"/>
        <v>15.6</v>
      </c>
      <c r="D218">
        <v>31.95</v>
      </c>
      <c r="E218" s="8">
        <v>0.34</v>
      </c>
      <c r="F218" s="19">
        <f t="shared" si="57"/>
        <v>1.2338938632889278</v>
      </c>
      <c r="G218" s="19">
        <f t="shared" si="53"/>
        <v>3.1422078743001625</v>
      </c>
      <c r="H218" s="19">
        <f t="shared" ca="1" si="54"/>
        <v>2.9590889008114267</v>
      </c>
      <c r="I218" s="19">
        <f t="shared" si="55"/>
        <v>39.486148695813561</v>
      </c>
      <c r="J218" s="8">
        <v>0.34</v>
      </c>
      <c r="K218" s="19">
        <f t="shared" si="56"/>
        <v>106</v>
      </c>
      <c r="L218" s="3">
        <f t="shared" si="44"/>
        <v>4200</v>
      </c>
      <c r="M218" s="3">
        <f t="shared" si="52"/>
        <v>12</v>
      </c>
      <c r="N218">
        <f t="shared" ca="1" si="47"/>
        <v>0.19651176359969094</v>
      </c>
      <c r="O218">
        <v>50.1</v>
      </c>
      <c r="P218">
        <v>11.59</v>
      </c>
      <c r="Q218">
        <v>5.68</v>
      </c>
      <c r="S218">
        <v>12.12</v>
      </c>
      <c r="T218">
        <v>7.32</v>
      </c>
      <c r="W218">
        <f ca="1">X218-A218-AA218</f>
        <v>24.426018636614323</v>
      </c>
      <c r="X218">
        <f t="shared" ca="1" si="48"/>
        <v>45.926018636614323</v>
      </c>
      <c r="Y218">
        <f ca="1">C218/X218*60</f>
        <v>20.380604018955346</v>
      </c>
      <c r="Z218">
        <v>13.0521739130435</v>
      </c>
      <c r="AA218">
        <v>4.5</v>
      </c>
      <c r="AB218">
        <f t="shared" ca="1" si="49"/>
        <v>19.399999999999999</v>
      </c>
      <c r="AC218">
        <f t="shared" ca="1" si="50"/>
        <v>0.98060401895534832</v>
      </c>
      <c r="AD218">
        <f t="shared" ca="1" si="51"/>
        <v>20.380604018955346</v>
      </c>
      <c r="AE218">
        <f ca="1">C218*60/AD218</f>
        <v>45.926018636614323</v>
      </c>
    </row>
    <row r="219" spans="1:31" x14ac:dyDescent="0.45">
      <c r="A219">
        <f t="shared" ca="1" si="45"/>
        <v>16</v>
      </c>
      <c r="B219" s="3">
        <v>4651</v>
      </c>
      <c r="C219">
        <f t="shared" ca="1" si="46"/>
        <v>16.3</v>
      </c>
      <c r="D219">
        <v>33.159999999999997</v>
      </c>
      <c r="E219" s="8">
        <v>0.34</v>
      </c>
      <c r="F219" s="19">
        <f t="shared" si="57"/>
        <v>1.2338938632889278</v>
      </c>
      <c r="G219" s="19">
        <f t="shared" si="53"/>
        <v>3.2422727108542526</v>
      </c>
      <c r="H219" s="19">
        <f t="shared" ca="1" si="54"/>
        <v>3.0918685309760421</v>
      </c>
      <c r="I219" s="19">
        <f t="shared" si="55"/>
        <v>40.743600517417534</v>
      </c>
      <c r="J219" s="8">
        <v>0.34</v>
      </c>
      <c r="K219" s="19">
        <f t="shared" si="56"/>
        <v>115</v>
      </c>
      <c r="L219" s="3">
        <f t="shared" si="44"/>
        <v>4700</v>
      </c>
      <c r="M219" s="3">
        <f t="shared" si="52"/>
        <v>9</v>
      </c>
      <c r="N219">
        <f t="shared" ca="1" si="47"/>
        <v>0.19468494548612855</v>
      </c>
      <c r="O219">
        <v>53.8</v>
      </c>
      <c r="P219">
        <v>8.64</v>
      </c>
      <c r="Q219">
        <v>7.46</v>
      </c>
      <c r="S219">
        <v>12.46</v>
      </c>
      <c r="T219">
        <v>7.27</v>
      </c>
      <c r="W219">
        <f ca="1">X219-A219-AA219</f>
        <v>26.658455727229267</v>
      </c>
      <c r="X219">
        <f t="shared" ca="1" si="48"/>
        <v>47.158455727229267</v>
      </c>
      <c r="Y219">
        <f ca="1">C219/X219*60</f>
        <v>20.738592579385575</v>
      </c>
      <c r="Z219">
        <v>15.01</v>
      </c>
      <c r="AA219">
        <v>4.5</v>
      </c>
      <c r="AB219">
        <f t="shared" ca="1" si="49"/>
        <v>20</v>
      </c>
      <c r="AC219">
        <f t="shared" ca="1" si="50"/>
        <v>0.73859257938557521</v>
      </c>
      <c r="AD219">
        <f t="shared" ca="1" si="51"/>
        <v>20.738592579385575</v>
      </c>
      <c r="AE219">
        <f ca="1">C219*60/AD219</f>
        <v>47.158455727229267</v>
      </c>
    </row>
    <row r="220" spans="1:31" x14ac:dyDescent="0.45">
      <c r="A220">
        <f t="shared" ca="1" si="45"/>
        <v>21</v>
      </c>
      <c r="B220" s="3">
        <v>4311</v>
      </c>
      <c r="C220">
        <f t="shared" ca="1" si="46"/>
        <v>15.7</v>
      </c>
      <c r="D220">
        <v>32.18</v>
      </c>
      <c r="E220" s="8">
        <v>0.34</v>
      </c>
      <c r="F220" s="19">
        <f t="shared" si="57"/>
        <v>1.2338938632889278</v>
      </c>
      <c r="G220" s="19">
        <f t="shared" si="53"/>
        <v>3.1612284630666423</v>
      </c>
      <c r="H220" s="19">
        <f t="shared" ca="1" si="54"/>
        <v>2.9780574194063725</v>
      </c>
      <c r="I220" s="19">
        <f t="shared" si="55"/>
        <v>39.725168463556464</v>
      </c>
      <c r="J220" s="8">
        <v>0.34</v>
      </c>
      <c r="K220" s="19">
        <f t="shared" si="56"/>
        <v>108</v>
      </c>
      <c r="L220" s="3">
        <f t="shared" si="44"/>
        <v>4300</v>
      </c>
      <c r="M220" s="3">
        <f t="shared" si="52"/>
        <v>7</v>
      </c>
      <c r="N220">
        <f t="shared" ca="1" si="47"/>
        <v>0.27325148448582787</v>
      </c>
      <c r="O220">
        <v>57.3</v>
      </c>
      <c r="P220">
        <v>6.55</v>
      </c>
      <c r="Q220">
        <v>7.22</v>
      </c>
      <c r="S220">
        <v>12.87</v>
      </c>
      <c r="T220">
        <v>7.3</v>
      </c>
      <c r="W220">
        <f ca="1">X220-A220-AA220</f>
        <v>20.384152753940064</v>
      </c>
      <c r="X220">
        <f t="shared" ca="1" si="48"/>
        <v>45.884152753940064</v>
      </c>
      <c r="Y220">
        <f ca="1">C220/X220*60</f>
        <v>20.52996390827137</v>
      </c>
      <c r="Z220">
        <v>9.06</v>
      </c>
      <c r="AA220">
        <v>4.5</v>
      </c>
      <c r="AB220">
        <f t="shared" ca="1" si="49"/>
        <v>19.8</v>
      </c>
      <c r="AC220">
        <f t="shared" ca="1" si="50"/>
        <v>0.72996390827137214</v>
      </c>
      <c r="AD220">
        <f t="shared" ca="1" si="51"/>
        <v>20.529963908271373</v>
      </c>
      <c r="AE220">
        <f ca="1">C220*60/AD220</f>
        <v>45.884152753940064</v>
      </c>
    </row>
    <row r="221" spans="1:31" x14ac:dyDescent="0.45">
      <c r="A221">
        <f t="shared" ca="1" si="45"/>
        <v>19</v>
      </c>
      <c r="B221" s="3">
        <v>4381</v>
      </c>
      <c r="C221">
        <f t="shared" ca="1" si="46"/>
        <v>15.3</v>
      </c>
      <c r="D221">
        <v>31.43</v>
      </c>
      <c r="E221" s="8">
        <v>0.34</v>
      </c>
      <c r="F221" s="19">
        <f t="shared" si="57"/>
        <v>1.2338938632889278</v>
      </c>
      <c r="G221" s="19">
        <f t="shared" si="53"/>
        <v>3.0992048040455118</v>
      </c>
      <c r="H221" s="19">
        <f t="shared" ca="1" si="54"/>
        <v>2.9021833450265926</v>
      </c>
      <c r="I221" s="19">
        <f t="shared" si="55"/>
        <v>38.945756177438298</v>
      </c>
      <c r="J221" s="8">
        <v>0.34</v>
      </c>
      <c r="K221" s="19">
        <f t="shared" si="56"/>
        <v>113</v>
      </c>
      <c r="L221" s="3">
        <f t="shared" si="44"/>
        <v>4400</v>
      </c>
      <c r="M221" s="3">
        <f t="shared" si="52"/>
        <v>7</v>
      </c>
      <c r="N221">
        <f t="shared" ca="1" si="47"/>
        <v>0.23847313236125375</v>
      </c>
      <c r="O221">
        <v>52.5</v>
      </c>
      <c r="P221">
        <v>6.58</v>
      </c>
      <c r="Q221">
        <v>5.88</v>
      </c>
      <c r="S221">
        <v>12.64</v>
      </c>
      <c r="T221">
        <v>7.23</v>
      </c>
      <c r="W221">
        <f ca="1">X221-A221-AA221</f>
        <v>22.685993790716012</v>
      </c>
      <c r="X221">
        <f t="shared" ca="1" si="48"/>
        <v>46.185993790716012</v>
      </c>
      <c r="Y221">
        <f ca="1">C221/X221*60</f>
        <v>19.876155618947188</v>
      </c>
      <c r="Z221">
        <v>13.02</v>
      </c>
      <c r="AA221">
        <v>4.5</v>
      </c>
      <c r="AB221">
        <f t="shared" ca="1" si="49"/>
        <v>19.600000000000001</v>
      </c>
      <c r="AC221">
        <f t="shared" ca="1" si="50"/>
        <v>0.2761556189471861</v>
      </c>
      <c r="AD221">
        <f t="shared" ca="1" si="51"/>
        <v>19.876155618947188</v>
      </c>
      <c r="AE221">
        <f ca="1">C221*60/AD221</f>
        <v>46.185993790716012</v>
      </c>
    </row>
    <row r="222" spans="1:31" x14ac:dyDescent="0.45">
      <c r="A222">
        <f t="shared" ca="1" si="45"/>
        <v>18</v>
      </c>
      <c r="B222" s="3">
        <v>4382</v>
      </c>
      <c r="C222">
        <f t="shared" ca="1" si="46"/>
        <v>14.8</v>
      </c>
      <c r="D222">
        <v>33.07</v>
      </c>
      <c r="E222" s="8">
        <v>0.34</v>
      </c>
      <c r="F222" s="19">
        <f t="shared" si="57"/>
        <v>1.2338938632889278</v>
      </c>
      <c r="G222" s="19">
        <f t="shared" si="53"/>
        <v>3.2348298717717174</v>
      </c>
      <c r="H222" s="19">
        <f t="shared" ca="1" si="54"/>
        <v>2.8073407520518674</v>
      </c>
      <c r="I222" s="19">
        <f t="shared" si="55"/>
        <v>40.650071043083358</v>
      </c>
      <c r="J222" s="8">
        <v>0.34</v>
      </c>
      <c r="K222" s="19">
        <f t="shared" si="56"/>
        <v>108</v>
      </c>
      <c r="L222" s="3">
        <f t="shared" si="44"/>
        <v>4400</v>
      </c>
      <c r="M222" s="3">
        <f t="shared" si="52"/>
        <v>11</v>
      </c>
      <c r="N222">
        <f t="shared" ca="1" si="47"/>
        <v>0.22222621341913612</v>
      </c>
      <c r="O222">
        <v>51</v>
      </c>
      <c r="P222">
        <v>10.71</v>
      </c>
      <c r="Q222">
        <v>6.06</v>
      </c>
      <c r="S222">
        <v>12.09</v>
      </c>
      <c r="T222">
        <v>7.22</v>
      </c>
      <c r="W222">
        <f ca="1">X222-A222-AA222</f>
        <v>21.914606405207458</v>
      </c>
      <c r="X222">
        <f t="shared" ca="1" si="48"/>
        <v>44.414606405207458</v>
      </c>
      <c r="Y222">
        <f ca="1">C222/X222*60</f>
        <v>19.993422701948905</v>
      </c>
      <c r="Z222">
        <v>12.020930232558101</v>
      </c>
      <c r="AA222">
        <v>4.5</v>
      </c>
      <c r="AB222">
        <f t="shared" ca="1" si="49"/>
        <v>19.100000000000001</v>
      </c>
      <c r="AC222">
        <f t="shared" ca="1" si="50"/>
        <v>0.89342270194890339</v>
      </c>
      <c r="AD222">
        <f t="shared" ca="1" si="51"/>
        <v>19.993422701948905</v>
      </c>
      <c r="AE222">
        <f ca="1">C222*60/AD222</f>
        <v>44.414606405207458</v>
      </c>
    </row>
    <row r="223" spans="1:31" x14ac:dyDescent="0.45">
      <c r="A223">
        <f t="shared" ca="1" si="45"/>
        <v>20</v>
      </c>
      <c r="B223" s="3">
        <v>5234</v>
      </c>
      <c r="C223">
        <f t="shared" ca="1" si="46"/>
        <v>16</v>
      </c>
      <c r="D223">
        <v>30.13</v>
      </c>
      <c r="E223" s="8">
        <v>0.34</v>
      </c>
      <c r="F223" s="19">
        <f t="shared" si="57"/>
        <v>1.2338938632889278</v>
      </c>
      <c r="G223" s="19">
        <f t="shared" si="53"/>
        <v>2.9916971284088851</v>
      </c>
      <c r="H223" s="19">
        <f t="shared" ca="1" si="54"/>
        <v>3.0349629751912071</v>
      </c>
      <c r="I223" s="19">
        <f t="shared" si="55"/>
        <v>37.594774881500136</v>
      </c>
      <c r="J223" s="8">
        <v>0.34</v>
      </c>
      <c r="K223" s="19">
        <f t="shared" si="56"/>
        <v>138</v>
      </c>
      <c r="L223" s="3">
        <f t="shared" si="44"/>
        <v>5200</v>
      </c>
      <c r="M223" s="3">
        <f t="shared" si="52"/>
        <v>1</v>
      </c>
      <c r="N223">
        <f t="shared" ca="1" si="47"/>
        <v>0.19288376506574922</v>
      </c>
      <c r="O223">
        <v>50.7</v>
      </c>
      <c r="P223">
        <v>1.1399999999999999</v>
      </c>
      <c r="Q223">
        <v>5.04</v>
      </c>
      <c r="S223">
        <v>11.73</v>
      </c>
      <c r="T223">
        <v>7.4</v>
      </c>
      <c r="W223">
        <f ca="1">X223-A223-AA223</f>
        <v>22.448753001705519</v>
      </c>
      <c r="X223">
        <f t="shared" ca="1" si="48"/>
        <v>46.948753001705519</v>
      </c>
      <c r="Y223">
        <f ca="1">C223/X223*60</f>
        <v>20.447827442086179</v>
      </c>
      <c r="Z223">
        <v>11.229629629629599</v>
      </c>
      <c r="AA223">
        <v>4.5</v>
      </c>
      <c r="AB223">
        <f t="shared" ca="1" si="49"/>
        <v>19.899999999999999</v>
      </c>
      <c r="AC223">
        <f t="shared" ca="1" si="50"/>
        <v>0.54782744208617917</v>
      </c>
      <c r="AD223">
        <f t="shared" ca="1" si="51"/>
        <v>20.447827442086179</v>
      </c>
      <c r="AE223">
        <f ca="1">C223*60/AD223</f>
        <v>46.948753001705519</v>
      </c>
    </row>
    <row r="224" spans="1:31" x14ac:dyDescent="0.45">
      <c r="A224">
        <f t="shared" ca="1" si="45"/>
        <v>17</v>
      </c>
      <c r="B224" s="3">
        <v>4726</v>
      </c>
      <c r="C224">
        <f t="shared" ca="1" si="46"/>
        <v>15.9</v>
      </c>
      <c r="D224">
        <v>36.22</v>
      </c>
      <c r="E224" s="8">
        <v>0.34</v>
      </c>
      <c r="F224" s="19">
        <f t="shared" si="57"/>
        <v>1.2338938632889278</v>
      </c>
      <c r="G224" s="19">
        <f t="shared" si="53"/>
        <v>3.4953292396604656</v>
      </c>
      <c r="H224" s="19">
        <f t="shared" ca="1" si="54"/>
        <v>3.0159944565962626</v>
      </c>
      <c r="I224" s="19">
        <f t="shared" si="55"/>
        <v>43.923602644779663</v>
      </c>
      <c r="J224" s="8">
        <v>0.34</v>
      </c>
      <c r="K224" s="19">
        <f t="shared" si="56"/>
        <v>107</v>
      </c>
      <c r="L224" s="3">
        <f t="shared" si="44"/>
        <v>4700</v>
      </c>
      <c r="M224" s="3">
        <f t="shared" si="52"/>
        <v>2</v>
      </c>
      <c r="N224">
        <f t="shared" si="47"/>
        <v>8.2962962962962961E-2</v>
      </c>
      <c r="O224">
        <v>56</v>
      </c>
      <c r="P224">
        <v>2.3199999999999998</v>
      </c>
      <c r="Q224">
        <v>6.95</v>
      </c>
      <c r="S224">
        <v>11.69</v>
      </c>
      <c r="T224">
        <v>7.21</v>
      </c>
      <c r="W224">
        <v>54</v>
      </c>
      <c r="X224">
        <f t="shared" ca="1" si="48"/>
        <v>49.359471687703682</v>
      </c>
      <c r="Y224">
        <f ca="1">C224/X224*60</f>
        <v>19.327597467735018</v>
      </c>
      <c r="Z224">
        <v>13.4181818181818</v>
      </c>
      <c r="AA224">
        <v>4.5</v>
      </c>
      <c r="AB224">
        <f t="shared" ca="1" si="49"/>
        <v>19.3</v>
      </c>
      <c r="AC224">
        <f t="shared" ca="1" si="50"/>
        <v>2.7597467735017589E-2</v>
      </c>
      <c r="AD224">
        <f t="shared" ca="1" si="51"/>
        <v>19.327597467735018</v>
      </c>
      <c r="AE224">
        <f ca="1">C224*60/AD224</f>
        <v>49.359471687703682</v>
      </c>
    </row>
    <row r="225" spans="1:31" x14ac:dyDescent="0.45">
      <c r="A225">
        <f t="shared" ca="1" si="45"/>
        <v>19</v>
      </c>
      <c r="B225" s="3">
        <v>4261</v>
      </c>
      <c r="C225">
        <f t="shared" ca="1" si="46"/>
        <v>14.9</v>
      </c>
      <c r="D225">
        <v>33.04</v>
      </c>
      <c r="E225" s="8">
        <v>0.34</v>
      </c>
      <c r="F225" s="19">
        <f t="shared" si="57"/>
        <v>1.2338938632889278</v>
      </c>
      <c r="G225" s="19">
        <f t="shared" si="53"/>
        <v>3.2323489254108719</v>
      </c>
      <c r="H225" s="19">
        <f t="shared" ca="1" si="54"/>
        <v>2.8263092706468123</v>
      </c>
      <c r="I225" s="19">
        <f t="shared" si="55"/>
        <v>40.618894551638633</v>
      </c>
      <c r="J225" s="8">
        <v>0.34</v>
      </c>
      <c r="K225" s="19">
        <f t="shared" si="56"/>
        <v>106</v>
      </c>
      <c r="L225" s="3">
        <f t="shared" si="44"/>
        <v>4300</v>
      </c>
      <c r="M225" s="3">
        <f t="shared" si="52"/>
        <v>1</v>
      </c>
      <c r="N225">
        <f t="shared" si="47"/>
        <v>8.2549019607843138E-2</v>
      </c>
      <c r="O225">
        <v>53</v>
      </c>
      <c r="P225">
        <v>1.0900000000000001</v>
      </c>
      <c r="Q225">
        <v>5.51</v>
      </c>
      <c r="S225">
        <v>11.42</v>
      </c>
      <c r="T225">
        <v>7.21</v>
      </c>
      <c r="W225">
        <v>51</v>
      </c>
      <c r="X225">
        <f t="shared" ca="1" si="48"/>
        <v>44.478974319961871</v>
      </c>
      <c r="Y225">
        <f ca="1">C225/X225*60</f>
        <v>20.09938434211552</v>
      </c>
      <c r="Z225">
        <v>13.363636363636401</v>
      </c>
      <c r="AA225">
        <v>4.5</v>
      </c>
      <c r="AB225">
        <f t="shared" ca="1" si="49"/>
        <v>20</v>
      </c>
      <c r="AC225">
        <f t="shared" ca="1" si="50"/>
        <v>9.9384342115520385E-2</v>
      </c>
      <c r="AD225">
        <f t="shared" ca="1" si="51"/>
        <v>20.09938434211552</v>
      </c>
      <c r="AE225">
        <f ca="1">C225*60/AD225</f>
        <v>44.478974319961871</v>
      </c>
    </row>
    <row r="226" spans="1:31" x14ac:dyDescent="0.45">
      <c r="A226">
        <f t="shared" ca="1" si="45"/>
        <v>16</v>
      </c>
      <c r="B226" s="3">
        <v>4582</v>
      </c>
      <c r="C226">
        <f t="shared" ca="1" si="46"/>
        <v>15.4</v>
      </c>
      <c r="D226">
        <v>35.29</v>
      </c>
      <c r="E226" s="8">
        <v>0.34</v>
      </c>
      <c r="F226" s="19">
        <f t="shared" si="57"/>
        <v>1.2338938632889278</v>
      </c>
      <c r="G226" s="19">
        <f t="shared" si="53"/>
        <v>3.4184199024742634</v>
      </c>
      <c r="H226" s="19">
        <f t="shared" ca="1" si="54"/>
        <v>2.9211518636215366</v>
      </c>
      <c r="I226" s="19">
        <f t="shared" si="55"/>
        <v>42.957131409993131</v>
      </c>
      <c r="J226" s="8">
        <v>0.34</v>
      </c>
      <c r="K226" s="19">
        <f t="shared" si="56"/>
        <v>107</v>
      </c>
      <c r="L226" s="3">
        <f t="shared" si="44"/>
        <v>4600</v>
      </c>
      <c r="M226" s="3">
        <f t="shared" si="52"/>
        <v>7</v>
      </c>
      <c r="N226">
        <f t="shared" si="47"/>
        <v>0.14472222222222222</v>
      </c>
      <c r="O226">
        <v>56</v>
      </c>
      <c r="P226">
        <v>6.9</v>
      </c>
      <c r="Q226">
        <v>7.02</v>
      </c>
      <c r="S226">
        <v>12.33</v>
      </c>
      <c r="T226">
        <v>7.12</v>
      </c>
      <c r="W226">
        <v>36</v>
      </c>
      <c r="X226">
        <f t="shared" ca="1" si="48"/>
        <v>45.75650163717588</v>
      </c>
      <c r="Y226">
        <f ca="1">C226/X226*60</f>
        <v>20.193851517032847</v>
      </c>
      <c r="Z226">
        <v>17.7147540983607</v>
      </c>
      <c r="AA226">
        <v>4.5</v>
      </c>
      <c r="AB226">
        <f t="shared" ca="1" si="49"/>
        <v>19.399999999999999</v>
      </c>
      <c r="AC226">
        <f t="shared" ca="1" si="50"/>
        <v>0.79385151703284429</v>
      </c>
      <c r="AD226">
        <f t="shared" ca="1" si="51"/>
        <v>20.193851517032844</v>
      </c>
      <c r="AE226">
        <f ca="1">C226*60/AD226</f>
        <v>45.75650163717588</v>
      </c>
    </row>
    <row r="227" spans="1:31" x14ac:dyDescent="0.45">
      <c r="A227">
        <f t="shared" ca="1" si="45"/>
        <v>18</v>
      </c>
      <c r="B227" s="3">
        <v>8741</v>
      </c>
      <c r="C227">
        <f t="shared" ca="1" si="46"/>
        <v>15.5</v>
      </c>
      <c r="D227">
        <v>34.5</v>
      </c>
      <c r="E227" s="8">
        <v>0.34</v>
      </c>
      <c r="F227" s="19">
        <f t="shared" si="57"/>
        <v>1.2338938632889278</v>
      </c>
      <c r="G227" s="19">
        <f t="shared" si="53"/>
        <v>3.3530883149720063</v>
      </c>
      <c r="H227" s="19">
        <f t="shared" ca="1" si="54"/>
        <v>2.9401203822164819</v>
      </c>
      <c r="I227" s="19">
        <f t="shared" si="55"/>
        <v>42.136150468615334</v>
      </c>
      <c r="J227" s="8">
        <v>0.34</v>
      </c>
      <c r="K227" s="19">
        <f t="shared" si="56"/>
        <v>206</v>
      </c>
      <c r="L227" s="3">
        <f t="shared" ref="L227:L258" si="58">ROUND(B227/100,0)*100</f>
        <v>8700</v>
      </c>
      <c r="M227" s="3">
        <f t="shared" si="52"/>
        <v>12</v>
      </c>
      <c r="N227">
        <f t="shared" si="47"/>
        <v>0.10460000000000001</v>
      </c>
      <c r="O227">
        <v>73</v>
      </c>
      <c r="P227">
        <v>11.85</v>
      </c>
      <c r="Q227">
        <v>12.08</v>
      </c>
      <c r="S227">
        <v>12.48</v>
      </c>
      <c r="T227">
        <v>7.25</v>
      </c>
      <c r="W227">
        <v>50</v>
      </c>
      <c r="X227">
        <f t="shared" ca="1" si="48"/>
        <v>47.181527540543364</v>
      </c>
      <c r="Y227">
        <f ca="1">C227/X227*60</f>
        <v>19.711104079893246</v>
      </c>
      <c r="Z227">
        <v>12.794594594594599</v>
      </c>
      <c r="AA227">
        <v>4.5</v>
      </c>
      <c r="AB227">
        <f t="shared" ca="1" si="49"/>
        <v>19.5</v>
      </c>
      <c r="AC227">
        <f t="shared" ca="1" si="50"/>
        <v>0.21110407989324997</v>
      </c>
      <c r="AD227">
        <f t="shared" ca="1" si="51"/>
        <v>19.71110407989325</v>
      </c>
      <c r="AE227">
        <f ca="1">C227*60/AD227</f>
        <v>47.181527540543364</v>
      </c>
    </row>
    <row r="228" spans="1:31" x14ac:dyDescent="0.45">
      <c r="A228">
        <f t="shared" ca="1" si="45"/>
        <v>19</v>
      </c>
      <c r="B228" s="3">
        <v>6685</v>
      </c>
      <c r="C228">
        <f t="shared" ca="1" si="46"/>
        <v>15.3</v>
      </c>
      <c r="D228">
        <v>34.58</v>
      </c>
      <c r="E228" s="8">
        <v>0.35</v>
      </c>
      <c r="F228" s="19">
        <f t="shared" si="57"/>
        <v>1.2424409015942828</v>
      </c>
      <c r="G228" s="19">
        <f t="shared" si="53"/>
        <v>3.3400316055625781</v>
      </c>
      <c r="H228" s="19">
        <f t="shared" ca="1" si="54"/>
        <v>2.7998694530389456</v>
      </c>
      <c r="I228" s="19">
        <f t="shared" si="55"/>
        <v>41.972075019172465</v>
      </c>
      <c r="J228" s="8">
        <v>0.35</v>
      </c>
      <c r="K228" s="19">
        <f t="shared" si="56"/>
        <v>160</v>
      </c>
      <c r="L228" s="3">
        <f t="shared" si="58"/>
        <v>6700</v>
      </c>
      <c r="M228" s="3">
        <f t="shared" si="52"/>
        <v>10</v>
      </c>
      <c r="N228">
        <f t="shared" ca="1" si="47"/>
        <v>0.20192644684674568</v>
      </c>
      <c r="O228">
        <v>61.2</v>
      </c>
      <c r="P228">
        <v>10.24</v>
      </c>
      <c r="Q228">
        <v>8.56</v>
      </c>
      <c r="S228">
        <v>11.66</v>
      </c>
      <c r="T228">
        <v>7.45</v>
      </c>
      <c r="W228">
        <f ca="1">X228-A228-AA228</f>
        <v>20.84917585458841</v>
      </c>
      <c r="X228">
        <f t="shared" ca="1" si="48"/>
        <v>44.34917585458841</v>
      </c>
      <c r="Y228">
        <f ca="1">C228/X228*60</f>
        <v>20.699369995283078</v>
      </c>
      <c r="Z228">
        <v>8.6181818181818208</v>
      </c>
      <c r="AA228">
        <v>4.5</v>
      </c>
      <c r="AB228">
        <f t="shared" ca="1" si="49"/>
        <v>19.899999999999999</v>
      </c>
      <c r="AC228">
        <f t="shared" ca="1" si="50"/>
        <v>0.79936999528307529</v>
      </c>
      <c r="AD228">
        <f t="shared" ca="1" si="51"/>
        <v>20.699369995283075</v>
      </c>
      <c r="AE228">
        <f ca="1">C228*60/AD228</f>
        <v>44.34917585458841</v>
      </c>
    </row>
    <row r="229" spans="1:31" s="2" customFormat="1" x14ac:dyDescent="0.45">
      <c r="A229" s="2">
        <f t="shared" ca="1" si="45"/>
        <v>18</v>
      </c>
      <c r="B229" s="4">
        <v>6691</v>
      </c>
      <c r="C229" s="2">
        <f t="shared" ca="1" si="46"/>
        <v>16.100000000000001</v>
      </c>
      <c r="D229" s="2">
        <v>36.46</v>
      </c>
      <c r="E229" s="9">
        <v>0.35</v>
      </c>
      <c r="F229" s="19">
        <f t="shared" si="57"/>
        <v>1.2424409015942828</v>
      </c>
      <c r="G229" s="19">
        <f t="shared" si="53"/>
        <v>3.4944347119378718</v>
      </c>
      <c r="H229" s="19">
        <f t="shared" ca="1" si="54"/>
        <v>2.9462678558122235</v>
      </c>
      <c r="I229" s="19">
        <f t="shared" si="55"/>
        <v>43.912361677892733</v>
      </c>
      <c r="J229" s="9">
        <v>0.35</v>
      </c>
      <c r="K229" s="19">
        <f t="shared" si="56"/>
        <v>153</v>
      </c>
      <c r="L229" s="3">
        <f t="shared" si="58"/>
        <v>6700</v>
      </c>
      <c r="M229" s="3">
        <f t="shared" si="52"/>
        <v>9</v>
      </c>
      <c r="N229" s="2">
        <f t="shared" ca="1" si="47"/>
        <v>0.19623079450961031</v>
      </c>
      <c r="O229" s="2">
        <v>53.1</v>
      </c>
      <c r="P229" s="2">
        <v>8.57</v>
      </c>
      <c r="Q229" s="2">
        <v>4.71</v>
      </c>
      <c r="S229" s="2">
        <v>12.54</v>
      </c>
      <c r="T229" s="2">
        <v>7.4</v>
      </c>
      <c r="W229" s="2">
        <f ca="1">X229-A229-AA229</f>
        <v>26.193646174878374</v>
      </c>
      <c r="X229" s="2">
        <f t="shared" ca="1" si="48"/>
        <v>48.693646174878374</v>
      </c>
      <c r="Y229" s="2">
        <f ca="1">C229/X229*60</f>
        <v>19.838317231999991</v>
      </c>
      <c r="Z229" s="2">
        <v>9.3386138613861398</v>
      </c>
      <c r="AA229" s="2">
        <v>4.5</v>
      </c>
      <c r="AB229" s="2">
        <f t="shared" ca="1" si="49"/>
        <v>19.5</v>
      </c>
      <c r="AC229" s="2">
        <f t="shared" ca="1" si="50"/>
        <v>0.33831723199998942</v>
      </c>
      <c r="AD229" s="2">
        <f t="shared" ca="1" si="51"/>
        <v>19.838317231999991</v>
      </c>
      <c r="AE229" s="2">
        <f ca="1">C229*60/AD229</f>
        <v>48.693646174878374</v>
      </c>
    </row>
    <row r="230" spans="1:31" x14ac:dyDescent="0.45">
      <c r="A230">
        <f t="shared" ca="1" si="45"/>
        <v>17</v>
      </c>
      <c r="B230" s="3">
        <v>7420</v>
      </c>
      <c r="C230">
        <f t="shared" ca="1" si="46"/>
        <v>15.8</v>
      </c>
      <c r="D230">
        <v>20.12</v>
      </c>
      <c r="E230" s="8">
        <v>0.35</v>
      </c>
      <c r="F230" s="19">
        <f t="shared" si="57"/>
        <v>1.2424409015942828</v>
      </c>
      <c r="G230" s="19">
        <f t="shared" si="53"/>
        <v>2.1524417554632467</v>
      </c>
      <c r="H230" s="19">
        <f t="shared" ca="1" si="54"/>
        <v>2.8913684547722442</v>
      </c>
      <c r="I230" s="19">
        <f t="shared" si="55"/>
        <v>27.048380824973016</v>
      </c>
      <c r="J230" s="8">
        <v>0.35</v>
      </c>
      <c r="K230" s="19">
        <f t="shared" si="56"/>
        <v>274</v>
      </c>
      <c r="L230" s="3">
        <f t="shared" si="58"/>
        <v>7400</v>
      </c>
      <c r="M230" s="3">
        <f t="shared" si="52"/>
        <v>12</v>
      </c>
      <c r="N230">
        <f t="shared" ca="1" si="47"/>
        <v>0.18773331183112651</v>
      </c>
      <c r="O230">
        <v>67.3</v>
      </c>
      <c r="P230">
        <v>11.67</v>
      </c>
      <c r="Q230">
        <v>11.05</v>
      </c>
      <c r="S230">
        <v>12.37</v>
      </c>
      <c r="T230">
        <v>7.4</v>
      </c>
      <c r="W230">
        <f ca="1">X230-A230-AA230</f>
        <v>26.473724623101035</v>
      </c>
      <c r="X230">
        <f t="shared" ca="1" si="48"/>
        <v>47.973724623101035</v>
      </c>
      <c r="Y230">
        <f ca="1">C230/X230*60</f>
        <v>19.760817144131117</v>
      </c>
      <c r="Z230">
        <v>10.780219780219801</v>
      </c>
      <c r="AA230">
        <v>4.5</v>
      </c>
      <c r="AB230">
        <f t="shared" ca="1" si="49"/>
        <v>19</v>
      </c>
      <c r="AC230">
        <f t="shared" ca="1" si="50"/>
        <v>0.76081714413111634</v>
      </c>
      <c r="AD230">
        <f t="shared" ca="1" si="51"/>
        <v>19.760817144131117</v>
      </c>
      <c r="AE230">
        <f ca="1">C230*60/AD230</f>
        <v>47.973724623101035</v>
      </c>
    </row>
    <row r="231" spans="1:31" x14ac:dyDescent="0.45">
      <c r="A231">
        <f t="shared" ca="1" si="45"/>
        <v>19</v>
      </c>
      <c r="B231" s="3">
        <v>6352</v>
      </c>
      <c r="C231">
        <f t="shared" ca="1" si="46"/>
        <v>14.9</v>
      </c>
      <c r="D231">
        <v>36.15</v>
      </c>
      <c r="E231" s="8">
        <v>0.35</v>
      </c>
      <c r="F231" s="19">
        <f t="shared" si="57"/>
        <v>1.2424409015942828</v>
      </c>
      <c r="G231" s="19">
        <f t="shared" si="53"/>
        <v>3.4689746252483289</v>
      </c>
      <c r="H231" s="19">
        <f t="shared" ca="1" si="54"/>
        <v>2.7266702516523065</v>
      </c>
      <c r="I231" s="19">
        <f t="shared" si="55"/>
        <v>43.592420792678226</v>
      </c>
      <c r="J231" s="8">
        <v>0.35</v>
      </c>
      <c r="K231" s="19">
        <f t="shared" si="56"/>
        <v>147</v>
      </c>
      <c r="L231" s="3">
        <f t="shared" si="58"/>
        <v>6400</v>
      </c>
      <c r="M231" s="3">
        <f t="shared" si="52"/>
        <v>12</v>
      </c>
      <c r="N231">
        <f t="shared" ca="1" si="47"/>
        <v>0.27052877229197758</v>
      </c>
      <c r="O231">
        <v>53.3</v>
      </c>
      <c r="P231">
        <v>11.98</v>
      </c>
      <c r="Q231">
        <v>11.34</v>
      </c>
      <c r="S231">
        <v>12.98</v>
      </c>
      <c r="T231">
        <v>7.15</v>
      </c>
      <c r="W231">
        <f ca="1">X231-A231-AA231</f>
        <v>21.550387970222147</v>
      </c>
      <c r="X231">
        <f t="shared" ca="1" si="48"/>
        <v>45.050387970222147</v>
      </c>
      <c r="Y231">
        <f ca="1">C231/X231*60</f>
        <v>19.844446191915708</v>
      </c>
      <c r="Z231">
        <v>11.3</v>
      </c>
      <c r="AA231">
        <v>4.5</v>
      </c>
      <c r="AB231">
        <f t="shared" ca="1" si="49"/>
        <v>19.600000000000001</v>
      </c>
      <c r="AC231">
        <f t="shared" ca="1" si="50"/>
        <v>0.2444461919157026</v>
      </c>
      <c r="AD231">
        <f t="shared" ca="1" si="51"/>
        <v>19.844446191915704</v>
      </c>
      <c r="AE231">
        <f ca="1">C231*60/AD231</f>
        <v>45.050387970222147</v>
      </c>
    </row>
    <row r="232" spans="1:31" x14ac:dyDescent="0.45">
      <c r="A232">
        <f t="shared" ca="1" si="45"/>
        <v>21</v>
      </c>
      <c r="B232" s="3">
        <v>6616</v>
      </c>
      <c r="C232">
        <f t="shared" ca="1" si="46"/>
        <v>14.7</v>
      </c>
      <c r="D232">
        <v>33.42</v>
      </c>
      <c r="E232" s="8">
        <v>0.35</v>
      </c>
      <c r="F232" s="19">
        <f t="shared" si="57"/>
        <v>1.2424409015942828</v>
      </c>
      <c r="G232" s="19">
        <f t="shared" si="53"/>
        <v>3.2447616037565461</v>
      </c>
      <c r="H232" s="19">
        <f t="shared" ca="1" si="54"/>
        <v>2.6900706509589862</v>
      </c>
      <c r="I232" s="19">
        <f t="shared" si="55"/>
        <v>40.774876868047201</v>
      </c>
      <c r="J232" s="8">
        <v>0.35</v>
      </c>
      <c r="K232" s="19">
        <f t="shared" si="56"/>
        <v>162</v>
      </c>
      <c r="L232" s="3">
        <f t="shared" si="58"/>
        <v>6600</v>
      </c>
      <c r="M232" s="3">
        <f t="shared" si="52"/>
        <v>13</v>
      </c>
      <c r="N232">
        <f t="shared" ca="1" si="47"/>
        <v>0.29871051141634497</v>
      </c>
      <c r="O232">
        <v>65.89</v>
      </c>
      <c r="P232">
        <v>13.25</v>
      </c>
      <c r="Q232">
        <v>9.3699999999999992</v>
      </c>
      <c r="S232">
        <v>12.91</v>
      </c>
      <c r="T232">
        <v>7.24</v>
      </c>
      <c r="W232">
        <f ca="1">X232-A232-AA232</f>
        <v>18.981588472114765</v>
      </c>
      <c r="X232">
        <f t="shared" ca="1" si="48"/>
        <v>44.481588472114765</v>
      </c>
      <c r="Y232">
        <f ca="1">C232/X232*60</f>
        <v>19.828428576756433</v>
      </c>
      <c r="Z232">
        <v>14.0597014925373</v>
      </c>
      <c r="AA232">
        <v>4.5</v>
      </c>
      <c r="AB232">
        <f t="shared" ca="1" si="49"/>
        <v>19.3</v>
      </c>
      <c r="AC232">
        <f t="shared" ca="1" si="50"/>
        <v>0.52842857675643262</v>
      </c>
      <c r="AD232">
        <f t="shared" ca="1" si="51"/>
        <v>19.828428576756433</v>
      </c>
      <c r="AE232">
        <f ca="1">C232*60/AD232</f>
        <v>44.481588472114765</v>
      </c>
    </row>
    <row r="233" spans="1:31" x14ac:dyDescent="0.45">
      <c r="A233">
        <f t="shared" ca="1" si="45"/>
        <v>19</v>
      </c>
      <c r="B233" s="3">
        <v>6385</v>
      </c>
      <c r="C233">
        <f t="shared" ca="1" si="46"/>
        <v>16.5</v>
      </c>
      <c r="D233">
        <v>31.44</v>
      </c>
      <c r="E233" s="8">
        <v>0.35</v>
      </c>
      <c r="F233" s="19">
        <f t="shared" si="57"/>
        <v>1.2424409015942828</v>
      </c>
      <c r="G233" s="19">
        <f t="shared" si="53"/>
        <v>3.0821455661910777</v>
      </c>
      <c r="H233" s="19">
        <f t="shared" ca="1" si="54"/>
        <v>3.0194670571988622</v>
      </c>
      <c r="I233" s="19">
        <f t="shared" si="55"/>
        <v>38.731383472160971</v>
      </c>
      <c r="J233" s="8">
        <v>0.35</v>
      </c>
      <c r="K233" s="19">
        <f t="shared" si="56"/>
        <v>165</v>
      </c>
      <c r="L233" s="3">
        <f t="shared" si="58"/>
        <v>6400</v>
      </c>
      <c r="M233" s="3">
        <f t="shared" si="52"/>
        <v>7</v>
      </c>
      <c r="N233">
        <f t="shared" ca="1" si="47"/>
        <v>0.23513058301653136</v>
      </c>
      <c r="O233">
        <v>60.83</v>
      </c>
      <c r="P233">
        <v>7.37</v>
      </c>
      <c r="Q233">
        <v>6.93</v>
      </c>
      <c r="S233">
        <v>13.18</v>
      </c>
      <c r="T233">
        <v>7.35</v>
      </c>
      <c r="W233">
        <f ca="1">X233-A233-AA233</f>
        <v>24.794732889298835</v>
      </c>
      <c r="X233">
        <f t="shared" ca="1" si="48"/>
        <v>48.294732889298835</v>
      </c>
      <c r="Y233">
        <f ca="1">C233/X233*60</f>
        <v>20.499129838222267</v>
      </c>
      <c r="Z233">
        <v>12.859459459459501</v>
      </c>
      <c r="AA233">
        <v>4.5</v>
      </c>
      <c r="AB233">
        <f t="shared" ca="1" si="49"/>
        <v>19.899999999999999</v>
      </c>
      <c r="AC233">
        <f t="shared" ca="1" si="50"/>
        <v>0.59912983822226662</v>
      </c>
      <c r="AD233">
        <f t="shared" ca="1" si="51"/>
        <v>20.499129838222267</v>
      </c>
      <c r="AE233">
        <f ca="1">C233*60/AD233</f>
        <v>48.294732889298835</v>
      </c>
    </row>
    <row r="234" spans="1:31" x14ac:dyDescent="0.45">
      <c r="A234">
        <f t="shared" ca="1" si="45"/>
        <v>22</v>
      </c>
      <c r="B234" s="3">
        <v>6523</v>
      </c>
      <c r="C234">
        <f t="shared" ca="1" si="46"/>
        <v>15.7</v>
      </c>
      <c r="D234">
        <v>30.25</v>
      </c>
      <c r="E234" s="8">
        <v>0.35</v>
      </c>
      <c r="F234" s="19">
        <f t="shared" si="57"/>
        <v>1.2424409015942828</v>
      </c>
      <c r="G234" s="19">
        <f t="shared" si="53"/>
        <v>2.9844116850279931</v>
      </c>
      <c r="H234" s="19">
        <f t="shared" ca="1" si="54"/>
        <v>2.8730686544255843</v>
      </c>
      <c r="I234" s="19">
        <f t="shared" si="55"/>
        <v>37.503223299885917</v>
      </c>
      <c r="J234" s="8">
        <v>0.35</v>
      </c>
      <c r="K234" s="19">
        <f t="shared" si="56"/>
        <v>173</v>
      </c>
      <c r="L234" s="3">
        <f t="shared" si="58"/>
        <v>6500</v>
      </c>
      <c r="M234" s="3">
        <f t="shared" si="52"/>
        <v>6</v>
      </c>
      <c r="N234">
        <f t="shared" ca="1" si="47"/>
        <v>0.30461654267343635</v>
      </c>
      <c r="O234">
        <v>54.9</v>
      </c>
      <c r="P234">
        <v>5.88</v>
      </c>
      <c r="Q234">
        <v>0.14000000000000001</v>
      </c>
      <c r="S234">
        <v>13.2</v>
      </c>
      <c r="T234">
        <v>7.38</v>
      </c>
      <c r="W234">
        <f ca="1">X234-A234-AA234</f>
        <v>19.105987970716747</v>
      </c>
      <c r="X234">
        <f t="shared" ca="1" si="48"/>
        <v>45.605987970716747</v>
      </c>
      <c r="Y234">
        <f ca="1">C234/X234*60</f>
        <v>20.655182398522996</v>
      </c>
      <c r="Z234">
        <v>7.6176000000000004</v>
      </c>
      <c r="AA234">
        <v>4.5</v>
      </c>
      <c r="AB234">
        <f t="shared" ca="1" si="49"/>
        <v>19.7</v>
      </c>
      <c r="AC234">
        <f t="shared" ca="1" si="50"/>
        <v>0.95518239852299724</v>
      </c>
      <c r="AD234">
        <f t="shared" ca="1" si="51"/>
        <v>20.655182398522996</v>
      </c>
      <c r="AE234">
        <f ca="1">C234*60/AD234</f>
        <v>45.605987970716747</v>
      </c>
    </row>
    <row r="235" spans="1:31" x14ac:dyDescent="0.45">
      <c r="A235">
        <f t="shared" ca="1" si="45"/>
        <v>16</v>
      </c>
      <c r="B235" s="3">
        <v>6325</v>
      </c>
      <c r="C235">
        <f t="shared" ca="1" si="46"/>
        <v>15.9</v>
      </c>
      <c r="D235">
        <v>42</v>
      </c>
      <c r="E235" s="8">
        <v>0.35</v>
      </c>
      <c r="F235" s="19">
        <f t="shared" si="57"/>
        <v>1.2424409015942828</v>
      </c>
      <c r="G235" s="19">
        <f t="shared" si="53"/>
        <v>3.9494310998735771</v>
      </c>
      <c r="H235" s="19">
        <f t="shared" ca="1" si="54"/>
        <v>2.9096682551189037</v>
      </c>
      <c r="I235" s="19">
        <f t="shared" si="55"/>
        <v>49.630014916887546</v>
      </c>
      <c r="J235" s="8">
        <v>0.35</v>
      </c>
      <c r="K235" s="19">
        <f t="shared" si="56"/>
        <v>127</v>
      </c>
      <c r="L235" s="3">
        <f t="shared" si="58"/>
        <v>6300</v>
      </c>
      <c r="M235" s="3">
        <f t="shared" si="52"/>
        <v>7</v>
      </c>
      <c r="N235">
        <f t="shared" ca="1" si="47"/>
        <v>0.20312642236598955</v>
      </c>
      <c r="O235">
        <v>54.1</v>
      </c>
      <c r="P235">
        <v>7.17</v>
      </c>
      <c r="Q235">
        <v>6.9</v>
      </c>
      <c r="S235">
        <v>12.6</v>
      </c>
      <c r="T235">
        <v>7.35</v>
      </c>
      <c r="W235">
        <f ca="1">X235-A235-AA235</f>
        <v>25.845972861869463</v>
      </c>
      <c r="X235">
        <f t="shared" ca="1" si="48"/>
        <v>46.345972861869463</v>
      </c>
      <c r="Y235">
        <f ca="1">C235/X235*60</f>
        <v>20.584312748020679</v>
      </c>
      <c r="Z235">
        <v>10.58</v>
      </c>
      <c r="AA235">
        <v>4.5</v>
      </c>
      <c r="AB235">
        <f t="shared" ca="1" si="49"/>
        <v>19.899999999999999</v>
      </c>
      <c r="AC235">
        <f t="shared" ca="1" si="50"/>
        <v>0.68431274802067998</v>
      </c>
      <c r="AD235">
        <f t="shared" ca="1" si="51"/>
        <v>20.584312748020679</v>
      </c>
      <c r="AE235">
        <f ca="1">C235*60/AD235</f>
        <v>46.345972861869463</v>
      </c>
    </row>
    <row r="236" spans="1:31" s="2" customFormat="1" x14ac:dyDescent="0.45">
      <c r="A236" s="2">
        <f t="shared" ca="1" si="45"/>
        <v>21</v>
      </c>
      <c r="B236" s="4">
        <v>6671</v>
      </c>
      <c r="C236" s="2">
        <f t="shared" ca="1" si="46"/>
        <v>16.399999999999999</v>
      </c>
      <c r="D236" s="2">
        <v>39.9</v>
      </c>
      <c r="E236" s="9">
        <v>0.35</v>
      </c>
      <c r="F236" s="19">
        <f t="shared" si="57"/>
        <v>1.2424409015942828</v>
      </c>
      <c r="G236" s="19">
        <f t="shared" si="53"/>
        <v>3.7769595448798983</v>
      </c>
      <c r="H236" s="19">
        <f t="shared" ca="1" si="54"/>
        <v>3.0011672568522023</v>
      </c>
      <c r="I236" s="19">
        <f t="shared" si="55"/>
        <v>47.462673436402149</v>
      </c>
      <c r="J236" s="9">
        <v>0.35</v>
      </c>
      <c r="K236" s="19">
        <f t="shared" si="56"/>
        <v>141</v>
      </c>
      <c r="L236" s="3">
        <f t="shared" si="58"/>
        <v>6700</v>
      </c>
      <c r="M236" s="3">
        <f t="shared" si="52"/>
        <v>12</v>
      </c>
      <c r="N236" s="2">
        <f t="shared" ca="1" si="47"/>
        <v>0.24014215883268786</v>
      </c>
      <c r="O236" s="2">
        <v>53</v>
      </c>
      <c r="P236" s="2">
        <v>11.78</v>
      </c>
      <c r="Q236" s="2">
        <v>11.14</v>
      </c>
      <c r="S236" s="2">
        <v>12.45</v>
      </c>
      <c r="T236" s="2">
        <v>7.14</v>
      </c>
      <c r="W236" s="2">
        <f ca="1">X236-A236-AA236</f>
        <v>22.11190249063926</v>
      </c>
      <c r="X236" s="2">
        <f t="shared" ca="1" si="48"/>
        <v>47.61190249063926</v>
      </c>
      <c r="Y236" s="2">
        <f ca="1">C236/X236*60</f>
        <v>20.667101050907579</v>
      </c>
      <c r="Z236" s="2">
        <v>12.3506493506494</v>
      </c>
      <c r="AA236" s="2">
        <v>4.5</v>
      </c>
      <c r="AB236" s="2">
        <f t="shared" ca="1" si="49"/>
        <v>20</v>
      </c>
      <c r="AC236" s="2">
        <f t="shared" ca="1" si="50"/>
        <v>0.66710105090758087</v>
      </c>
      <c r="AD236" s="2">
        <f t="shared" ca="1" si="51"/>
        <v>20.667101050907579</v>
      </c>
      <c r="AE236" s="2">
        <f ca="1">C236*60/AD236</f>
        <v>47.61190249063926</v>
      </c>
    </row>
    <row r="237" spans="1:31" x14ac:dyDescent="0.45">
      <c r="A237">
        <f t="shared" ca="1" si="45"/>
        <v>20</v>
      </c>
      <c r="B237" s="3">
        <v>6577</v>
      </c>
      <c r="C237">
        <f t="shared" ca="1" si="46"/>
        <v>15.9</v>
      </c>
      <c r="D237">
        <v>41.96</v>
      </c>
      <c r="E237" s="8">
        <v>0.35</v>
      </c>
      <c r="F237" s="19">
        <f t="shared" si="57"/>
        <v>1.2424409015942828</v>
      </c>
      <c r="G237" s="19">
        <f t="shared" si="53"/>
        <v>3.9461459273975068</v>
      </c>
      <c r="H237" s="19">
        <f t="shared" ca="1" si="54"/>
        <v>2.9096682551189037</v>
      </c>
      <c r="I237" s="19">
        <f t="shared" si="55"/>
        <v>49.588732222021157</v>
      </c>
      <c r="J237" s="8">
        <v>0.35</v>
      </c>
      <c r="K237" s="19">
        <f t="shared" si="56"/>
        <v>133</v>
      </c>
      <c r="L237" s="3">
        <f t="shared" si="58"/>
        <v>6600</v>
      </c>
      <c r="M237" s="3">
        <f t="shared" si="52"/>
        <v>10</v>
      </c>
      <c r="N237">
        <f t="shared" ca="1" si="47"/>
        <v>0.21405199792929921</v>
      </c>
      <c r="O237">
        <v>63.25</v>
      </c>
      <c r="P237">
        <v>9.8800000000000008</v>
      </c>
      <c r="Q237">
        <v>11.87</v>
      </c>
      <c r="S237">
        <v>11.87</v>
      </c>
      <c r="T237">
        <v>7.03</v>
      </c>
      <c r="W237">
        <f ca="1">X237-A237-AA237</f>
        <v>22.611328307239802</v>
      </c>
      <c r="X237">
        <f t="shared" ca="1" si="48"/>
        <v>47.111328307239802</v>
      </c>
      <c r="Y237">
        <f ca="1">C237/X237*60</f>
        <v>20.249906641952922</v>
      </c>
      <c r="Z237">
        <v>14.3727272727273</v>
      </c>
      <c r="AA237">
        <v>4.5</v>
      </c>
      <c r="AB237">
        <f t="shared" ca="1" si="49"/>
        <v>20</v>
      </c>
      <c r="AC237">
        <f t="shared" ca="1" si="50"/>
        <v>0.24990664195292245</v>
      </c>
      <c r="AD237">
        <f t="shared" ca="1" si="51"/>
        <v>20.249906641952922</v>
      </c>
      <c r="AE237">
        <f ca="1">C237*60/AD237</f>
        <v>47.111328307239802</v>
      </c>
    </row>
    <row r="238" spans="1:31" x14ac:dyDescent="0.45">
      <c r="A238">
        <f t="shared" ca="1" si="45"/>
        <v>22</v>
      </c>
      <c r="B238" s="3">
        <v>6461</v>
      </c>
      <c r="C238">
        <f t="shared" ca="1" si="46"/>
        <v>14.8</v>
      </c>
      <c r="D238">
        <v>42.86</v>
      </c>
      <c r="E238" s="8">
        <v>0.35</v>
      </c>
      <c r="F238" s="19">
        <f t="shared" si="57"/>
        <v>1.2424409015942828</v>
      </c>
      <c r="G238" s="19">
        <f t="shared" si="53"/>
        <v>4.0200623081090843</v>
      </c>
      <c r="H238" s="19">
        <f t="shared" ca="1" si="54"/>
        <v>2.7083704513056466</v>
      </c>
      <c r="I238" s="19">
        <f t="shared" si="55"/>
        <v>50.517592856514909</v>
      </c>
      <c r="J238" s="8">
        <v>0.35</v>
      </c>
      <c r="K238" s="19">
        <f t="shared" si="56"/>
        <v>129</v>
      </c>
      <c r="L238" s="3">
        <f t="shared" si="58"/>
        <v>6500</v>
      </c>
      <c r="M238" s="3">
        <f t="shared" si="52"/>
        <v>13</v>
      </c>
      <c r="N238">
        <f t="shared" ca="1" si="47"/>
        <v>0.32781003009294396</v>
      </c>
      <c r="O238">
        <v>52.8</v>
      </c>
      <c r="P238">
        <v>13.07</v>
      </c>
      <c r="Q238">
        <v>13.37</v>
      </c>
      <c r="S238">
        <v>12.86</v>
      </c>
      <c r="T238">
        <v>7.17</v>
      </c>
      <c r="W238">
        <f ca="1">X238-A238-AA238</f>
        <v>17.357614098588485</v>
      </c>
      <c r="X238">
        <f t="shared" ca="1" si="48"/>
        <v>43.857614098588485</v>
      </c>
      <c r="Y238">
        <f ca="1">C238/X238*60</f>
        <v>20.247339447235902</v>
      </c>
      <c r="Z238">
        <v>13.895652173913</v>
      </c>
      <c r="AA238">
        <v>4.5</v>
      </c>
      <c r="AB238">
        <f t="shared" ca="1" si="49"/>
        <v>20</v>
      </c>
      <c r="AC238">
        <f t="shared" ca="1" si="50"/>
        <v>0.24733944723590207</v>
      </c>
      <c r="AD238">
        <f t="shared" ca="1" si="51"/>
        <v>20.247339447235902</v>
      </c>
      <c r="AE238">
        <f ca="1">C238*60/AD238</f>
        <v>43.857614098588485</v>
      </c>
    </row>
    <row r="239" spans="1:31" x14ac:dyDescent="0.45">
      <c r="A239">
        <f t="shared" ca="1" si="45"/>
        <v>17</v>
      </c>
      <c r="B239" s="3">
        <v>6523</v>
      </c>
      <c r="C239">
        <f t="shared" ca="1" si="46"/>
        <v>16.5</v>
      </c>
      <c r="D239">
        <v>30.49</v>
      </c>
      <c r="E239" s="8">
        <v>0.35</v>
      </c>
      <c r="F239" s="19">
        <f t="shared" si="57"/>
        <v>1.2424409015942828</v>
      </c>
      <c r="G239" s="19">
        <f t="shared" si="53"/>
        <v>3.0041227198844132</v>
      </c>
      <c r="H239" s="19">
        <f t="shared" ca="1" si="54"/>
        <v>3.0194670571988622</v>
      </c>
      <c r="I239" s="19">
        <f t="shared" si="55"/>
        <v>37.750919469084238</v>
      </c>
      <c r="J239" s="8">
        <v>0.35</v>
      </c>
      <c r="K239" s="19">
        <f t="shared" si="56"/>
        <v>172</v>
      </c>
      <c r="L239" s="3">
        <f t="shared" si="58"/>
        <v>6500</v>
      </c>
      <c r="M239" s="3">
        <f t="shared" si="52"/>
        <v>15</v>
      </c>
      <c r="N239">
        <f t="shared" ca="1" si="47"/>
        <v>0.1852724677595943</v>
      </c>
      <c r="O239">
        <v>61.25</v>
      </c>
      <c r="P239">
        <v>15.44</v>
      </c>
      <c r="Q239">
        <v>12.48</v>
      </c>
      <c r="S239">
        <v>12.17</v>
      </c>
      <c r="T239">
        <v>7</v>
      </c>
      <c r="W239">
        <f ca="1">X239-A239-AA239</f>
        <v>27.904847722482351</v>
      </c>
      <c r="X239">
        <f t="shared" ca="1" si="48"/>
        <v>49.404847722482351</v>
      </c>
      <c r="Y239">
        <f ca="1">C239/X239*60</f>
        <v>20.038519409290416</v>
      </c>
      <c r="Z239">
        <v>8.73818181818182</v>
      </c>
      <c r="AA239">
        <v>4.5</v>
      </c>
      <c r="AB239">
        <f t="shared" ca="1" si="49"/>
        <v>19.399999999999999</v>
      </c>
      <c r="AC239">
        <f t="shared" ca="1" si="50"/>
        <v>0.63851940929041895</v>
      </c>
      <c r="AD239">
        <f t="shared" ca="1" si="51"/>
        <v>20.038519409290416</v>
      </c>
      <c r="AE239">
        <f ca="1">C239*60/AD239</f>
        <v>49.404847722482351</v>
      </c>
    </row>
    <row r="240" spans="1:31" s="2" customFormat="1" x14ac:dyDescent="0.45">
      <c r="A240" s="2">
        <f t="shared" ca="1" si="45"/>
        <v>17</v>
      </c>
      <c r="B240" s="4">
        <v>7098</v>
      </c>
      <c r="C240" s="2">
        <f t="shared" ca="1" si="46"/>
        <v>15</v>
      </c>
      <c r="D240" s="2">
        <v>37.86</v>
      </c>
      <c r="E240" s="9">
        <v>0.35</v>
      </c>
      <c r="F240" s="19">
        <f t="shared" si="57"/>
        <v>1.2424409015942828</v>
      </c>
      <c r="G240" s="19">
        <f t="shared" si="53"/>
        <v>3.6094157486003242</v>
      </c>
      <c r="H240" s="19">
        <f t="shared" ca="1" si="54"/>
        <v>2.7449700519989659</v>
      </c>
      <c r="I240" s="19">
        <f t="shared" si="55"/>
        <v>45.357255998216331</v>
      </c>
      <c r="J240" s="9">
        <v>0.35</v>
      </c>
      <c r="K240" s="19">
        <f t="shared" si="56"/>
        <v>157</v>
      </c>
      <c r="L240" s="3">
        <f t="shared" si="58"/>
        <v>7100</v>
      </c>
      <c r="M240" s="3">
        <f t="shared" si="52"/>
        <v>12</v>
      </c>
      <c r="N240" s="2">
        <f t="shared" ca="1" si="47"/>
        <v>0.19731991412769428</v>
      </c>
      <c r="O240" s="2">
        <v>52.3</v>
      </c>
      <c r="P240" s="2">
        <v>12.12</v>
      </c>
      <c r="Q240" s="2">
        <v>11.38</v>
      </c>
      <c r="S240" s="2">
        <v>11.93</v>
      </c>
      <c r="T240" s="2">
        <v>7.26</v>
      </c>
      <c r="W240" s="2">
        <f ca="1">X240-A240-AA240</f>
        <v>23.667149971380184</v>
      </c>
      <c r="X240" s="2">
        <f t="shared" ca="1" si="48"/>
        <v>45.167149971380184</v>
      </c>
      <c r="Y240" s="2">
        <f ca="1">C240/X240*60</f>
        <v>19.925986044509742</v>
      </c>
      <c r="Z240" s="2">
        <v>14.005970149253701</v>
      </c>
      <c r="AA240" s="2">
        <v>4.5</v>
      </c>
      <c r="AB240" s="2">
        <f t="shared" ca="1" si="49"/>
        <v>19</v>
      </c>
      <c r="AC240" s="2">
        <f t="shared" ca="1" si="50"/>
        <v>0.92598604450973798</v>
      </c>
      <c r="AD240" s="2">
        <f t="shared" ca="1" si="51"/>
        <v>19.925986044509738</v>
      </c>
      <c r="AE240" s="2">
        <f ca="1">C240*60/AD240</f>
        <v>45.167149971380184</v>
      </c>
    </row>
    <row r="241" spans="1:31" x14ac:dyDescent="0.45">
      <c r="A241">
        <f t="shared" ca="1" si="45"/>
        <v>17</v>
      </c>
      <c r="B241" s="3">
        <v>4152</v>
      </c>
      <c r="C241">
        <f t="shared" ca="1" si="46"/>
        <v>14.9</v>
      </c>
      <c r="D241">
        <v>31.54</v>
      </c>
      <c r="E241" s="8">
        <v>0.35</v>
      </c>
      <c r="F241" s="19">
        <f t="shared" si="57"/>
        <v>1.2424409015942828</v>
      </c>
      <c r="G241" s="19">
        <f t="shared" si="53"/>
        <v>3.0903584973812528</v>
      </c>
      <c r="H241" s="19">
        <f t="shared" ca="1" si="54"/>
        <v>2.7266702516523065</v>
      </c>
      <c r="I241" s="19">
        <f t="shared" si="55"/>
        <v>38.83459020932694</v>
      </c>
      <c r="J241" s="8">
        <v>0.35</v>
      </c>
      <c r="K241" s="19">
        <f t="shared" si="56"/>
        <v>108</v>
      </c>
      <c r="L241" s="3">
        <f t="shared" si="58"/>
        <v>4200</v>
      </c>
      <c r="M241" s="3">
        <f t="shared" si="52"/>
        <v>2</v>
      </c>
      <c r="N241">
        <f t="shared" ca="1" si="47"/>
        <v>0.19199442008422624</v>
      </c>
      <c r="O241">
        <v>50.3</v>
      </c>
      <c r="P241">
        <v>2.4700000000000002</v>
      </c>
      <c r="Q241">
        <v>4.2</v>
      </c>
      <c r="S241">
        <v>12.23</v>
      </c>
      <c r="T241">
        <v>7.4</v>
      </c>
      <c r="W241">
        <f ca="1">X241-A241-AA241</f>
        <v>25.156981113727795</v>
      </c>
      <c r="X241">
        <f t="shared" ca="1" si="48"/>
        <v>46.656981113727795</v>
      </c>
      <c r="Y241">
        <f ca="1">C241/X241*60</f>
        <v>19.161119700840654</v>
      </c>
      <c r="Z241">
        <v>12.8112676056338</v>
      </c>
      <c r="AA241">
        <v>4.5</v>
      </c>
      <c r="AB241">
        <f t="shared" ca="1" si="49"/>
        <v>19</v>
      </c>
      <c r="AC241">
        <f t="shared" ca="1" si="50"/>
        <v>0.16111970084065474</v>
      </c>
      <c r="AD241">
        <f t="shared" ca="1" si="51"/>
        <v>19.161119700840654</v>
      </c>
      <c r="AE241">
        <f ca="1">C241*60/AD241</f>
        <v>46.656981113727795</v>
      </c>
    </row>
    <row r="242" spans="1:31" x14ac:dyDescent="0.45">
      <c r="A242">
        <f t="shared" ca="1" si="45"/>
        <v>17</v>
      </c>
      <c r="B242" s="3">
        <v>4462</v>
      </c>
      <c r="C242">
        <f t="shared" ca="1" si="46"/>
        <v>16.3</v>
      </c>
      <c r="D242">
        <v>33.57</v>
      </c>
      <c r="E242" s="8">
        <v>0.35</v>
      </c>
      <c r="F242" s="19">
        <f t="shared" si="57"/>
        <v>1.2424409015942828</v>
      </c>
      <c r="G242" s="19">
        <f t="shared" si="53"/>
        <v>3.2570810005418092</v>
      </c>
      <c r="H242" s="19">
        <f t="shared" ca="1" si="54"/>
        <v>2.9828674565055433</v>
      </c>
      <c r="I242" s="19">
        <f t="shared" si="55"/>
        <v>40.929686973796166</v>
      </c>
      <c r="J242" s="8">
        <v>0.35</v>
      </c>
      <c r="K242" s="19">
        <f t="shared" si="56"/>
        <v>110</v>
      </c>
      <c r="L242" s="3">
        <f t="shared" si="58"/>
        <v>4500</v>
      </c>
      <c r="M242" s="3">
        <f t="shared" si="52"/>
        <v>3</v>
      </c>
      <c r="N242">
        <f t="shared" ca="1" si="47"/>
        <v>0.16913446891207742</v>
      </c>
      <c r="O242">
        <v>52</v>
      </c>
      <c r="P242">
        <v>3.48</v>
      </c>
      <c r="Q242">
        <v>8.43</v>
      </c>
      <c r="S242">
        <v>11.95</v>
      </c>
      <c r="T242">
        <v>7.24</v>
      </c>
      <c r="W242">
        <f ca="1">X242-A242-AA242</f>
        <v>27.847664821346605</v>
      </c>
      <c r="X242">
        <f t="shared" ca="1" si="48"/>
        <v>49.347664821346605</v>
      </c>
      <c r="Y242">
        <f ca="1">C242/X242*60</f>
        <v>19.818566968480763</v>
      </c>
      <c r="Z242">
        <v>10.0659574468085</v>
      </c>
      <c r="AA242">
        <v>4.5</v>
      </c>
      <c r="AB242">
        <f t="shared" ca="1" si="49"/>
        <v>19.5</v>
      </c>
      <c r="AC242">
        <f t="shared" ca="1" si="50"/>
        <v>0.31856696848076393</v>
      </c>
      <c r="AD242">
        <f t="shared" ca="1" si="51"/>
        <v>19.818566968480763</v>
      </c>
      <c r="AE242">
        <f ca="1">C242*60/AD242</f>
        <v>49.347664821346605</v>
      </c>
    </row>
    <row r="243" spans="1:31" x14ac:dyDescent="0.45">
      <c r="A243">
        <f t="shared" ca="1" si="45"/>
        <v>16</v>
      </c>
      <c r="B243" s="3">
        <v>4751</v>
      </c>
      <c r="C243">
        <f t="shared" ca="1" si="46"/>
        <v>15.9</v>
      </c>
      <c r="D243">
        <v>35.44</v>
      </c>
      <c r="E243" s="8">
        <v>0.35</v>
      </c>
      <c r="F243" s="19">
        <f t="shared" si="57"/>
        <v>1.2424409015942828</v>
      </c>
      <c r="G243" s="19">
        <f t="shared" si="53"/>
        <v>3.4106628137980848</v>
      </c>
      <c r="H243" s="19">
        <f t="shared" ca="1" si="54"/>
        <v>2.9096682551189037</v>
      </c>
      <c r="I243" s="19">
        <f t="shared" si="55"/>
        <v>42.859652958799821</v>
      </c>
      <c r="J243" s="8">
        <v>0.35</v>
      </c>
      <c r="K243" s="19">
        <f t="shared" si="56"/>
        <v>112</v>
      </c>
      <c r="L243" s="3">
        <f t="shared" si="58"/>
        <v>4800</v>
      </c>
      <c r="M243" s="3">
        <f t="shared" si="52"/>
        <v>3</v>
      </c>
      <c r="N243">
        <f t="shared" ca="1" si="47"/>
        <v>0.15908487597534504</v>
      </c>
      <c r="O243">
        <v>50.6</v>
      </c>
      <c r="P243">
        <v>2.92</v>
      </c>
      <c r="Q243">
        <v>6.74</v>
      </c>
      <c r="S243">
        <v>11.72</v>
      </c>
      <c r="T243">
        <v>7.33</v>
      </c>
      <c r="W243">
        <f ca="1">X243-A243-AA243</f>
        <v>27.595332196634217</v>
      </c>
      <c r="X243">
        <f t="shared" ca="1" si="48"/>
        <v>48.095332196634217</v>
      </c>
      <c r="Y243">
        <f ca="1">C243/X243*60</f>
        <v>19.835604754732568</v>
      </c>
      <c r="Z243">
        <v>11.1290322580645</v>
      </c>
      <c r="AA243">
        <v>4.5</v>
      </c>
      <c r="AB243">
        <f t="shared" ca="1" si="49"/>
        <v>19.3</v>
      </c>
      <c r="AC243">
        <f t="shared" ca="1" si="50"/>
        <v>0.53560475473256586</v>
      </c>
      <c r="AD243">
        <f t="shared" ca="1" si="51"/>
        <v>19.835604754732568</v>
      </c>
      <c r="AE243">
        <f ca="1">C243*60/AD243</f>
        <v>48.095332196634217</v>
      </c>
    </row>
    <row r="244" spans="1:31" x14ac:dyDescent="0.45">
      <c r="A244">
        <f t="shared" ca="1" si="45"/>
        <v>21</v>
      </c>
      <c r="B244" s="3">
        <v>4581</v>
      </c>
      <c r="C244">
        <f t="shared" ca="1" si="46"/>
        <v>15.5</v>
      </c>
      <c r="D244">
        <v>33.159999999999997</v>
      </c>
      <c r="E244" s="8">
        <v>0.35</v>
      </c>
      <c r="F244" s="19">
        <f t="shared" si="57"/>
        <v>1.2424409015942828</v>
      </c>
      <c r="G244" s="19">
        <f t="shared" si="53"/>
        <v>3.2234079826620903</v>
      </c>
      <c r="H244" s="19">
        <f t="shared" ca="1" si="54"/>
        <v>2.836469053732265</v>
      </c>
      <c r="I244" s="19">
        <f t="shared" si="55"/>
        <v>40.506539351415675</v>
      </c>
      <c r="J244" s="8">
        <v>0.35</v>
      </c>
      <c r="K244" s="19">
        <f t="shared" si="56"/>
        <v>114</v>
      </c>
      <c r="L244" s="3">
        <f t="shared" si="58"/>
        <v>4600</v>
      </c>
      <c r="M244" s="3">
        <f t="shared" si="52"/>
        <v>7</v>
      </c>
      <c r="N244">
        <f t="shared" ca="1" si="47"/>
        <v>0.20448093447490914</v>
      </c>
      <c r="O244">
        <v>54.8</v>
      </c>
      <c r="P244">
        <v>7.24</v>
      </c>
      <c r="Q244">
        <v>6.92</v>
      </c>
      <c r="S244">
        <v>11.47</v>
      </c>
      <c r="T244">
        <v>7.4</v>
      </c>
      <c r="W244">
        <f ca="1">X244-A244-AA244</f>
        <v>19.904056143187326</v>
      </c>
      <c r="X244">
        <f t="shared" ca="1" si="48"/>
        <v>45.404056143187326</v>
      </c>
      <c r="Y244">
        <f ca="1">C244/X244*60</f>
        <v>20.482751520417683</v>
      </c>
      <c r="Z244">
        <v>15.84</v>
      </c>
      <c r="AA244">
        <v>4.5</v>
      </c>
      <c r="AB244">
        <f t="shared" ca="1" si="49"/>
        <v>19.7</v>
      </c>
      <c r="AC244">
        <f t="shared" ca="1" si="50"/>
        <v>0.78275152041768459</v>
      </c>
      <c r="AD244">
        <f t="shared" ca="1" si="51"/>
        <v>20.482751520417683</v>
      </c>
      <c r="AE244">
        <f ca="1">C244*60/AD244</f>
        <v>45.404056143187326</v>
      </c>
    </row>
    <row r="245" spans="1:31" x14ac:dyDescent="0.45">
      <c r="A245">
        <f t="shared" ca="1" si="45"/>
        <v>22</v>
      </c>
      <c r="B245" s="3">
        <v>4857</v>
      </c>
      <c r="C245">
        <f t="shared" ca="1" si="46"/>
        <v>15.6</v>
      </c>
      <c r="D245">
        <v>36.44</v>
      </c>
      <c r="E245" s="8">
        <v>0.35</v>
      </c>
      <c r="F245" s="19">
        <f t="shared" si="57"/>
        <v>1.2424409015942828</v>
      </c>
      <c r="G245" s="19">
        <f t="shared" si="53"/>
        <v>3.4927921256998364</v>
      </c>
      <c r="H245" s="19">
        <f t="shared" ca="1" si="54"/>
        <v>2.8547688540789244</v>
      </c>
      <c r="I245" s="19">
        <f t="shared" si="55"/>
        <v>43.891720330459535</v>
      </c>
      <c r="J245" s="8">
        <v>0.35</v>
      </c>
      <c r="K245" s="19">
        <f t="shared" si="56"/>
        <v>112</v>
      </c>
      <c r="L245" s="3">
        <f t="shared" si="58"/>
        <v>4900</v>
      </c>
      <c r="M245" s="3">
        <f t="shared" si="52"/>
        <v>0</v>
      </c>
      <c r="N245">
        <f t="shared" si="47"/>
        <v>0.12275</v>
      </c>
      <c r="O245">
        <v>54</v>
      </c>
      <c r="P245">
        <v>0.36</v>
      </c>
      <c r="Q245">
        <v>7.08</v>
      </c>
      <c r="S245">
        <v>12.32</v>
      </c>
      <c r="T245">
        <v>7.41</v>
      </c>
      <c r="W245">
        <v>40</v>
      </c>
      <c r="X245">
        <f t="shared" ca="1" si="48"/>
        <v>47.799974457504625</v>
      </c>
      <c r="Y245">
        <f ca="1">C245/X245*60</f>
        <v>19.581600421818788</v>
      </c>
      <c r="Z245">
        <v>16.0746268656716</v>
      </c>
      <c r="AA245">
        <v>4.5</v>
      </c>
      <c r="AB245">
        <f t="shared" ca="1" si="49"/>
        <v>19.100000000000001</v>
      </c>
      <c r="AC245">
        <f t="shared" ca="1" si="50"/>
        <v>0.48160042181878837</v>
      </c>
      <c r="AD245">
        <f t="shared" ca="1" si="51"/>
        <v>19.581600421818791</v>
      </c>
      <c r="AE245">
        <f ca="1">C245*60/AD245</f>
        <v>47.799974457504625</v>
      </c>
    </row>
    <row r="246" spans="1:31" x14ac:dyDescent="0.45">
      <c r="A246">
        <f t="shared" ca="1" si="45"/>
        <v>18</v>
      </c>
      <c r="B246" s="3">
        <v>6522</v>
      </c>
      <c r="C246">
        <f t="shared" ca="1" si="46"/>
        <v>16.5</v>
      </c>
      <c r="D246">
        <v>40.130000000000003</v>
      </c>
      <c r="E246" s="8">
        <v>0.36</v>
      </c>
      <c r="F246" s="19">
        <f t="shared" si="57"/>
        <v>1.2511071744906996</v>
      </c>
      <c r="G246" s="19">
        <f t="shared" si="53"/>
        <v>3.7730193245439771</v>
      </c>
      <c r="H246" s="19">
        <f t="shared" ca="1" si="54"/>
        <v>2.9152584635077412</v>
      </c>
      <c r="I246" s="19">
        <f t="shared" si="55"/>
        <v>47.413159167358728</v>
      </c>
      <c r="J246" s="8">
        <v>0.36</v>
      </c>
      <c r="K246" s="19">
        <f t="shared" si="56"/>
        <v>137</v>
      </c>
      <c r="L246" s="3">
        <f t="shared" si="58"/>
        <v>6500</v>
      </c>
      <c r="M246" s="3">
        <f t="shared" si="52"/>
        <v>6</v>
      </c>
      <c r="N246">
        <f t="shared" ca="1" si="47"/>
        <v>0.19384317346909666</v>
      </c>
      <c r="O246">
        <v>61.3</v>
      </c>
      <c r="P246">
        <v>6.37</v>
      </c>
      <c r="Q246">
        <v>0.14000000000000001</v>
      </c>
      <c r="S246">
        <v>12.9</v>
      </c>
      <c r="T246">
        <v>7.28</v>
      </c>
      <c r="W246">
        <f ca="1">X246-A246-AA246</f>
        <v>28.992509250762787</v>
      </c>
      <c r="X246">
        <f t="shared" ca="1" si="48"/>
        <v>51.492509250762787</v>
      </c>
      <c r="Y246">
        <f ca="1">C246/X246*60</f>
        <v>19.226097434460033</v>
      </c>
      <c r="Z246">
        <v>7.8545454545454598</v>
      </c>
      <c r="AA246">
        <v>4.5</v>
      </c>
      <c r="AB246">
        <f t="shared" ca="1" si="49"/>
        <v>19.2</v>
      </c>
      <c r="AC246">
        <f t="shared" ca="1" si="50"/>
        <v>2.6097434460035873E-2</v>
      </c>
      <c r="AD246">
        <f t="shared" ca="1" si="51"/>
        <v>19.226097434460033</v>
      </c>
      <c r="AE246">
        <f ca="1">C246*60/AD246</f>
        <v>51.492509250762787</v>
      </c>
    </row>
    <row r="247" spans="1:31" s="2" customFormat="1" x14ac:dyDescent="0.45">
      <c r="A247" s="2">
        <f t="shared" ca="1" si="45"/>
        <v>20</v>
      </c>
      <c r="B247" s="4">
        <v>6444</v>
      </c>
      <c r="C247" s="2">
        <f t="shared" ca="1" si="46"/>
        <v>16</v>
      </c>
      <c r="D247" s="2">
        <v>36.369999999999997</v>
      </c>
      <c r="E247" s="9">
        <v>0.36</v>
      </c>
      <c r="F247" s="19">
        <f t="shared" si="57"/>
        <v>1.2511071744906996</v>
      </c>
      <c r="G247" s="19">
        <f t="shared" si="53"/>
        <v>3.4663521762687375</v>
      </c>
      <c r="H247" s="19">
        <f t="shared" ca="1" si="54"/>
        <v>2.8269172979469004</v>
      </c>
      <c r="I247" s="19">
        <f t="shared" si="55"/>
        <v>43.559466126883429</v>
      </c>
      <c r="J247" s="9">
        <v>0.36</v>
      </c>
      <c r="K247" s="19">
        <f t="shared" si="56"/>
        <v>147</v>
      </c>
      <c r="L247" s="3">
        <f t="shared" si="58"/>
        <v>6400</v>
      </c>
      <c r="M247" s="3">
        <f t="shared" si="52"/>
        <v>11</v>
      </c>
      <c r="N247" s="2">
        <f t="shared" ca="1" si="47"/>
        <v>0.21718250702287067</v>
      </c>
      <c r="O247" s="2">
        <v>59</v>
      </c>
      <c r="P247" s="2">
        <v>11.11</v>
      </c>
      <c r="Q247" s="2">
        <v>11.16</v>
      </c>
      <c r="S247" s="2">
        <v>12.12</v>
      </c>
      <c r="T247" s="2">
        <v>7.34</v>
      </c>
      <c r="W247" s="2">
        <f ca="1">X247-A247-AA247</f>
        <v>22.009139067064162</v>
      </c>
      <c r="X247" s="2">
        <f t="shared" ca="1" si="48"/>
        <v>46.509139067064162</v>
      </c>
      <c r="Y247" s="2">
        <f ca="1">C247/X247*60</f>
        <v>20.641104506701822</v>
      </c>
      <c r="Z247" s="2">
        <v>10.862068965517199</v>
      </c>
      <c r="AA247" s="2">
        <v>4.5</v>
      </c>
      <c r="AB247" s="2">
        <f t="shared" ca="1" si="49"/>
        <v>19.899999999999999</v>
      </c>
      <c r="AC247" s="2">
        <f t="shared" ca="1" si="50"/>
        <v>0.74110450670182881</v>
      </c>
      <c r="AD247" s="2">
        <f t="shared" ca="1" si="51"/>
        <v>20.641104506701826</v>
      </c>
      <c r="AE247" s="2">
        <f ca="1">C247*60/AD247</f>
        <v>46.509139067064162</v>
      </c>
    </row>
    <row r="248" spans="1:31" x14ac:dyDescent="0.45">
      <c r="A248">
        <f t="shared" ca="1" si="45"/>
        <v>20</v>
      </c>
      <c r="B248" s="3">
        <v>6547</v>
      </c>
      <c r="C248">
        <f t="shared" ca="1" si="46"/>
        <v>15.4</v>
      </c>
      <c r="D248">
        <v>38.049999999999997</v>
      </c>
      <c r="E248" s="8">
        <v>0.36</v>
      </c>
      <c r="F248" s="19">
        <f t="shared" si="57"/>
        <v>1.2511071744906996</v>
      </c>
      <c r="G248" s="19">
        <f t="shared" si="53"/>
        <v>3.6033736680512911</v>
      </c>
      <c r="H248" s="19">
        <f t="shared" ca="1" si="54"/>
        <v>2.7209078992738918</v>
      </c>
      <c r="I248" s="19">
        <f t="shared" si="55"/>
        <v>45.281328974755368</v>
      </c>
      <c r="J248" s="8">
        <v>0.36</v>
      </c>
      <c r="K248" s="19">
        <f t="shared" si="56"/>
        <v>144</v>
      </c>
      <c r="L248" s="3">
        <f t="shared" si="58"/>
        <v>6500</v>
      </c>
      <c r="M248" s="3">
        <f t="shared" si="52"/>
        <v>8</v>
      </c>
      <c r="N248">
        <f t="shared" ca="1" si="47"/>
        <v>0.22607984547273838</v>
      </c>
      <c r="O248">
        <v>54.6</v>
      </c>
      <c r="P248">
        <v>8.3800000000000008</v>
      </c>
      <c r="Q248">
        <v>5.51</v>
      </c>
      <c r="S248">
        <v>12.22</v>
      </c>
      <c r="T248">
        <v>7.38</v>
      </c>
      <c r="W248">
        <f ca="1">X248-A248-AA248</f>
        <v>21.408365658953123</v>
      </c>
      <c r="X248">
        <f t="shared" ca="1" si="48"/>
        <v>45.908365658953123</v>
      </c>
      <c r="Y248">
        <f ca="1">C248/X248*60</f>
        <v>20.127050630908272</v>
      </c>
      <c r="Z248">
        <v>12.342857142857101</v>
      </c>
      <c r="AA248">
        <v>4.5</v>
      </c>
      <c r="AB248">
        <f t="shared" ca="1" si="49"/>
        <v>20</v>
      </c>
      <c r="AC248">
        <f t="shared" ca="1" si="50"/>
        <v>0.12705063090826751</v>
      </c>
      <c r="AD248">
        <f t="shared" ca="1" si="51"/>
        <v>20.127050630908268</v>
      </c>
      <c r="AE248">
        <f ca="1">C248*60/AD248</f>
        <v>45.908365658953123</v>
      </c>
    </row>
    <row r="249" spans="1:31" x14ac:dyDescent="0.45">
      <c r="A249">
        <f t="shared" ca="1" si="45"/>
        <v>16</v>
      </c>
      <c r="B249" s="3">
        <v>6348</v>
      </c>
      <c r="C249">
        <f t="shared" ca="1" si="46"/>
        <v>15.7</v>
      </c>
      <c r="D249">
        <v>40.4</v>
      </c>
      <c r="E249" s="8">
        <v>0.36</v>
      </c>
      <c r="F249" s="19">
        <f t="shared" si="57"/>
        <v>1.2511071744906996</v>
      </c>
      <c r="G249" s="19">
        <f t="shared" si="53"/>
        <v>3.795040635723316</v>
      </c>
      <c r="H249" s="19">
        <f t="shared" ca="1" si="54"/>
        <v>2.7739125986103961</v>
      </c>
      <c r="I249" s="19">
        <f t="shared" si="55"/>
        <v>47.689887125052429</v>
      </c>
      <c r="J249" s="8">
        <v>0.36</v>
      </c>
      <c r="K249" s="19">
        <f t="shared" si="56"/>
        <v>132</v>
      </c>
      <c r="L249" s="3">
        <f t="shared" si="58"/>
        <v>6300</v>
      </c>
      <c r="M249" s="3">
        <f t="shared" si="52"/>
        <v>0</v>
      </c>
      <c r="N249">
        <f t="shared" ca="1" si="47"/>
        <v>0.19907743563259186</v>
      </c>
      <c r="O249">
        <v>51.6</v>
      </c>
      <c r="S249">
        <v>12.63</v>
      </c>
      <c r="T249">
        <v>7.2</v>
      </c>
      <c r="W249">
        <f ca="1">X249-A249-AA249</f>
        <v>27.275818491159178</v>
      </c>
      <c r="X249">
        <f t="shared" ca="1" si="48"/>
        <v>47.775818491159178</v>
      </c>
      <c r="Y249">
        <f ca="1">C249/X249*60</f>
        <v>19.717087634496835</v>
      </c>
      <c r="Z249">
        <v>13.0875</v>
      </c>
      <c r="AA249">
        <v>4.5</v>
      </c>
      <c r="AB249">
        <f t="shared" ca="1" si="49"/>
        <v>19</v>
      </c>
      <c r="AC249">
        <f t="shared" ca="1" si="50"/>
        <v>0.71708763449683965</v>
      </c>
      <c r="AD249">
        <f t="shared" ca="1" si="51"/>
        <v>19.717087634496838</v>
      </c>
      <c r="AE249">
        <f ca="1">C249*60/AD249</f>
        <v>47.775818491159178</v>
      </c>
    </row>
    <row r="250" spans="1:31" x14ac:dyDescent="0.45">
      <c r="A250">
        <f t="shared" ca="1" si="45"/>
        <v>19</v>
      </c>
      <c r="B250" s="3">
        <v>6821</v>
      </c>
      <c r="C250">
        <f t="shared" ca="1" si="46"/>
        <v>15.5</v>
      </c>
      <c r="D250">
        <v>13.45</v>
      </c>
      <c r="E250" s="8">
        <v>0.36</v>
      </c>
      <c r="F250" s="19">
        <f t="shared" si="57"/>
        <v>1.2511071744906996</v>
      </c>
      <c r="G250" s="19">
        <f t="shared" si="53"/>
        <v>1.5969875383781831</v>
      </c>
      <c r="H250" s="19">
        <f t="shared" ca="1" si="54"/>
        <v>2.73857613238606</v>
      </c>
      <c r="I250" s="19">
        <f t="shared" si="55"/>
        <v>20.068337273773391</v>
      </c>
      <c r="J250" s="8">
        <v>0.36</v>
      </c>
      <c r="K250" s="19">
        <f t="shared" si="56"/>
        <v>339</v>
      </c>
      <c r="L250" s="3">
        <f t="shared" si="58"/>
        <v>6800</v>
      </c>
      <c r="M250" s="3">
        <f t="shared" si="52"/>
        <v>13</v>
      </c>
      <c r="N250">
        <f t="shared" ca="1" si="47"/>
        <v>0.22531847769889682</v>
      </c>
      <c r="O250">
        <v>61.3</v>
      </c>
      <c r="P250">
        <v>12.53</v>
      </c>
      <c r="Q250">
        <v>7.26</v>
      </c>
      <c r="S250">
        <v>12.53</v>
      </c>
      <c r="T250">
        <v>7.26</v>
      </c>
      <c r="W250">
        <f ca="1">X250-A250-AA250</f>
        <v>23.389115947439237</v>
      </c>
      <c r="X250">
        <f t="shared" ca="1" si="48"/>
        <v>46.889115947439237</v>
      </c>
      <c r="Y250">
        <f ca="1">C250/X250*60</f>
        <v>19.834027176850412</v>
      </c>
      <c r="Z250">
        <v>13.9868852459016</v>
      </c>
      <c r="AA250">
        <v>4.5</v>
      </c>
      <c r="AB250">
        <f t="shared" ca="1" si="49"/>
        <v>19.5</v>
      </c>
      <c r="AC250">
        <f t="shared" ca="1" si="50"/>
        <v>0.3340271768504165</v>
      </c>
      <c r="AD250">
        <f t="shared" ca="1" si="51"/>
        <v>19.834027176850416</v>
      </c>
      <c r="AE250">
        <f ca="1">C250*60/AD250</f>
        <v>46.889115947439237</v>
      </c>
    </row>
    <row r="251" spans="1:31" x14ac:dyDescent="0.45">
      <c r="A251">
        <f t="shared" ca="1" si="45"/>
        <v>21</v>
      </c>
      <c r="B251" s="3">
        <v>6523</v>
      </c>
      <c r="C251">
        <f t="shared" ca="1" si="46"/>
        <v>15.3</v>
      </c>
      <c r="D251">
        <v>26.36</v>
      </c>
      <c r="E251" s="8">
        <v>0.36</v>
      </c>
      <c r="F251" s="19">
        <f t="shared" si="57"/>
        <v>1.2511071744906996</v>
      </c>
      <c r="G251" s="19">
        <f t="shared" si="53"/>
        <v>2.6499324543976881</v>
      </c>
      <c r="H251" s="19">
        <f t="shared" ca="1" si="54"/>
        <v>2.7032396661617235</v>
      </c>
      <c r="I251" s="19">
        <f t="shared" si="55"/>
        <v>33.300033324979786</v>
      </c>
      <c r="J251" s="8">
        <v>0.36</v>
      </c>
      <c r="K251" s="19">
        <f t="shared" si="56"/>
        <v>195</v>
      </c>
      <c r="L251" s="3">
        <f t="shared" si="58"/>
        <v>6500</v>
      </c>
      <c r="M251" s="3">
        <f t="shared" si="52"/>
        <v>14</v>
      </c>
      <c r="N251">
        <f t="shared" ca="1" si="47"/>
        <v>0.14733390391388837</v>
      </c>
      <c r="O251">
        <v>60.1</v>
      </c>
      <c r="P251">
        <v>13.62</v>
      </c>
      <c r="Q251">
        <v>12.21</v>
      </c>
      <c r="S251">
        <v>10.53</v>
      </c>
      <c r="T251">
        <v>7.46</v>
      </c>
      <c r="W251">
        <f ca="1">X251-A251-AA251</f>
        <v>20.837023376468117</v>
      </c>
      <c r="X251">
        <f t="shared" ca="1" si="48"/>
        <v>46.337023376468117</v>
      </c>
      <c r="Y251">
        <f ca="1">C251/X251*60</f>
        <v>19.811371838489716</v>
      </c>
      <c r="Z251">
        <v>17.588571428571399</v>
      </c>
      <c r="AA251">
        <v>4.5</v>
      </c>
      <c r="AB251">
        <f t="shared" ca="1" si="49"/>
        <v>19</v>
      </c>
      <c r="AC251">
        <f t="shared" ca="1" si="50"/>
        <v>0.81137183848971084</v>
      </c>
      <c r="AD251">
        <f t="shared" ca="1" si="51"/>
        <v>19.811371838489713</v>
      </c>
      <c r="AE251">
        <f ca="1">C251*60/AD251</f>
        <v>46.337023376468117</v>
      </c>
    </row>
    <row r="252" spans="1:31" x14ac:dyDescent="0.45">
      <c r="A252">
        <f t="shared" ca="1" si="45"/>
        <v>16</v>
      </c>
      <c r="B252" s="3">
        <v>6123</v>
      </c>
      <c r="C252">
        <f t="shared" ca="1" si="46"/>
        <v>15.3</v>
      </c>
      <c r="D252">
        <v>33.93</v>
      </c>
      <c r="E252" s="8">
        <v>0.36</v>
      </c>
      <c r="F252" s="19">
        <f t="shared" si="57"/>
        <v>1.2511071744906996</v>
      </c>
      <c r="G252" s="19">
        <f t="shared" si="53"/>
        <v>3.2673447715369335</v>
      </c>
      <c r="H252" s="19">
        <f t="shared" ca="1" si="54"/>
        <v>2.7032396661617235</v>
      </c>
      <c r="I252" s="19">
        <f t="shared" si="55"/>
        <v>41.058665324021803</v>
      </c>
      <c r="J252" s="8">
        <v>0.36</v>
      </c>
      <c r="K252" s="19">
        <f t="shared" si="56"/>
        <v>149</v>
      </c>
      <c r="L252" s="3">
        <f t="shared" si="58"/>
        <v>6100</v>
      </c>
      <c r="M252" s="3">
        <f t="shared" si="52"/>
        <v>6</v>
      </c>
      <c r="N252">
        <f t="shared" ca="1" si="47"/>
        <v>0.19136190111005935</v>
      </c>
      <c r="O252">
        <v>53.8</v>
      </c>
      <c r="P252">
        <v>6.15</v>
      </c>
      <c r="Q252">
        <v>8.39</v>
      </c>
      <c r="S252">
        <v>12.17</v>
      </c>
      <c r="T252">
        <v>7.33</v>
      </c>
      <c r="W252">
        <f ca="1">X252-A252-AA252</f>
        <v>25.292390867377179</v>
      </c>
      <c r="X252">
        <f t="shared" ca="1" si="48"/>
        <v>45.792390867377179</v>
      </c>
      <c r="Y252">
        <f ca="1">C252/X252*60</f>
        <v>20.0469986958901</v>
      </c>
      <c r="Z252">
        <v>15.1809523809524</v>
      </c>
      <c r="AA252">
        <v>4.5</v>
      </c>
      <c r="AB252">
        <f t="shared" ca="1" si="49"/>
        <v>19.100000000000001</v>
      </c>
      <c r="AC252">
        <f t="shared" ca="1" si="50"/>
        <v>0.94699869589009844</v>
      </c>
      <c r="AD252">
        <f t="shared" ca="1" si="51"/>
        <v>20.0469986958901</v>
      </c>
      <c r="AE252">
        <f ca="1">C252*60/AD252</f>
        <v>45.792390867377179</v>
      </c>
    </row>
    <row r="253" spans="1:31" s="2" customFormat="1" x14ac:dyDescent="0.45">
      <c r="A253" s="2">
        <f t="shared" ca="1" si="45"/>
        <v>21</v>
      </c>
      <c r="B253" s="4">
        <v>6519</v>
      </c>
      <c r="C253" s="2">
        <f t="shared" ca="1" si="46"/>
        <v>15.2</v>
      </c>
      <c r="D253" s="2">
        <v>40.35</v>
      </c>
      <c r="E253" s="9">
        <v>0.36</v>
      </c>
      <c r="F253" s="19">
        <f t="shared" si="57"/>
        <v>1.2511071744906996</v>
      </c>
      <c r="G253" s="19">
        <f t="shared" si="53"/>
        <v>3.7909626151345495</v>
      </c>
      <c r="H253" s="19">
        <f t="shared" ca="1" si="54"/>
        <v>2.6855714330495557</v>
      </c>
      <c r="I253" s="19">
        <f t="shared" si="55"/>
        <v>47.638641206961005</v>
      </c>
      <c r="J253" s="9">
        <v>0.36</v>
      </c>
      <c r="K253" s="19">
        <f t="shared" si="56"/>
        <v>136</v>
      </c>
      <c r="L253" s="3">
        <f t="shared" si="58"/>
        <v>6500</v>
      </c>
      <c r="M253" s="3">
        <f t="shared" si="52"/>
        <v>11</v>
      </c>
      <c r="N253" s="2">
        <f t="shared" ca="1" si="47"/>
        <v>0.26654701814479453</v>
      </c>
      <c r="O253" s="2">
        <v>61</v>
      </c>
      <c r="P253" s="2">
        <v>10.99</v>
      </c>
      <c r="Q253" s="2">
        <v>10.78</v>
      </c>
      <c r="S253" s="2">
        <v>12.64</v>
      </c>
      <c r="T253" s="2">
        <v>7.11</v>
      </c>
      <c r="W253" s="2">
        <f ca="1">X253-A253-AA253</f>
        <v>20.746808718737853</v>
      </c>
      <c r="X253" s="2">
        <f t="shared" ca="1" si="48"/>
        <v>46.246808718737853</v>
      </c>
      <c r="Y253" s="2">
        <f ca="1">C253/X253*60</f>
        <v>19.720279631543185</v>
      </c>
      <c r="Z253" s="2">
        <v>16.551724137931</v>
      </c>
      <c r="AA253" s="2">
        <v>4.5</v>
      </c>
      <c r="AB253" s="2">
        <f t="shared" ca="1" si="49"/>
        <v>19.100000000000001</v>
      </c>
      <c r="AC253" s="2">
        <f t="shared" ca="1" si="50"/>
        <v>0.62027963154318777</v>
      </c>
      <c r="AD253" s="2">
        <f t="shared" ca="1" si="51"/>
        <v>19.720279631543189</v>
      </c>
      <c r="AE253" s="2">
        <f ca="1">C253*60/AD253</f>
        <v>46.246808718737853</v>
      </c>
    </row>
    <row r="254" spans="1:31" x14ac:dyDescent="0.45">
      <c r="A254">
        <f t="shared" ca="1" si="45"/>
        <v>20</v>
      </c>
      <c r="B254" s="3">
        <v>6478</v>
      </c>
      <c r="C254">
        <f t="shared" ca="1" si="46"/>
        <v>14.6</v>
      </c>
      <c r="D254">
        <v>40.65</v>
      </c>
      <c r="E254" s="8">
        <v>0.36</v>
      </c>
      <c r="F254" s="19">
        <f t="shared" si="57"/>
        <v>1.2511071744906996</v>
      </c>
      <c r="G254" s="19">
        <f t="shared" si="53"/>
        <v>3.815430738667148</v>
      </c>
      <c r="H254" s="19">
        <f t="shared" ca="1" si="54"/>
        <v>2.5795620343765466</v>
      </c>
      <c r="I254" s="19">
        <f t="shared" si="55"/>
        <v>47.946116715509561</v>
      </c>
      <c r="J254" s="8">
        <v>0.36</v>
      </c>
      <c r="K254" s="19">
        <f t="shared" si="56"/>
        <v>136</v>
      </c>
      <c r="L254" s="3">
        <f t="shared" si="58"/>
        <v>6500</v>
      </c>
      <c r="M254" s="3">
        <f t="shared" si="52"/>
        <v>13</v>
      </c>
      <c r="N254">
        <f t="shared" ca="1" si="47"/>
        <v>0.27703207172226224</v>
      </c>
      <c r="O254">
        <v>62.3</v>
      </c>
      <c r="P254">
        <v>12.58</v>
      </c>
      <c r="Q254">
        <v>12.71</v>
      </c>
      <c r="S254">
        <v>12.32</v>
      </c>
      <c r="T254">
        <v>7.37</v>
      </c>
      <c r="W254">
        <f ca="1">X254-A254-AA254</f>
        <v>17.867967305109026</v>
      </c>
      <c r="X254">
        <f t="shared" ca="1" si="48"/>
        <v>42.367967305109026</v>
      </c>
      <c r="Y254">
        <f ca="1">C254/X254*60</f>
        <v>20.675997828537923</v>
      </c>
      <c r="Z254">
        <v>16.342372881355899</v>
      </c>
      <c r="AA254">
        <v>4.5</v>
      </c>
      <c r="AB254">
        <f t="shared" ca="1" si="49"/>
        <v>19.899999999999999</v>
      </c>
      <c r="AC254">
        <f t="shared" ca="1" si="50"/>
        <v>0.77599782853792398</v>
      </c>
      <c r="AD254">
        <f t="shared" ca="1" si="51"/>
        <v>20.675997828537923</v>
      </c>
      <c r="AE254">
        <f ca="1">C254*60/AD254</f>
        <v>42.367967305109026</v>
      </c>
    </row>
    <row r="255" spans="1:31" x14ac:dyDescent="0.45">
      <c r="A255">
        <f t="shared" ca="1" si="45"/>
        <v>19</v>
      </c>
      <c r="B255" s="3">
        <v>4337</v>
      </c>
      <c r="C255">
        <f t="shared" ca="1" si="46"/>
        <v>14.9</v>
      </c>
      <c r="D255">
        <v>30.34</v>
      </c>
      <c r="E255" s="8">
        <v>0.36</v>
      </c>
      <c r="F255" s="19">
        <f t="shared" si="57"/>
        <v>1.2511071744906996</v>
      </c>
      <c r="G255" s="19">
        <f t="shared" si="53"/>
        <v>2.9745428932635001</v>
      </c>
      <c r="H255" s="19">
        <f t="shared" ca="1" si="54"/>
        <v>2.6325667337130514</v>
      </c>
      <c r="I255" s="19">
        <f t="shared" si="55"/>
        <v>37.379208405057362</v>
      </c>
      <c r="J255" s="8">
        <v>0.36</v>
      </c>
      <c r="K255" s="19">
        <f t="shared" si="56"/>
        <v>115</v>
      </c>
      <c r="L255" s="3">
        <f t="shared" si="58"/>
        <v>4300</v>
      </c>
      <c r="M255" s="3">
        <f t="shared" si="52"/>
        <v>10</v>
      </c>
      <c r="N255">
        <f t="shared" ca="1" si="47"/>
        <v>0.25488471028201487</v>
      </c>
      <c r="O255">
        <v>70.900000000000006</v>
      </c>
      <c r="P255">
        <v>9.6999999999999993</v>
      </c>
      <c r="Q255">
        <v>8.5399999999999991</v>
      </c>
      <c r="S255">
        <v>12.67</v>
      </c>
      <c r="T255">
        <v>7.2</v>
      </c>
      <c r="W255">
        <f ca="1">X255-A255-AA255</f>
        <v>21.460683121980004</v>
      </c>
      <c r="X255">
        <f t="shared" ca="1" si="48"/>
        <v>44.960683121980004</v>
      </c>
      <c r="Y255">
        <f ca="1">C255/X255*60</f>
        <v>19.884039519029212</v>
      </c>
      <c r="Z255">
        <v>10.9084337349398</v>
      </c>
      <c r="AA255">
        <v>4.5</v>
      </c>
      <c r="AB255">
        <f t="shared" ca="1" si="49"/>
        <v>19.100000000000001</v>
      </c>
      <c r="AC255">
        <f t="shared" ca="1" si="50"/>
        <v>0.78403951902920621</v>
      </c>
      <c r="AD255">
        <f t="shared" ca="1" si="51"/>
        <v>19.884039519029209</v>
      </c>
      <c r="AE255">
        <f ca="1">C255*60/AD255</f>
        <v>44.960683121980004</v>
      </c>
    </row>
    <row r="256" spans="1:31" x14ac:dyDescent="0.45">
      <c r="A256">
        <f t="shared" ca="1" si="45"/>
        <v>17</v>
      </c>
      <c r="B256" s="3">
        <v>4337</v>
      </c>
      <c r="C256">
        <f t="shared" ca="1" si="46"/>
        <v>14.9</v>
      </c>
      <c r="D256">
        <v>30.34</v>
      </c>
      <c r="E256" s="8">
        <v>0.36</v>
      </c>
      <c r="F256" s="19">
        <f t="shared" si="57"/>
        <v>1.2511071744906996</v>
      </c>
      <c r="G256" s="19">
        <f t="shared" si="53"/>
        <v>2.9745428932635001</v>
      </c>
      <c r="H256" s="19">
        <f t="shared" ca="1" si="54"/>
        <v>2.6325667337130514</v>
      </c>
      <c r="I256" s="19">
        <f t="shared" si="55"/>
        <v>37.379208405057362</v>
      </c>
      <c r="J256" s="8">
        <v>0.36</v>
      </c>
      <c r="K256" s="19">
        <f t="shared" si="56"/>
        <v>115</v>
      </c>
      <c r="L256" s="3">
        <f t="shared" si="58"/>
        <v>4300</v>
      </c>
      <c r="M256" s="3">
        <f t="shared" si="52"/>
        <v>10</v>
      </c>
      <c r="N256">
        <f t="shared" ca="1" si="47"/>
        <v>0.23410047767267098</v>
      </c>
      <c r="O256">
        <v>70.900000000000006</v>
      </c>
      <c r="P256">
        <v>9.6999999999999993</v>
      </c>
      <c r="Q256">
        <v>8.5399999999999991</v>
      </c>
      <c r="S256">
        <v>12.67</v>
      </c>
      <c r="T256">
        <v>7.2</v>
      </c>
      <c r="W256">
        <f ca="1">X256-A256-AA256</f>
        <v>23.366035193009651</v>
      </c>
      <c r="X256">
        <f t="shared" ca="1" si="48"/>
        <v>44.866035193009651</v>
      </c>
      <c r="Y256">
        <f ca="1">C256/X256*60</f>
        <v>19.925986242245219</v>
      </c>
      <c r="Z256">
        <v>10.9084337349398</v>
      </c>
      <c r="AA256">
        <v>4.5</v>
      </c>
      <c r="AB256">
        <f t="shared" ca="1" si="49"/>
        <v>19.5</v>
      </c>
      <c r="AC256">
        <f t="shared" ca="1" si="50"/>
        <v>0.42598624224521597</v>
      </c>
      <c r="AD256">
        <f t="shared" ca="1" si="51"/>
        <v>19.925986242245216</v>
      </c>
      <c r="AE256">
        <f ca="1">C256*60/AD256</f>
        <v>44.866035193009651</v>
      </c>
    </row>
    <row r="257" spans="1:31" x14ac:dyDescent="0.45">
      <c r="A257">
        <f t="shared" ca="1" si="45"/>
        <v>20</v>
      </c>
      <c r="B257" s="3">
        <v>5602</v>
      </c>
      <c r="C257">
        <f t="shared" ca="1" si="46"/>
        <v>14.6</v>
      </c>
      <c r="D257">
        <v>35.71</v>
      </c>
      <c r="E257" s="8">
        <v>0.36</v>
      </c>
      <c r="F257" s="19">
        <f t="shared" si="57"/>
        <v>1.2511071744906996</v>
      </c>
      <c r="G257" s="19">
        <f t="shared" si="53"/>
        <v>3.4125223044970201</v>
      </c>
      <c r="H257" s="19">
        <f t="shared" ca="1" si="54"/>
        <v>2.5795620343765466</v>
      </c>
      <c r="I257" s="19">
        <f t="shared" si="55"/>
        <v>42.883020008076599</v>
      </c>
      <c r="J257" s="8">
        <v>0.36</v>
      </c>
      <c r="K257" s="19">
        <f t="shared" si="56"/>
        <v>131</v>
      </c>
      <c r="L257" s="3">
        <f t="shared" si="58"/>
        <v>5600</v>
      </c>
      <c r="M257" s="3">
        <f t="shared" si="52"/>
        <v>3</v>
      </c>
      <c r="N257">
        <f t="shared" si="47"/>
        <v>0.10461538461538464</v>
      </c>
      <c r="O257">
        <v>52.5</v>
      </c>
      <c r="P257">
        <v>3.45</v>
      </c>
      <c r="Q257">
        <v>4.2699999999999996</v>
      </c>
      <c r="S257">
        <v>11.47</v>
      </c>
      <c r="T257">
        <v>7.39</v>
      </c>
      <c r="W257">
        <v>39</v>
      </c>
      <c r="X257">
        <f t="shared" ca="1" si="48"/>
        <v>44.31660584231728</v>
      </c>
      <c r="Y257">
        <f ca="1">C257/X257*60</f>
        <v>19.76685676508918</v>
      </c>
      <c r="Z257">
        <v>17.047058823529401</v>
      </c>
      <c r="AA257">
        <v>4.5</v>
      </c>
      <c r="AB257">
        <f t="shared" ca="1" si="49"/>
        <v>19.399999999999999</v>
      </c>
      <c r="AC257">
        <f t="shared" ca="1" si="50"/>
        <v>0.3668567650891813</v>
      </c>
      <c r="AD257">
        <f t="shared" ca="1" si="51"/>
        <v>19.76685676508918</v>
      </c>
      <c r="AE257">
        <f ca="1">C257*60/AD257</f>
        <v>44.31660584231728</v>
      </c>
    </row>
    <row r="258" spans="1:31" x14ac:dyDescent="0.45">
      <c r="A258">
        <f t="shared" ca="1" si="45"/>
        <v>21</v>
      </c>
      <c r="B258" s="3">
        <v>6815</v>
      </c>
      <c r="C258">
        <f t="shared" ca="1" si="46"/>
        <v>16.5</v>
      </c>
      <c r="D258">
        <v>32.799999999999997</v>
      </c>
      <c r="E258" s="8">
        <v>0.37</v>
      </c>
      <c r="F258" s="19">
        <f t="shared" si="57"/>
        <v>1.2598951945590369</v>
      </c>
      <c r="G258" s="19">
        <f t="shared" si="53"/>
        <v>3.1565215820841601</v>
      </c>
      <c r="H258" s="19">
        <f t="shared" ca="1" si="54"/>
        <v>2.8166827667728955</v>
      </c>
      <c r="I258" s="19">
        <f t="shared" si="55"/>
        <v>39.666020052692915</v>
      </c>
      <c r="J258" s="8">
        <v>0.37</v>
      </c>
      <c r="K258" s="19">
        <f t="shared" si="56"/>
        <v>171</v>
      </c>
      <c r="L258" s="3">
        <f t="shared" si="58"/>
        <v>6800</v>
      </c>
      <c r="M258" s="3">
        <f t="shared" si="52"/>
        <v>6</v>
      </c>
      <c r="N258">
        <f t="shared" ca="1" si="47"/>
        <v>0.17508200172653815</v>
      </c>
      <c r="O258">
        <v>62.6</v>
      </c>
      <c r="P258">
        <v>6.1</v>
      </c>
      <c r="Q258">
        <v>0.16</v>
      </c>
      <c r="S258">
        <v>11.56</v>
      </c>
      <c r="T258">
        <v>7.33</v>
      </c>
      <c r="W258">
        <f ca="1">X258-A258-AA258</f>
        <v>24.160107596935454</v>
      </c>
      <c r="X258">
        <f t="shared" ca="1" si="48"/>
        <v>49.660107596935454</v>
      </c>
      <c r="Y258">
        <f ca="1">C258/X258*60</f>
        <v>19.935518626646981</v>
      </c>
      <c r="Z258">
        <v>8.2216216216216207</v>
      </c>
      <c r="AA258">
        <v>4.5</v>
      </c>
      <c r="AB258">
        <f t="shared" ca="1" si="49"/>
        <v>19.3</v>
      </c>
      <c r="AC258">
        <f t="shared" ca="1" si="50"/>
        <v>0.63551862664698089</v>
      </c>
      <c r="AD258">
        <f t="shared" ca="1" si="51"/>
        <v>19.935518626646981</v>
      </c>
      <c r="AE258">
        <f ca="1">C258*60/AD258</f>
        <v>49.660107596935454</v>
      </c>
    </row>
    <row r="259" spans="1:31" x14ac:dyDescent="0.45">
      <c r="A259">
        <f t="shared" ca="1" si="45"/>
        <v>18</v>
      </c>
      <c r="B259" s="3">
        <v>6638</v>
      </c>
      <c r="C259">
        <f t="shared" ca="1" si="46"/>
        <v>15.5</v>
      </c>
      <c r="D259">
        <v>46.78</v>
      </c>
      <c r="E259" s="8">
        <v>0.37</v>
      </c>
      <c r="F259" s="19">
        <f t="shared" si="57"/>
        <v>1.2598951945590369</v>
      </c>
      <c r="G259" s="19">
        <f t="shared" si="53"/>
        <v>4.2887829149358856</v>
      </c>
      <c r="H259" s="19">
        <f t="shared" ca="1" si="54"/>
        <v>2.6459747203018109</v>
      </c>
      <c r="I259" s="19">
        <f t="shared" si="55"/>
        <v>53.894435593615988</v>
      </c>
      <c r="J259" s="8">
        <v>0.37</v>
      </c>
      <c r="K259" s="19">
        <f t="shared" si="56"/>
        <v>122</v>
      </c>
      <c r="L259" s="3">
        <f t="shared" ref="L259:L290" si="59">ROUND(B259/100,0)*100</f>
        <v>6600</v>
      </c>
      <c r="M259" s="3">
        <f t="shared" si="52"/>
        <v>13</v>
      </c>
      <c r="N259">
        <f t="shared" ca="1" si="47"/>
        <v>0.21167334488197626</v>
      </c>
      <c r="O259">
        <v>60.22</v>
      </c>
      <c r="P259">
        <v>12.68</v>
      </c>
      <c r="Q259">
        <v>12.4</v>
      </c>
      <c r="S259">
        <v>12.52</v>
      </c>
      <c r="T259">
        <v>7.37</v>
      </c>
      <c r="W259">
        <f ca="1">X259-A259-AA259</f>
        <v>24.329941036607657</v>
      </c>
      <c r="X259">
        <f t="shared" ca="1" si="48"/>
        <v>46.829941036607657</v>
      </c>
      <c r="Y259">
        <f ca="1">C259/X259*60</f>
        <v>19.859089706583344</v>
      </c>
      <c r="Z259">
        <v>9.42</v>
      </c>
      <c r="AA259">
        <v>4.5</v>
      </c>
      <c r="AB259">
        <f t="shared" ca="1" si="49"/>
        <v>19.3</v>
      </c>
      <c r="AC259">
        <f t="shared" ca="1" si="50"/>
        <v>0.55908970658334234</v>
      </c>
      <c r="AD259">
        <f t="shared" ca="1" si="51"/>
        <v>19.859089706583344</v>
      </c>
      <c r="AE259">
        <f ca="1">C259*60/AD259</f>
        <v>46.829941036607657</v>
      </c>
    </row>
    <row r="260" spans="1:31" x14ac:dyDescent="0.45">
      <c r="A260">
        <f t="shared" ref="A260:A309" ca="1" si="60">RANDBETWEEN(16,22)</f>
        <v>19</v>
      </c>
      <c r="B260" s="3">
        <v>6324</v>
      </c>
      <c r="C260">
        <f t="shared" ref="C260:C309" ca="1" si="61">RANDBETWEEN(145,165)/10</f>
        <v>16.399999999999999</v>
      </c>
      <c r="D260">
        <v>42.35</v>
      </c>
      <c r="E260" s="8">
        <v>0.37</v>
      </c>
      <c r="F260" s="19">
        <f t="shared" si="57"/>
        <v>1.2598951945590369</v>
      </c>
      <c r="G260" s="19">
        <f t="shared" si="53"/>
        <v>3.9299905183312256</v>
      </c>
      <c r="H260" s="19">
        <f t="shared" ca="1" si="54"/>
        <v>2.7996119621257867</v>
      </c>
      <c r="I260" s="19">
        <f t="shared" si="55"/>
        <v>49.385717364267684</v>
      </c>
      <c r="J260" s="8">
        <v>0.37</v>
      </c>
      <c r="K260" s="19">
        <f t="shared" si="56"/>
        <v>128</v>
      </c>
      <c r="L260" s="3">
        <f t="shared" si="59"/>
        <v>6300</v>
      </c>
      <c r="M260" s="3">
        <f t="shared" si="52"/>
        <v>12</v>
      </c>
      <c r="N260">
        <f t="shared" ref="N260:N309" ca="1" si="62">(S260-T260)/W260</f>
        <v>0.20778104384771678</v>
      </c>
      <c r="O260">
        <v>60.21</v>
      </c>
      <c r="P260">
        <v>12.19</v>
      </c>
      <c r="Q260">
        <v>0.15</v>
      </c>
      <c r="S260">
        <v>12.87</v>
      </c>
      <c r="T260">
        <v>7.35</v>
      </c>
      <c r="W260">
        <f ca="1">X260-A260-AA260</f>
        <v>26.566427320702175</v>
      </c>
      <c r="X260">
        <f t="shared" ref="X260:X309" ca="1" si="63">AE260</f>
        <v>50.066427320702175</v>
      </c>
      <c r="Y260">
        <f ca="1">C260/X260*60</f>
        <v>19.653888896384696</v>
      </c>
      <c r="Z260">
        <v>10.2129032258065</v>
      </c>
      <c r="AA260">
        <v>4.5</v>
      </c>
      <c r="AB260">
        <f t="shared" ref="AB260:AB309" ca="1" si="64">RANDBETWEEN(190,200)/10</f>
        <v>19</v>
      </c>
      <c r="AC260">
        <f t="shared" ref="AC260:AC309" ca="1" si="65">RAND()</f>
        <v>0.6538888963846976</v>
      </c>
      <c r="AD260">
        <f t="shared" ref="AD260:AD323" ca="1" si="66">AB260+AC260</f>
        <v>19.653888896384696</v>
      </c>
      <c r="AE260">
        <f ca="1">C260*60/AD260</f>
        <v>50.066427320702175</v>
      </c>
    </row>
    <row r="261" spans="1:31" x14ac:dyDescent="0.45">
      <c r="A261">
        <f t="shared" ca="1" si="60"/>
        <v>21</v>
      </c>
      <c r="B261" s="3">
        <v>7007</v>
      </c>
      <c r="C261">
        <f t="shared" ca="1" si="61"/>
        <v>14.9</v>
      </c>
      <c r="D261">
        <v>34.6</v>
      </c>
      <c r="E261" s="8">
        <v>0.37</v>
      </c>
      <c r="F261" s="19">
        <f t="shared" si="57"/>
        <v>1.2598951945590369</v>
      </c>
      <c r="G261" s="19">
        <f t="shared" si="53"/>
        <v>3.3023063030521937</v>
      </c>
      <c r="H261" s="19">
        <f t="shared" ca="1" si="54"/>
        <v>2.54354989241916</v>
      </c>
      <c r="I261" s="19">
        <f t="shared" si="55"/>
        <v>41.498004886288165</v>
      </c>
      <c r="J261" s="8">
        <v>0.37</v>
      </c>
      <c r="K261" s="19">
        <f t="shared" si="56"/>
        <v>169</v>
      </c>
      <c r="L261" s="3">
        <f t="shared" si="59"/>
        <v>7000</v>
      </c>
      <c r="M261" s="3">
        <f t="shared" ref="M261:M309" si="67">ROUND(P261,0)</f>
        <v>11</v>
      </c>
      <c r="N261">
        <f t="shared" ca="1" si="62"/>
        <v>0.267635269321504</v>
      </c>
      <c r="O261">
        <v>71.5</v>
      </c>
      <c r="P261">
        <v>11.28</v>
      </c>
      <c r="Q261">
        <v>8.6</v>
      </c>
      <c r="S261">
        <v>12.36</v>
      </c>
      <c r="T261">
        <v>7.4</v>
      </c>
      <c r="W261">
        <f ca="1">X261-A261-AA261</f>
        <v>18.532684472320675</v>
      </c>
      <c r="X261">
        <f t="shared" ca="1" si="63"/>
        <v>44.032684472320675</v>
      </c>
      <c r="Y261">
        <f ca="1">C261/X261*60</f>
        <v>20.30310008834406</v>
      </c>
      <c r="Z261">
        <v>11.406185567010301</v>
      </c>
      <c r="AA261">
        <v>4.5</v>
      </c>
      <c r="AB261">
        <f t="shared" ca="1" si="64"/>
        <v>19.399999999999999</v>
      </c>
      <c r="AC261">
        <f t="shared" ca="1" si="65"/>
        <v>0.90310008834406286</v>
      </c>
      <c r="AD261">
        <f t="shared" ca="1" si="66"/>
        <v>20.30310008834406</v>
      </c>
      <c r="AE261">
        <f ca="1">C261*60/AD261</f>
        <v>44.032684472320675</v>
      </c>
    </row>
    <row r="262" spans="1:31" x14ac:dyDescent="0.45">
      <c r="A262">
        <f t="shared" ca="1" si="60"/>
        <v>21</v>
      </c>
      <c r="B262" s="3">
        <v>6352</v>
      </c>
      <c r="C262">
        <f t="shared" ca="1" si="61"/>
        <v>16.5</v>
      </c>
      <c r="D262">
        <v>37.340000000000003</v>
      </c>
      <c r="E262" s="8">
        <v>0.37</v>
      </c>
      <c r="F262" s="19">
        <f t="shared" si="57"/>
        <v>1.2598951945590369</v>
      </c>
      <c r="G262" s="19">
        <f t="shared" ref="G262:G309" si="68">D262/9.8/F262+0.5</f>
        <v>3.5242230449702001</v>
      </c>
      <c r="H262" s="19">
        <f t="shared" ref="H262:H309" ca="1" si="69">C262/E262/F262/(4*PI())</f>
        <v>2.8166827667728955</v>
      </c>
      <c r="I262" s="19">
        <f t="shared" ref="I262:I309" si="70">G262*4*4/4*PI()</f>
        <v>44.286692910760927</v>
      </c>
      <c r="J262" s="8">
        <v>0.37</v>
      </c>
      <c r="K262" s="19">
        <f t="shared" ref="K262:K309" si="71">ROUND(L262/I262,0)</f>
        <v>145</v>
      </c>
      <c r="L262" s="3">
        <f t="shared" si="59"/>
        <v>6400</v>
      </c>
      <c r="M262" s="3">
        <f t="shared" si="67"/>
        <v>7</v>
      </c>
      <c r="N262">
        <f t="shared" ca="1" si="62"/>
        <v>0.20691880096718404</v>
      </c>
      <c r="O262">
        <v>59.68</v>
      </c>
      <c r="P262">
        <v>6.63</v>
      </c>
      <c r="Q262">
        <v>6.14</v>
      </c>
      <c r="S262">
        <v>12.33</v>
      </c>
      <c r="T262">
        <v>7.47</v>
      </c>
      <c r="W262">
        <f ca="1">X262-A262-AA262</f>
        <v>23.487474203809853</v>
      </c>
      <c r="X262">
        <f t="shared" ca="1" si="63"/>
        <v>48.987474203809853</v>
      </c>
      <c r="Y262">
        <f ca="1">C262/X262*60</f>
        <v>20.209247692198954</v>
      </c>
      <c r="Z262">
        <v>13.0184210526316</v>
      </c>
      <c r="AA262">
        <v>4.5</v>
      </c>
      <c r="AB262">
        <f t="shared" ca="1" si="64"/>
        <v>20</v>
      </c>
      <c r="AC262">
        <f t="shared" ca="1" si="65"/>
        <v>0.20924769219895389</v>
      </c>
      <c r="AD262">
        <f t="shared" ca="1" si="66"/>
        <v>20.209247692198954</v>
      </c>
      <c r="AE262">
        <f ca="1">C262*60/AD262</f>
        <v>48.987474203809853</v>
      </c>
    </row>
    <row r="263" spans="1:31" x14ac:dyDescent="0.45">
      <c r="A263">
        <f t="shared" ca="1" si="60"/>
        <v>18</v>
      </c>
      <c r="B263" s="3">
        <v>6443</v>
      </c>
      <c r="C263">
        <f t="shared" ca="1" si="61"/>
        <v>16.399999999999999</v>
      </c>
      <c r="D263">
        <v>36.17</v>
      </c>
      <c r="E263" s="8">
        <v>0.37</v>
      </c>
      <c r="F263" s="19">
        <f t="shared" si="57"/>
        <v>1.2598951945590369</v>
      </c>
      <c r="G263" s="19">
        <f t="shared" si="68"/>
        <v>3.4294629763409783</v>
      </c>
      <c r="H263" s="19">
        <f t="shared" ca="1" si="69"/>
        <v>2.7996119621257867</v>
      </c>
      <c r="I263" s="19">
        <f t="shared" si="70"/>
        <v>43.095902768924013</v>
      </c>
      <c r="J263" s="8">
        <v>0.37</v>
      </c>
      <c r="K263" s="19">
        <f t="shared" si="71"/>
        <v>149</v>
      </c>
      <c r="L263" s="3">
        <f t="shared" si="59"/>
        <v>6400</v>
      </c>
      <c r="M263" s="3">
        <f t="shared" si="67"/>
        <v>5</v>
      </c>
      <c r="N263">
        <f t="shared" ca="1" si="62"/>
        <v>0.19305171270848098</v>
      </c>
      <c r="O263">
        <v>53</v>
      </c>
      <c r="P263">
        <v>5.01</v>
      </c>
      <c r="Q263">
        <v>4.3899999999999997</v>
      </c>
      <c r="S263">
        <v>12.45</v>
      </c>
      <c r="T263">
        <v>7.43</v>
      </c>
      <c r="W263">
        <f ca="1">X263-A263-AA263</f>
        <v>26.003395305694511</v>
      </c>
      <c r="X263">
        <f t="shared" ca="1" si="63"/>
        <v>48.503395305694511</v>
      </c>
      <c r="Y263">
        <f ca="1">C263/X263*60</f>
        <v>20.28723955917523</v>
      </c>
      <c r="Z263">
        <v>14.8684931506849</v>
      </c>
      <c r="AA263">
        <v>4.5</v>
      </c>
      <c r="AB263">
        <f t="shared" ca="1" si="64"/>
        <v>19.600000000000001</v>
      </c>
      <c r="AC263">
        <f t="shared" ca="1" si="65"/>
        <v>0.6872395591752285</v>
      </c>
      <c r="AD263">
        <f t="shared" ca="1" si="66"/>
        <v>20.28723955917523</v>
      </c>
      <c r="AE263">
        <f ca="1">C263*60/AD263</f>
        <v>48.503395305694511</v>
      </c>
    </row>
    <row r="264" spans="1:31" x14ac:dyDescent="0.45">
      <c r="A264">
        <f t="shared" ca="1" si="60"/>
        <v>18</v>
      </c>
      <c r="B264" s="3">
        <v>6328</v>
      </c>
      <c r="C264">
        <f t="shared" ca="1" si="61"/>
        <v>15.9</v>
      </c>
      <c r="D264">
        <v>45.77</v>
      </c>
      <c r="E264" s="8">
        <v>0.37</v>
      </c>
      <c r="F264" s="19">
        <f t="shared" si="57"/>
        <v>1.2598951945590369</v>
      </c>
      <c r="G264" s="19">
        <f t="shared" si="68"/>
        <v>4.2069814881704897</v>
      </c>
      <c r="H264" s="19">
        <f t="shared" ca="1" si="69"/>
        <v>2.7142579388902446</v>
      </c>
      <c r="I264" s="19">
        <f t="shared" si="70"/>
        <v>52.866488548098658</v>
      </c>
      <c r="J264" s="8">
        <v>0.37</v>
      </c>
      <c r="K264" s="19">
        <f t="shared" si="71"/>
        <v>119</v>
      </c>
      <c r="L264" s="3">
        <f t="shared" si="59"/>
        <v>6300</v>
      </c>
      <c r="M264" s="3">
        <f t="shared" si="67"/>
        <v>9</v>
      </c>
      <c r="N264">
        <f t="shared" ca="1" si="62"/>
        <v>0.19435416725339824</v>
      </c>
      <c r="O264">
        <v>63.6</v>
      </c>
      <c r="P264">
        <v>9.1</v>
      </c>
      <c r="Q264">
        <v>9.31</v>
      </c>
      <c r="S264">
        <v>11.94</v>
      </c>
      <c r="T264">
        <v>7.05</v>
      </c>
      <c r="W264">
        <f ca="1">X264-A264-AA264</f>
        <v>25.160252898639605</v>
      </c>
      <c r="X264">
        <f t="shared" ca="1" si="63"/>
        <v>47.660252898639605</v>
      </c>
      <c r="Y264">
        <f ca="1">C264/X264*60</f>
        <v>20.016679349748699</v>
      </c>
      <c r="Z264">
        <v>21.2842105263158</v>
      </c>
      <c r="AA264">
        <v>4.5</v>
      </c>
      <c r="AB264">
        <f t="shared" ca="1" si="64"/>
        <v>19.899999999999999</v>
      </c>
      <c r="AC264">
        <f t="shared" ca="1" si="65"/>
        <v>0.11667934974870231</v>
      </c>
      <c r="AD264">
        <f t="shared" ca="1" si="66"/>
        <v>20.016679349748699</v>
      </c>
      <c r="AE264">
        <f ca="1">C264*60/AD264</f>
        <v>47.660252898639605</v>
      </c>
    </row>
    <row r="265" spans="1:31" x14ac:dyDescent="0.45">
      <c r="A265">
        <f t="shared" ca="1" si="60"/>
        <v>16</v>
      </c>
      <c r="B265" s="3">
        <v>6717</v>
      </c>
      <c r="C265">
        <f t="shared" ca="1" si="61"/>
        <v>15</v>
      </c>
      <c r="D265">
        <v>40.6</v>
      </c>
      <c r="E265" s="8">
        <v>0.37</v>
      </c>
      <c r="F265" s="19">
        <f t="shared" si="57"/>
        <v>1.2598951945590369</v>
      </c>
      <c r="G265" s="19">
        <f t="shared" si="68"/>
        <v>3.7882553729456374</v>
      </c>
      <c r="H265" s="19">
        <f t="shared" ca="1" si="69"/>
        <v>2.5606206970662684</v>
      </c>
      <c r="I265" s="19">
        <f t="shared" si="70"/>
        <v>47.604620998272303</v>
      </c>
      <c r="J265" s="8">
        <v>0.37</v>
      </c>
      <c r="K265" s="19">
        <f t="shared" si="71"/>
        <v>141</v>
      </c>
      <c r="L265" s="3">
        <f t="shared" si="59"/>
        <v>6700</v>
      </c>
      <c r="M265" s="3">
        <f t="shared" si="67"/>
        <v>12</v>
      </c>
      <c r="N265">
        <f t="shared" ca="1" si="62"/>
        <v>0.23312299010931339</v>
      </c>
      <c r="O265">
        <v>50.7</v>
      </c>
      <c r="P265">
        <v>12.06</v>
      </c>
      <c r="Q265">
        <v>11.59</v>
      </c>
      <c r="S265">
        <v>12.6</v>
      </c>
      <c r="T265">
        <v>7.14</v>
      </c>
      <c r="W265">
        <f ca="1">X265-A265-AA265</f>
        <v>23.421113453631314</v>
      </c>
      <c r="X265">
        <f t="shared" ca="1" si="63"/>
        <v>43.921113453631314</v>
      </c>
      <c r="Y265">
        <f ca="1">C265/X265*60</f>
        <v>20.491283786558686</v>
      </c>
      <c r="Z265">
        <v>13.714285714285699</v>
      </c>
      <c r="AA265">
        <v>4.5</v>
      </c>
      <c r="AB265">
        <f t="shared" ca="1" si="64"/>
        <v>19.899999999999999</v>
      </c>
      <c r="AC265">
        <f t="shared" ca="1" si="65"/>
        <v>0.59128378655869118</v>
      </c>
      <c r="AD265">
        <f t="shared" ca="1" si="66"/>
        <v>20.491283786558689</v>
      </c>
      <c r="AE265">
        <f ca="1">C265*60/AD265</f>
        <v>43.921113453631314</v>
      </c>
    </row>
    <row r="266" spans="1:31" x14ac:dyDescent="0.45">
      <c r="A266">
        <f t="shared" ca="1" si="60"/>
        <v>18</v>
      </c>
      <c r="B266" s="3">
        <v>6519</v>
      </c>
      <c r="C266">
        <f t="shared" ca="1" si="61"/>
        <v>16.2</v>
      </c>
      <c r="D266">
        <v>41.6</v>
      </c>
      <c r="E266" s="8">
        <v>0.37</v>
      </c>
      <c r="F266" s="19">
        <f t="shared" si="57"/>
        <v>1.2598951945590369</v>
      </c>
      <c r="G266" s="19">
        <f t="shared" si="68"/>
        <v>3.8692468845945456</v>
      </c>
      <c r="H266" s="19">
        <f t="shared" ca="1" si="69"/>
        <v>2.7654703528315698</v>
      </c>
      <c r="I266" s="19">
        <f t="shared" si="70"/>
        <v>48.622390350269676</v>
      </c>
      <c r="J266" s="8">
        <v>0.37</v>
      </c>
      <c r="K266" s="19">
        <f t="shared" si="71"/>
        <v>134</v>
      </c>
      <c r="L266" s="3">
        <f t="shared" si="59"/>
        <v>6500</v>
      </c>
      <c r="M266" s="3">
        <f t="shared" si="67"/>
        <v>14</v>
      </c>
      <c r="N266">
        <f t="shared" ca="1" si="62"/>
        <v>0.2114774083794399</v>
      </c>
      <c r="O266">
        <v>51.8</v>
      </c>
      <c r="P266">
        <v>14.07</v>
      </c>
      <c r="Q266">
        <v>13.44</v>
      </c>
      <c r="S266">
        <v>12.46</v>
      </c>
      <c r="T266">
        <v>7.1</v>
      </c>
      <c r="W266">
        <f ca="1">X266-A266-AA266</f>
        <v>25.345496907087629</v>
      </c>
      <c r="X266">
        <f t="shared" ca="1" si="63"/>
        <v>47.845496907087629</v>
      </c>
      <c r="Y266">
        <f ca="1">C266/X266*60</f>
        <v>20.315391475347223</v>
      </c>
      <c r="Z266">
        <v>20.037500000000001</v>
      </c>
      <c r="AA266">
        <v>4.5</v>
      </c>
      <c r="AB266">
        <f t="shared" ca="1" si="64"/>
        <v>20</v>
      </c>
      <c r="AC266">
        <f t="shared" ca="1" si="65"/>
        <v>0.31539147534722134</v>
      </c>
      <c r="AD266">
        <f t="shared" ca="1" si="66"/>
        <v>20.315391475347223</v>
      </c>
      <c r="AE266">
        <f ca="1">C266*60/AD266</f>
        <v>47.845496907087629</v>
      </c>
    </row>
    <row r="267" spans="1:31" x14ac:dyDescent="0.45">
      <c r="A267">
        <f t="shared" ca="1" si="60"/>
        <v>22</v>
      </c>
      <c r="B267" s="3">
        <v>6947</v>
      </c>
      <c r="C267">
        <f t="shared" ca="1" si="61"/>
        <v>15.5</v>
      </c>
      <c r="D267">
        <v>35.659999999999997</v>
      </c>
      <c r="E267" s="8">
        <v>0.37</v>
      </c>
      <c r="F267" s="19">
        <f t="shared" si="57"/>
        <v>1.2598951945590369</v>
      </c>
      <c r="G267" s="19">
        <f t="shared" si="68"/>
        <v>3.3881573054000351</v>
      </c>
      <c r="H267" s="19">
        <f t="shared" ca="1" si="69"/>
        <v>2.6459747203018109</v>
      </c>
      <c r="I267" s="19">
        <f t="shared" si="70"/>
        <v>42.576840399405356</v>
      </c>
      <c r="J267" s="8">
        <v>0.37</v>
      </c>
      <c r="K267" s="19">
        <f t="shared" si="71"/>
        <v>162</v>
      </c>
      <c r="L267" s="3">
        <f t="shared" si="59"/>
        <v>6900</v>
      </c>
      <c r="M267" s="3">
        <f t="shared" si="67"/>
        <v>6</v>
      </c>
      <c r="N267">
        <f t="shared" ca="1" si="62"/>
        <v>0.24479423792391092</v>
      </c>
      <c r="O267">
        <v>60.1</v>
      </c>
      <c r="P267">
        <v>5.95</v>
      </c>
      <c r="Q267">
        <v>7.94</v>
      </c>
      <c r="S267">
        <v>12.52</v>
      </c>
      <c r="T267">
        <v>7.45</v>
      </c>
      <c r="W267">
        <f ca="1">X267-A267-AA267</f>
        <v>20.711271813415401</v>
      </c>
      <c r="X267">
        <f t="shared" ca="1" si="63"/>
        <v>47.211271813415401</v>
      </c>
      <c r="Y267">
        <f ca="1">C267/X267*60</f>
        <v>19.698685595157684</v>
      </c>
      <c r="Z267">
        <v>12.323076923076901</v>
      </c>
      <c r="AA267">
        <v>4.5</v>
      </c>
      <c r="AB267">
        <f t="shared" ca="1" si="64"/>
        <v>19</v>
      </c>
      <c r="AC267">
        <f t="shared" ca="1" si="65"/>
        <v>0.69868559515768291</v>
      </c>
      <c r="AD267">
        <f t="shared" ca="1" si="66"/>
        <v>19.698685595157684</v>
      </c>
      <c r="AE267">
        <f ca="1">C267*60/AD267</f>
        <v>47.211271813415401</v>
      </c>
    </row>
    <row r="268" spans="1:31" x14ac:dyDescent="0.45">
      <c r="A268">
        <f t="shared" ca="1" si="60"/>
        <v>17</v>
      </c>
      <c r="B268" s="3">
        <v>6375</v>
      </c>
      <c r="C268">
        <f t="shared" ca="1" si="61"/>
        <v>16.399999999999999</v>
      </c>
      <c r="D268">
        <v>41.76</v>
      </c>
      <c r="E268" s="8">
        <v>0.37</v>
      </c>
      <c r="F268" s="19">
        <f t="shared" si="57"/>
        <v>1.2598951945590369</v>
      </c>
      <c r="G268" s="19">
        <f t="shared" si="68"/>
        <v>3.8822055264583701</v>
      </c>
      <c r="H268" s="19">
        <f t="shared" ca="1" si="69"/>
        <v>2.7996119621257867</v>
      </c>
      <c r="I268" s="19">
        <f t="shared" si="70"/>
        <v>48.785233446589245</v>
      </c>
      <c r="J268" s="8">
        <v>0.37</v>
      </c>
      <c r="K268" s="19">
        <f t="shared" si="71"/>
        <v>131</v>
      </c>
      <c r="L268" s="3">
        <f t="shared" si="59"/>
        <v>6400</v>
      </c>
      <c r="M268" s="3">
        <f t="shared" si="67"/>
        <v>14</v>
      </c>
      <c r="N268">
        <f t="shared" ca="1" si="62"/>
        <v>0.1838447445201058</v>
      </c>
      <c r="O268">
        <v>54.9</v>
      </c>
      <c r="P268">
        <v>13.67</v>
      </c>
      <c r="Q268">
        <v>9.4600000000000009</v>
      </c>
      <c r="S268">
        <v>12.3</v>
      </c>
      <c r="T268">
        <v>7.15</v>
      </c>
      <c r="W268">
        <f ca="1">X268-A268-AA268</f>
        <v>28.012767041250839</v>
      </c>
      <c r="X268">
        <f t="shared" ca="1" si="63"/>
        <v>49.512767041250839</v>
      </c>
      <c r="Y268">
        <f ca="1">C268/X268*60</f>
        <v>19.873662063366297</v>
      </c>
      <c r="Z268">
        <v>13.2</v>
      </c>
      <c r="AA268">
        <v>4.5</v>
      </c>
      <c r="AB268">
        <f t="shared" ca="1" si="64"/>
        <v>19.399999999999999</v>
      </c>
      <c r="AC268">
        <f t="shared" ca="1" si="65"/>
        <v>0.47366206336629679</v>
      </c>
      <c r="AD268">
        <f t="shared" ca="1" si="66"/>
        <v>19.873662063366297</v>
      </c>
      <c r="AE268">
        <f ca="1">C268*60/AD268</f>
        <v>49.512767041250839</v>
      </c>
    </row>
    <row r="269" spans="1:31" x14ac:dyDescent="0.45">
      <c r="A269">
        <f t="shared" ca="1" si="60"/>
        <v>17</v>
      </c>
      <c r="B269" s="3">
        <v>6949</v>
      </c>
      <c r="C269">
        <f t="shared" ca="1" si="61"/>
        <v>15.2</v>
      </c>
      <c r="D269">
        <v>43.16</v>
      </c>
      <c r="E269" s="8">
        <v>0.37</v>
      </c>
      <c r="F269" s="19">
        <f t="shared" si="57"/>
        <v>1.2598951945590369</v>
      </c>
      <c r="G269" s="19">
        <f t="shared" si="68"/>
        <v>3.9955936427668401</v>
      </c>
      <c r="H269" s="19">
        <f t="shared" ca="1" si="69"/>
        <v>2.5947623063604857</v>
      </c>
      <c r="I269" s="19">
        <f t="shared" si="70"/>
        <v>50.210110539385539</v>
      </c>
      <c r="J269" s="8">
        <v>0.37</v>
      </c>
      <c r="K269" s="19">
        <f t="shared" si="71"/>
        <v>137</v>
      </c>
      <c r="L269" s="3">
        <f t="shared" si="59"/>
        <v>6900</v>
      </c>
      <c r="M269" s="3">
        <f t="shared" si="67"/>
        <v>10</v>
      </c>
      <c r="N269">
        <f t="shared" ca="1" si="62"/>
        <v>0.20916002760015695</v>
      </c>
      <c r="O269">
        <v>50.3</v>
      </c>
      <c r="P269">
        <v>9.5399999999999991</v>
      </c>
      <c r="Q269">
        <v>9.0299999999999994</v>
      </c>
      <c r="S269">
        <v>12.54</v>
      </c>
      <c r="T269">
        <v>7.25</v>
      </c>
      <c r="W269">
        <f ca="1">X269-A269-AA269</f>
        <v>25.291639424109682</v>
      </c>
      <c r="X269">
        <f t="shared" ca="1" si="63"/>
        <v>46.791639424109682</v>
      </c>
      <c r="Y269">
        <f ca="1">C269/X269*60</f>
        <v>19.490661392173539</v>
      </c>
      <c r="Z269">
        <v>14.6238805970149</v>
      </c>
      <c r="AA269">
        <v>4.5</v>
      </c>
      <c r="AB269">
        <f t="shared" ca="1" si="64"/>
        <v>19.2</v>
      </c>
      <c r="AC269">
        <f t="shared" ca="1" si="65"/>
        <v>0.29066139217354459</v>
      </c>
      <c r="AD269">
        <f t="shared" ca="1" si="66"/>
        <v>19.490661392173543</v>
      </c>
      <c r="AE269">
        <f ca="1">C269*60/AD269</f>
        <v>46.791639424109682</v>
      </c>
    </row>
    <row r="270" spans="1:31" x14ac:dyDescent="0.45">
      <c r="A270">
        <f t="shared" ca="1" si="60"/>
        <v>20</v>
      </c>
      <c r="B270" s="3">
        <v>6889</v>
      </c>
      <c r="C270">
        <f t="shared" ca="1" si="61"/>
        <v>16.399999999999999</v>
      </c>
      <c r="D270">
        <v>42.21</v>
      </c>
      <c r="E270" s="8">
        <v>0.37</v>
      </c>
      <c r="F270" s="19">
        <f t="shared" si="57"/>
        <v>1.2598951945590369</v>
      </c>
      <c r="G270" s="19">
        <f t="shared" si="68"/>
        <v>3.9186517067003788</v>
      </c>
      <c r="H270" s="19">
        <f t="shared" ca="1" si="69"/>
        <v>2.7996119621257867</v>
      </c>
      <c r="I270" s="19">
        <f t="shared" si="70"/>
        <v>49.243229654988056</v>
      </c>
      <c r="J270" s="8">
        <v>0.37</v>
      </c>
      <c r="K270" s="19">
        <f t="shared" si="71"/>
        <v>140</v>
      </c>
      <c r="L270" s="3">
        <f t="shared" si="59"/>
        <v>6900</v>
      </c>
      <c r="M270" s="3">
        <f t="shared" si="67"/>
        <v>13</v>
      </c>
      <c r="N270">
        <f t="shared" ca="1" si="62"/>
        <v>0.20867395769807226</v>
      </c>
      <c r="O270">
        <v>51.4</v>
      </c>
      <c r="P270">
        <v>12.87</v>
      </c>
      <c r="Q270">
        <v>8.9</v>
      </c>
      <c r="S270">
        <v>12.37</v>
      </c>
      <c r="T270">
        <v>7.3</v>
      </c>
      <c r="W270">
        <f ca="1">X270-A270-AA270</f>
        <v>24.296275663375873</v>
      </c>
      <c r="X270">
        <f t="shared" ca="1" si="63"/>
        <v>48.796275663375873</v>
      </c>
      <c r="Y270">
        <f ca="1">C270/X270*60</f>
        <v>20.165473422360854</v>
      </c>
      <c r="Z270">
        <v>14.3090909090909</v>
      </c>
      <c r="AA270">
        <v>4.5</v>
      </c>
      <c r="AB270">
        <f t="shared" ca="1" si="64"/>
        <v>20</v>
      </c>
      <c r="AC270">
        <f t="shared" ca="1" si="65"/>
        <v>0.16547342236085449</v>
      </c>
      <c r="AD270">
        <f t="shared" ca="1" si="66"/>
        <v>20.165473422360854</v>
      </c>
      <c r="AE270">
        <f ca="1">C270*60/AD270</f>
        <v>48.796275663375873</v>
      </c>
    </row>
    <row r="271" spans="1:31" x14ac:dyDescent="0.45">
      <c r="A271">
        <f t="shared" ca="1" si="60"/>
        <v>20</v>
      </c>
      <c r="B271" s="3">
        <v>6424</v>
      </c>
      <c r="C271">
        <f t="shared" ca="1" si="61"/>
        <v>16.100000000000001</v>
      </c>
      <c r="D271">
        <v>44.2</v>
      </c>
      <c r="E271" s="8">
        <v>0.38</v>
      </c>
      <c r="F271" s="19">
        <f t="shared" si="57"/>
        <v>1.2688075454749606</v>
      </c>
      <c r="G271" s="19">
        <f t="shared" si="68"/>
        <v>4.0546794292938415</v>
      </c>
      <c r="H271" s="19">
        <f t="shared" ca="1" si="69"/>
        <v>2.6572759854611512</v>
      </c>
      <c r="I271" s="19">
        <f t="shared" si="70"/>
        <v>50.952604430924751</v>
      </c>
      <c r="J271" s="8">
        <v>0.38</v>
      </c>
      <c r="K271" s="19">
        <f t="shared" si="71"/>
        <v>126</v>
      </c>
      <c r="L271" s="3">
        <f t="shared" si="59"/>
        <v>6400</v>
      </c>
      <c r="M271" s="3">
        <f t="shared" si="67"/>
        <v>7</v>
      </c>
      <c r="N271">
        <f t="shared" ca="1" si="62"/>
        <v>0.22412963057195795</v>
      </c>
      <c r="O271">
        <v>60.1</v>
      </c>
      <c r="P271">
        <v>7.16</v>
      </c>
      <c r="Q271">
        <v>9.01</v>
      </c>
      <c r="S271">
        <v>12.59</v>
      </c>
      <c r="T271">
        <v>7.37</v>
      </c>
      <c r="W271">
        <f ca="1">X271-A271-AA271</f>
        <v>23.290093267360703</v>
      </c>
      <c r="X271">
        <f t="shared" ca="1" si="63"/>
        <v>47.790093267360703</v>
      </c>
      <c r="Y271">
        <f ca="1">C271/X271*60</f>
        <v>20.213394324127655</v>
      </c>
      <c r="Z271">
        <v>8.0865671641790993</v>
      </c>
      <c r="AA271">
        <v>4.5</v>
      </c>
      <c r="AB271">
        <f t="shared" ca="1" si="64"/>
        <v>19.5</v>
      </c>
      <c r="AC271">
        <f t="shared" ca="1" si="65"/>
        <v>0.71339432412765458</v>
      </c>
      <c r="AD271">
        <f t="shared" ca="1" si="66"/>
        <v>20.213394324127655</v>
      </c>
      <c r="AE271">
        <f ca="1">C271*60/AD271</f>
        <v>47.790093267360703</v>
      </c>
    </row>
    <row r="272" spans="1:31" x14ac:dyDescent="0.45">
      <c r="A272">
        <f t="shared" ca="1" si="60"/>
        <v>16</v>
      </c>
      <c r="B272" s="3">
        <v>6582</v>
      </c>
      <c r="C272">
        <f t="shared" ca="1" si="61"/>
        <v>15.4</v>
      </c>
      <c r="D272">
        <v>34.58</v>
      </c>
      <c r="E272" s="8">
        <v>0.38</v>
      </c>
      <c r="F272" s="19">
        <f t="shared" si="57"/>
        <v>1.2688075454749606</v>
      </c>
      <c r="G272" s="19">
        <f t="shared" si="68"/>
        <v>3.2810139064475345</v>
      </c>
      <c r="H272" s="19">
        <f t="shared" ca="1" si="69"/>
        <v>2.5417422469628401</v>
      </c>
      <c r="I272" s="19">
        <f t="shared" si="70"/>
        <v>41.230436739286091</v>
      </c>
      <c r="J272" s="8">
        <v>0.38</v>
      </c>
      <c r="K272" s="19">
        <f t="shared" si="71"/>
        <v>160</v>
      </c>
      <c r="L272" s="3">
        <f t="shared" si="59"/>
        <v>6600</v>
      </c>
      <c r="M272" s="3">
        <f t="shared" si="67"/>
        <v>4</v>
      </c>
      <c r="N272">
        <f t="shared" ca="1" si="62"/>
        <v>0.17104974423394065</v>
      </c>
      <c r="O272">
        <v>63.2</v>
      </c>
      <c r="P272">
        <v>3.65</v>
      </c>
      <c r="Q272">
        <v>4.41</v>
      </c>
      <c r="S272">
        <v>12.01</v>
      </c>
      <c r="T272">
        <v>7.42</v>
      </c>
      <c r="W272">
        <f ca="1">X272-A272-AA272</f>
        <v>26.834299113142002</v>
      </c>
      <c r="X272">
        <f t="shared" ca="1" si="63"/>
        <v>47.334299113142002</v>
      </c>
      <c r="Y272">
        <f ca="1">C272/X272*60</f>
        <v>19.520728463547876</v>
      </c>
      <c r="Z272">
        <v>9.8036697247706392</v>
      </c>
      <c r="AA272">
        <v>4.5</v>
      </c>
      <c r="AB272">
        <f t="shared" ca="1" si="64"/>
        <v>19.2</v>
      </c>
      <c r="AC272">
        <f t="shared" ca="1" si="65"/>
        <v>0.32072846354787821</v>
      </c>
      <c r="AD272">
        <f t="shared" ca="1" si="66"/>
        <v>19.520728463547876</v>
      </c>
      <c r="AE272">
        <f ca="1">C272*60/AD272</f>
        <v>47.334299113142002</v>
      </c>
    </row>
    <row r="273" spans="1:31" x14ac:dyDescent="0.45">
      <c r="A273">
        <f t="shared" ca="1" si="60"/>
        <v>22</v>
      </c>
      <c r="B273" s="3">
        <v>6434</v>
      </c>
      <c r="C273">
        <f t="shared" ca="1" si="61"/>
        <v>15.6</v>
      </c>
      <c r="D273">
        <v>32.21</v>
      </c>
      <c r="E273" s="8">
        <v>0.38</v>
      </c>
      <c r="F273" s="19">
        <f t="shared" si="57"/>
        <v>1.2688075454749606</v>
      </c>
      <c r="G273" s="19">
        <f t="shared" si="68"/>
        <v>3.0904123171392452</v>
      </c>
      <c r="H273" s="19">
        <f t="shared" ca="1" si="69"/>
        <v>2.5747518865337859</v>
      </c>
      <c r="I273" s="19">
        <f t="shared" si="70"/>
        <v>38.83526652835225</v>
      </c>
      <c r="J273" s="8">
        <v>0.38</v>
      </c>
      <c r="K273" s="19">
        <f t="shared" si="71"/>
        <v>165</v>
      </c>
      <c r="L273" s="3">
        <f t="shared" si="59"/>
        <v>6400</v>
      </c>
      <c r="M273" s="3">
        <f t="shared" si="67"/>
        <v>10</v>
      </c>
      <c r="N273">
        <f t="shared" ca="1" si="62"/>
        <v>0.24358420716380871</v>
      </c>
      <c r="O273">
        <v>59.66</v>
      </c>
      <c r="P273">
        <v>9.9499999999999993</v>
      </c>
      <c r="Q273">
        <v>6.5</v>
      </c>
      <c r="S273">
        <v>12.3</v>
      </c>
      <c r="T273">
        <v>7.43</v>
      </c>
      <c r="W273">
        <f ca="1">X273-A273-AA273</f>
        <v>19.993085991510767</v>
      </c>
      <c r="X273">
        <f t="shared" ca="1" si="63"/>
        <v>46.493085991510767</v>
      </c>
      <c r="Y273">
        <f ca="1">C273/X273*60</f>
        <v>20.132025655834191</v>
      </c>
      <c r="Z273">
        <v>11.530188679245301</v>
      </c>
      <c r="AA273">
        <v>4.5</v>
      </c>
      <c r="AB273">
        <f t="shared" ca="1" si="64"/>
        <v>19.5</v>
      </c>
      <c r="AC273">
        <f t="shared" ca="1" si="65"/>
        <v>0.63202565583419257</v>
      </c>
      <c r="AD273">
        <f t="shared" ca="1" si="66"/>
        <v>20.132025655834191</v>
      </c>
      <c r="AE273">
        <f ca="1">C273*60/AD273</f>
        <v>46.493085991510767</v>
      </c>
    </row>
    <row r="274" spans="1:31" x14ac:dyDescent="0.45">
      <c r="A274">
        <f t="shared" ca="1" si="60"/>
        <v>22</v>
      </c>
      <c r="B274" s="3">
        <v>6635</v>
      </c>
      <c r="C274">
        <f t="shared" ca="1" si="61"/>
        <v>16.3</v>
      </c>
      <c r="D274">
        <v>41.57</v>
      </c>
      <c r="E274" s="8">
        <v>0.38</v>
      </c>
      <c r="F274" s="19">
        <f t="shared" ref="F274:F309" si="72">1/(E274/2.26+1-E274)</f>
        <v>1.2688075454749606</v>
      </c>
      <c r="G274" s="19">
        <f t="shared" si="68"/>
        <v>3.8431679609897058</v>
      </c>
      <c r="H274" s="19">
        <f t="shared" ca="1" si="69"/>
        <v>2.690285625032097</v>
      </c>
      <c r="I274" s="19">
        <f t="shared" si="70"/>
        <v>48.294672931027698</v>
      </c>
      <c r="J274" s="8">
        <v>0.38</v>
      </c>
      <c r="K274" s="19">
        <f t="shared" si="71"/>
        <v>137</v>
      </c>
      <c r="L274" s="3">
        <f t="shared" si="59"/>
        <v>6600</v>
      </c>
      <c r="M274" s="3">
        <f t="shared" si="67"/>
        <v>13</v>
      </c>
      <c r="N274">
        <f t="shared" ca="1" si="62"/>
        <v>0.2609609152213932</v>
      </c>
      <c r="O274">
        <v>51.7</v>
      </c>
      <c r="P274">
        <v>12.61</v>
      </c>
      <c r="Q274">
        <v>10.48</v>
      </c>
      <c r="S274">
        <v>12.66</v>
      </c>
      <c r="T274">
        <v>7.06</v>
      </c>
      <c r="W274">
        <f ca="1">X274-A274-AA274</f>
        <v>21.459152207713139</v>
      </c>
      <c r="X274">
        <f t="shared" ca="1" si="63"/>
        <v>47.959152207713139</v>
      </c>
      <c r="Y274">
        <f ca="1">C274/X274*60</f>
        <v>20.392353804842926</v>
      </c>
      <c r="Z274">
        <v>16.5</v>
      </c>
      <c r="AA274">
        <v>4.5</v>
      </c>
      <c r="AB274">
        <f t="shared" ca="1" si="64"/>
        <v>19.600000000000001</v>
      </c>
      <c r="AC274">
        <f t="shared" ca="1" si="65"/>
        <v>0.79235380484292683</v>
      </c>
      <c r="AD274">
        <f t="shared" ca="1" si="66"/>
        <v>20.392353804842926</v>
      </c>
      <c r="AE274">
        <f ca="1">C274*60/AD274</f>
        <v>47.959152207713139</v>
      </c>
    </row>
    <row r="275" spans="1:31" x14ac:dyDescent="0.45">
      <c r="A275">
        <f t="shared" ca="1" si="60"/>
        <v>16</v>
      </c>
      <c r="B275" s="3">
        <v>6208</v>
      </c>
      <c r="C275">
        <f t="shared" ca="1" si="61"/>
        <v>15.4</v>
      </c>
      <c r="D275">
        <v>40.67</v>
      </c>
      <c r="E275" s="8">
        <v>0.38</v>
      </c>
      <c r="F275" s="19">
        <f t="shared" si="72"/>
        <v>1.2688075454749606</v>
      </c>
      <c r="G275" s="19">
        <f t="shared" si="68"/>
        <v>3.7707876106194691</v>
      </c>
      <c r="H275" s="19">
        <f t="shared" ca="1" si="69"/>
        <v>2.5417422469628401</v>
      </c>
      <c r="I275" s="19">
        <f t="shared" si="70"/>
        <v>47.385114623078131</v>
      </c>
      <c r="J275" s="8">
        <v>0.38</v>
      </c>
      <c r="K275" s="19">
        <f t="shared" si="71"/>
        <v>131</v>
      </c>
      <c r="L275" s="3">
        <f t="shared" si="59"/>
        <v>6200</v>
      </c>
      <c r="M275" s="3">
        <f t="shared" si="67"/>
        <v>8</v>
      </c>
      <c r="N275">
        <f t="shared" ca="1" si="62"/>
        <v>0.18919015372891337</v>
      </c>
      <c r="O275">
        <v>52.6</v>
      </c>
      <c r="P275">
        <v>7.87</v>
      </c>
      <c r="Q275">
        <v>9.01</v>
      </c>
      <c r="S275">
        <v>12.35</v>
      </c>
      <c r="T275">
        <v>7.29</v>
      </c>
      <c r="W275">
        <f ca="1">X275-A275-AA275</f>
        <v>26.745577929231814</v>
      </c>
      <c r="X275">
        <f t="shared" ca="1" si="63"/>
        <v>47.245577929231814</v>
      </c>
      <c r="Y275">
        <f ca="1">C275/X275*60</f>
        <v>19.557385907820638</v>
      </c>
      <c r="Z275">
        <v>13.7931818181818</v>
      </c>
      <c r="AA275">
        <v>4.5</v>
      </c>
      <c r="AB275">
        <f t="shared" ca="1" si="64"/>
        <v>19.100000000000001</v>
      </c>
      <c r="AC275">
        <f t="shared" ca="1" si="65"/>
        <v>0.45738590782063626</v>
      </c>
      <c r="AD275">
        <f t="shared" ca="1" si="66"/>
        <v>19.557385907820638</v>
      </c>
      <c r="AE275">
        <f ca="1">C275*60/AD275</f>
        <v>47.245577929231814</v>
      </c>
    </row>
    <row r="276" spans="1:31" x14ac:dyDescent="0.45">
      <c r="A276">
        <f t="shared" ca="1" si="60"/>
        <v>19</v>
      </c>
      <c r="B276" s="3">
        <v>6298</v>
      </c>
      <c r="C276">
        <f t="shared" ca="1" si="61"/>
        <v>15.2</v>
      </c>
      <c r="D276">
        <v>37.22</v>
      </c>
      <c r="E276" s="8">
        <v>0.38</v>
      </c>
      <c r="F276" s="19">
        <f t="shared" si="72"/>
        <v>1.2688075454749606</v>
      </c>
      <c r="G276" s="19">
        <f t="shared" si="68"/>
        <v>3.4933296008668955</v>
      </c>
      <c r="H276" s="19">
        <f t="shared" ca="1" si="69"/>
        <v>2.5087326073918939</v>
      </c>
      <c r="I276" s="19">
        <f t="shared" si="70"/>
        <v>43.898474442604815</v>
      </c>
      <c r="J276" s="8">
        <v>0.38</v>
      </c>
      <c r="K276" s="19">
        <f t="shared" si="71"/>
        <v>144</v>
      </c>
      <c r="L276" s="3">
        <f t="shared" si="59"/>
        <v>6300</v>
      </c>
      <c r="M276" s="3">
        <f t="shared" si="67"/>
        <v>12</v>
      </c>
      <c r="N276">
        <f t="shared" ca="1" si="62"/>
        <v>0.23122617918020047</v>
      </c>
      <c r="O276">
        <v>59</v>
      </c>
      <c r="P276">
        <v>12.09</v>
      </c>
      <c r="Q276">
        <v>9.5</v>
      </c>
      <c r="S276">
        <v>12.35</v>
      </c>
      <c r="T276">
        <v>7.23</v>
      </c>
      <c r="W276">
        <f ca="1">X276-A276-AA276</f>
        <v>22.142821449338797</v>
      </c>
      <c r="X276">
        <f t="shared" ca="1" si="63"/>
        <v>45.642821449338797</v>
      </c>
      <c r="Y276">
        <f ca="1">C276/X276*60</f>
        <v>19.981236282955766</v>
      </c>
      <c r="Z276">
        <v>14.4537313432836</v>
      </c>
      <c r="AA276">
        <v>4.5</v>
      </c>
      <c r="AB276">
        <f t="shared" ca="1" si="64"/>
        <v>19.899999999999999</v>
      </c>
      <c r="AC276">
        <f t="shared" ca="1" si="65"/>
        <v>8.1236282955768568E-2</v>
      </c>
      <c r="AD276">
        <f t="shared" ca="1" si="66"/>
        <v>19.981236282955766</v>
      </c>
      <c r="AE276">
        <f ca="1">C276*60/AD276</f>
        <v>45.642821449338797</v>
      </c>
    </row>
    <row r="277" spans="1:31" x14ac:dyDescent="0.45">
      <c r="A277">
        <f t="shared" ca="1" si="60"/>
        <v>20</v>
      </c>
      <c r="B277" s="3">
        <v>6241</v>
      </c>
      <c r="C277">
        <f t="shared" ca="1" si="61"/>
        <v>15.8</v>
      </c>
      <c r="D277">
        <v>26.44</v>
      </c>
      <c r="E277" s="8">
        <v>0.38</v>
      </c>
      <c r="F277" s="19">
        <f t="shared" si="72"/>
        <v>1.2688075454749606</v>
      </c>
      <c r="G277" s="19">
        <f t="shared" si="68"/>
        <v>2.6263738486545063</v>
      </c>
      <c r="H277" s="19">
        <f t="shared" ca="1" si="69"/>
        <v>2.6077615261047318</v>
      </c>
      <c r="I277" s="19">
        <f t="shared" si="70"/>
        <v>33.003987154053391</v>
      </c>
      <c r="J277" s="8">
        <v>0.38</v>
      </c>
      <c r="K277" s="19">
        <f t="shared" si="71"/>
        <v>188</v>
      </c>
      <c r="L277" s="3">
        <f t="shared" si="59"/>
        <v>6200</v>
      </c>
      <c r="M277" s="3">
        <f t="shared" si="67"/>
        <v>8</v>
      </c>
      <c r="N277">
        <f t="shared" ca="1" si="62"/>
        <v>0.20143892954123876</v>
      </c>
      <c r="O277">
        <v>52.2</v>
      </c>
      <c r="P277">
        <v>7.54</v>
      </c>
      <c r="Q277">
        <v>8.86</v>
      </c>
      <c r="S277">
        <v>12.22</v>
      </c>
      <c r="T277">
        <v>7.29</v>
      </c>
      <c r="W277">
        <f ca="1">X277-A277-AA277</f>
        <v>24.473918776413704</v>
      </c>
      <c r="X277">
        <f t="shared" ca="1" si="63"/>
        <v>48.973918776413704</v>
      </c>
      <c r="Y277">
        <f ca="1">C277/X277*60</f>
        <v>19.357242052203624</v>
      </c>
      <c r="Z277">
        <v>5.1870967741935496</v>
      </c>
      <c r="AA277">
        <v>4.5</v>
      </c>
      <c r="AB277">
        <f t="shared" ca="1" si="64"/>
        <v>19.3</v>
      </c>
      <c r="AC277">
        <f t="shared" ca="1" si="65"/>
        <v>5.7242052203623883E-2</v>
      </c>
      <c r="AD277">
        <f t="shared" ca="1" si="66"/>
        <v>19.357242052203624</v>
      </c>
      <c r="AE277">
        <f ca="1">C277*60/AD277</f>
        <v>48.973918776413704</v>
      </c>
    </row>
    <row r="278" spans="1:31" x14ac:dyDescent="0.45">
      <c r="A278">
        <f t="shared" ca="1" si="60"/>
        <v>21</v>
      </c>
      <c r="B278" s="3">
        <v>4488</v>
      </c>
      <c r="C278">
        <f t="shared" ca="1" si="61"/>
        <v>15.4</v>
      </c>
      <c r="D278">
        <v>33.21</v>
      </c>
      <c r="E278" s="8">
        <v>0.38</v>
      </c>
      <c r="F278" s="19">
        <f t="shared" si="72"/>
        <v>1.2688075454749606</v>
      </c>
      <c r="G278" s="19">
        <f t="shared" si="68"/>
        <v>3.1708349286617303</v>
      </c>
      <c r="H278" s="19">
        <f t="shared" ca="1" si="69"/>
        <v>2.5417422469628401</v>
      </c>
      <c r="I278" s="19">
        <f t="shared" si="70"/>
        <v>39.845886870518434</v>
      </c>
      <c r="J278" s="8">
        <v>0.38</v>
      </c>
      <c r="K278" s="19">
        <f t="shared" si="71"/>
        <v>113</v>
      </c>
      <c r="L278" s="3">
        <f t="shared" si="59"/>
        <v>4500</v>
      </c>
      <c r="M278" s="3">
        <f t="shared" si="67"/>
        <v>2</v>
      </c>
      <c r="N278">
        <f t="shared" ca="1" si="62"/>
        <v>0.21100077177788448</v>
      </c>
      <c r="O278">
        <v>50.7</v>
      </c>
      <c r="P278">
        <v>2.4500000000000002</v>
      </c>
      <c r="Q278">
        <v>6.05</v>
      </c>
      <c r="S278">
        <v>11.7</v>
      </c>
      <c r="T278">
        <v>7.35</v>
      </c>
      <c r="W278">
        <f ca="1">X278-A278-AA278</f>
        <v>20.61603833648126</v>
      </c>
      <c r="X278">
        <f t="shared" ca="1" si="63"/>
        <v>46.11603833648126</v>
      </c>
      <c r="Y278">
        <f ca="1">C278/X278*60</f>
        <v>20.036413216116323</v>
      </c>
      <c r="Z278">
        <v>11.170370370370399</v>
      </c>
      <c r="AA278">
        <v>4.5</v>
      </c>
      <c r="AB278">
        <f t="shared" ca="1" si="64"/>
        <v>19.7</v>
      </c>
      <c r="AC278">
        <f t="shared" ca="1" si="65"/>
        <v>0.33641321611631825</v>
      </c>
      <c r="AD278">
        <f t="shared" ca="1" si="66"/>
        <v>20.036413216116319</v>
      </c>
      <c r="AE278">
        <f ca="1">C278*60/AD278</f>
        <v>46.11603833648126</v>
      </c>
    </row>
    <row r="279" spans="1:31" x14ac:dyDescent="0.45">
      <c r="A279">
        <f t="shared" ca="1" si="60"/>
        <v>22</v>
      </c>
      <c r="B279" s="3">
        <v>4570</v>
      </c>
      <c r="C279">
        <f t="shared" ca="1" si="61"/>
        <v>15</v>
      </c>
      <c r="D279">
        <v>33.270000000000003</v>
      </c>
      <c r="E279" s="8">
        <v>0.38</v>
      </c>
      <c r="F279" s="19">
        <f t="shared" si="72"/>
        <v>1.2688075454749606</v>
      </c>
      <c r="G279" s="19">
        <f t="shared" si="68"/>
        <v>3.1756602853530795</v>
      </c>
      <c r="H279" s="19">
        <f t="shared" ca="1" si="69"/>
        <v>2.475722967820948</v>
      </c>
      <c r="I279" s="19">
        <f t="shared" si="70"/>
        <v>39.906524091048404</v>
      </c>
      <c r="J279" s="8">
        <v>0.38</v>
      </c>
      <c r="K279" s="19">
        <f t="shared" si="71"/>
        <v>115</v>
      </c>
      <c r="L279" s="3">
        <f t="shared" si="59"/>
        <v>4600</v>
      </c>
      <c r="M279" s="3">
        <f t="shared" si="67"/>
        <v>7</v>
      </c>
      <c r="N279">
        <f t="shared" ca="1" si="62"/>
        <v>0.25667100220854971</v>
      </c>
      <c r="O279">
        <v>52.3</v>
      </c>
      <c r="P279">
        <v>7.17</v>
      </c>
      <c r="Q279">
        <v>6.41</v>
      </c>
      <c r="S279">
        <v>11.71</v>
      </c>
      <c r="T279">
        <v>7.4</v>
      </c>
      <c r="W279">
        <f ca="1">X279-A279-AA279</f>
        <v>16.791924147699589</v>
      </c>
      <c r="X279">
        <f t="shared" ca="1" si="63"/>
        <v>43.291924147699589</v>
      </c>
      <c r="Y279">
        <f ca="1">C279/X279*60</f>
        <v>20.789096759235257</v>
      </c>
      <c r="Z279">
        <v>13.5552631578947</v>
      </c>
      <c r="AA279">
        <v>4.5</v>
      </c>
      <c r="AB279">
        <f t="shared" ca="1" si="64"/>
        <v>20</v>
      </c>
      <c r="AC279">
        <f t="shared" ca="1" si="65"/>
        <v>0.78909675923525391</v>
      </c>
      <c r="AD279">
        <f t="shared" ca="1" si="66"/>
        <v>20.789096759235253</v>
      </c>
      <c r="AE279">
        <f ca="1">C279*60/AD279</f>
        <v>43.291924147699589</v>
      </c>
    </row>
    <row r="280" spans="1:31" x14ac:dyDescent="0.45">
      <c r="A280">
        <f t="shared" ca="1" si="60"/>
        <v>22</v>
      </c>
      <c r="B280" s="3">
        <v>6318</v>
      </c>
      <c r="C280">
        <f t="shared" ca="1" si="61"/>
        <v>16.100000000000001</v>
      </c>
      <c r="D280">
        <v>33.67</v>
      </c>
      <c r="E280" s="8">
        <v>0.39</v>
      </c>
      <c r="F280" s="19">
        <f t="shared" si="72"/>
        <v>1.2778468845414452</v>
      </c>
      <c r="G280" s="19">
        <f t="shared" si="68"/>
        <v>3.188674462705436</v>
      </c>
      <c r="H280" s="19">
        <f t="shared" ca="1" si="69"/>
        <v>2.5708254259544194</v>
      </c>
      <c r="I280" s="19">
        <f t="shared" si="70"/>
        <v>40.070065066899112</v>
      </c>
      <c r="J280" s="8">
        <v>0.39</v>
      </c>
      <c r="K280" s="19">
        <f t="shared" si="71"/>
        <v>157</v>
      </c>
      <c r="L280" s="3">
        <f t="shared" si="59"/>
        <v>6300</v>
      </c>
      <c r="M280" s="3">
        <f t="shared" si="67"/>
        <v>9</v>
      </c>
      <c r="N280">
        <f t="shared" ca="1" si="62"/>
        <v>0.23367900267486644</v>
      </c>
      <c r="O280">
        <v>61.3</v>
      </c>
      <c r="P280">
        <v>9.16</v>
      </c>
      <c r="Q280">
        <v>6.78</v>
      </c>
      <c r="S280">
        <v>12.3</v>
      </c>
      <c r="T280">
        <v>7.32</v>
      </c>
      <c r="W280">
        <f ca="1">X280-A280-AA280</f>
        <v>21.311285750945345</v>
      </c>
      <c r="X280">
        <f t="shared" ca="1" si="63"/>
        <v>47.811285750945345</v>
      </c>
      <c r="Y280">
        <f ca="1">C280/X280*60</f>
        <v>20.20443468163581</v>
      </c>
      <c r="Z280">
        <v>9.1954545454545507</v>
      </c>
      <c r="AA280">
        <v>4.5</v>
      </c>
      <c r="AB280">
        <f t="shared" ca="1" si="64"/>
        <v>19.5</v>
      </c>
      <c r="AC280">
        <f t="shared" ca="1" si="65"/>
        <v>0.70443468163580836</v>
      </c>
      <c r="AD280">
        <f t="shared" ca="1" si="66"/>
        <v>20.20443468163581</v>
      </c>
      <c r="AE280">
        <f ca="1">C280*60/AD280</f>
        <v>47.811285750945345</v>
      </c>
    </row>
    <row r="281" spans="1:31" x14ac:dyDescent="0.45">
      <c r="A281">
        <f t="shared" ca="1" si="60"/>
        <v>17</v>
      </c>
      <c r="B281" s="3">
        <v>6356</v>
      </c>
      <c r="C281">
        <f t="shared" ca="1" si="61"/>
        <v>15.9</v>
      </c>
      <c r="D281">
        <v>38</v>
      </c>
      <c r="E281" s="8">
        <v>0.39</v>
      </c>
      <c r="F281" s="19">
        <f t="shared" si="72"/>
        <v>1.2778468845414452</v>
      </c>
      <c r="G281" s="19">
        <f t="shared" si="68"/>
        <v>3.5344410330503879</v>
      </c>
      <c r="H281" s="19">
        <f t="shared" ca="1" si="69"/>
        <v>2.5388897063773452</v>
      </c>
      <c r="I281" s="19">
        <f t="shared" si="70"/>
        <v>44.415095935909669</v>
      </c>
      <c r="J281" s="8">
        <v>0.39</v>
      </c>
      <c r="K281" s="19">
        <f t="shared" si="71"/>
        <v>144</v>
      </c>
      <c r="L281" s="3">
        <f t="shared" si="59"/>
        <v>6400</v>
      </c>
      <c r="M281" s="3">
        <f t="shared" si="67"/>
        <v>0</v>
      </c>
      <c r="N281">
        <f t="shared" ca="1" si="62"/>
        <v>0.19685661025534479</v>
      </c>
      <c r="O281">
        <v>52.8</v>
      </c>
      <c r="S281">
        <v>12.5</v>
      </c>
      <c r="T281">
        <v>7.4</v>
      </c>
      <c r="W281">
        <f ca="1">X281-A281-AA281</f>
        <v>25.907181848680295</v>
      </c>
      <c r="X281">
        <f t="shared" ca="1" si="63"/>
        <v>47.407181848680295</v>
      </c>
      <c r="Y281">
        <f ca="1">C281/X281*60</f>
        <v>20.123533245344284</v>
      </c>
      <c r="Z281">
        <v>15.241935483871</v>
      </c>
      <c r="AA281">
        <v>4.5</v>
      </c>
      <c r="AB281">
        <f t="shared" ca="1" si="64"/>
        <v>19.600000000000001</v>
      </c>
      <c r="AC281">
        <f t="shared" ca="1" si="65"/>
        <v>0.52353324534428225</v>
      </c>
      <c r="AD281">
        <f t="shared" ca="1" si="66"/>
        <v>20.123533245344284</v>
      </c>
      <c r="AE281">
        <f ca="1">C281*60/AD281</f>
        <v>47.407181848680295</v>
      </c>
    </row>
    <row r="282" spans="1:31" x14ac:dyDescent="0.45">
      <c r="A282">
        <f t="shared" ca="1" si="60"/>
        <v>21</v>
      </c>
      <c r="B282" s="3">
        <v>6457</v>
      </c>
      <c r="C282">
        <f t="shared" ca="1" si="61"/>
        <v>14.6</v>
      </c>
      <c r="D282">
        <v>36.9</v>
      </c>
      <c r="E282" s="8">
        <v>0.39</v>
      </c>
      <c r="F282" s="19">
        <f t="shared" si="72"/>
        <v>1.2778468845414452</v>
      </c>
      <c r="G282" s="19">
        <f t="shared" si="68"/>
        <v>3.4466019505147187</v>
      </c>
      <c r="H282" s="19">
        <f t="shared" ca="1" si="69"/>
        <v>2.3313075291263674</v>
      </c>
      <c r="I282" s="19">
        <f t="shared" si="70"/>
        <v>43.311277470341167</v>
      </c>
      <c r="J282" s="8">
        <v>0.39</v>
      </c>
      <c r="K282" s="19">
        <f t="shared" si="71"/>
        <v>150</v>
      </c>
      <c r="L282" s="3">
        <f t="shared" si="59"/>
        <v>6500</v>
      </c>
      <c r="M282" s="3">
        <f t="shared" si="67"/>
        <v>12</v>
      </c>
      <c r="N282">
        <f t="shared" ca="1" si="62"/>
        <v>0.32091482468994992</v>
      </c>
      <c r="O282">
        <v>51.5</v>
      </c>
      <c r="P282">
        <v>11.61</v>
      </c>
      <c r="Q282">
        <v>6.42</v>
      </c>
      <c r="S282">
        <v>12.77</v>
      </c>
      <c r="T282">
        <v>7.26</v>
      </c>
      <c r="W282">
        <f ca="1">X282-A282-AA282</f>
        <v>17.169664895735046</v>
      </c>
      <c r="X282">
        <f t="shared" ca="1" si="63"/>
        <v>42.669664895735046</v>
      </c>
      <c r="Y282">
        <f ca="1">C282/X282*60</f>
        <v>20.529807350035192</v>
      </c>
      <c r="Z282">
        <v>13.808571428571399</v>
      </c>
      <c r="AA282">
        <v>4.5</v>
      </c>
      <c r="AB282">
        <f t="shared" ca="1" si="64"/>
        <v>19.7</v>
      </c>
      <c r="AC282">
        <f t="shared" ca="1" si="65"/>
        <v>0.82980735003519279</v>
      </c>
      <c r="AD282">
        <f t="shared" ca="1" si="66"/>
        <v>20.529807350035192</v>
      </c>
      <c r="AE282">
        <f ca="1">C282*60/AD282</f>
        <v>42.669664895735046</v>
      </c>
    </row>
    <row r="283" spans="1:31" x14ac:dyDescent="0.45">
      <c r="A283">
        <f t="shared" ca="1" si="60"/>
        <v>17</v>
      </c>
      <c r="B283" s="3">
        <v>6103</v>
      </c>
      <c r="C283">
        <f t="shared" ca="1" si="61"/>
        <v>15.6</v>
      </c>
      <c r="D283">
        <v>37.450000000000003</v>
      </c>
      <c r="E283" s="8">
        <v>0.39</v>
      </c>
      <c r="F283" s="19">
        <f t="shared" si="72"/>
        <v>1.2778468845414452</v>
      </c>
      <c r="G283" s="19">
        <f t="shared" si="68"/>
        <v>3.490521491782554</v>
      </c>
      <c r="H283" s="19">
        <f t="shared" ca="1" si="69"/>
        <v>2.4909861270117353</v>
      </c>
      <c r="I283" s="19">
        <f t="shared" si="70"/>
        <v>43.863186703125429</v>
      </c>
      <c r="J283" s="8">
        <v>0.39</v>
      </c>
      <c r="K283" s="19">
        <f t="shared" si="71"/>
        <v>139</v>
      </c>
      <c r="L283" s="3">
        <f t="shared" si="59"/>
        <v>6100</v>
      </c>
      <c r="M283" s="3">
        <f t="shared" si="67"/>
        <v>10</v>
      </c>
      <c r="N283">
        <f t="shared" ca="1" si="62"/>
        <v>0.22385188494443028</v>
      </c>
      <c r="O283">
        <v>72.3</v>
      </c>
      <c r="P283">
        <v>9.8699999999999992</v>
      </c>
      <c r="Q283">
        <v>7.05</v>
      </c>
      <c r="S283">
        <v>12.69</v>
      </c>
      <c r="T283">
        <v>7.2</v>
      </c>
      <c r="W283">
        <f ca="1">X283-A283-AA283</f>
        <v>24.525145282394448</v>
      </c>
      <c r="X283">
        <f t="shared" ca="1" si="63"/>
        <v>46.025145282394448</v>
      </c>
      <c r="Y283">
        <f ca="1">C283/X283*60</f>
        <v>20.336709297863724</v>
      </c>
      <c r="Z283">
        <v>6.1962616822429899</v>
      </c>
      <c r="AA283">
        <v>4.5</v>
      </c>
      <c r="AB283">
        <f t="shared" ca="1" si="64"/>
        <v>19.600000000000001</v>
      </c>
      <c r="AC283">
        <f t="shared" ca="1" si="65"/>
        <v>0.73670929786372585</v>
      </c>
      <c r="AD283">
        <f t="shared" ca="1" si="66"/>
        <v>20.336709297863727</v>
      </c>
      <c r="AE283">
        <f ca="1">C283*60/AD283</f>
        <v>46.025145282394448</v>
      </c>
    </row>
    <row r="284" spans="1:31" x14ac:dyDescent="0.45">
      <c r="A284">
        <f t="shared" ca="1" si="60"/>
        <v>18</v>
      </c>
      <c r="B284" s="3">
        <v>6589</v>
      </c>
      <c r="C284">
        <f t="shared" ca="1" si="61"/>
        <v>15.3</v>
      </c>
      <c r="D284">
        <v>37.5</v>
      </c>
      <c r="E284" s="8">
        <v>0.4</v>
      </c>
      <c r="F284" s="19">
        <f t="shared" si="72"/>
        <v>1.2870159453302961</v>
      </c>
      <c r="G284" s="19">
        <f t="shared" si="68"/>
        <v>3.4731804226115224</v>
      </c>
      <c r="H284" s="19">
        <f t="shared" ca="1" si="69"/>
        <v>2.3650354120914456</v>
      </c>
      <c r="I284" s="19">
        <f t="shared" si="70"/>
        <v>43.645272401073008</v>
      </c>
      <c r="J284" s="8">
        <v>0.4</v>
      </c>
      <c r="K284" s="19">
        <f t="shared" si="71"/>
        <v>151</v>
      </c>
      <c r="L284" s="3">
        <f t="shared" si="59"/>
        <v>6600</v>
      </c>
      <c r="M284" s="3">
        <f t="shared" si="67"/>
        <v>11</v>
      </c>
      <c r="N284">
        <f t="shared" ca="1" si="62"/>
        <v>0.23843220201665954</v>
      </c>
      <c r="O284">
        <v>65.3</v>
      </c>
      <c r="P284">
        <v>10.56</v>
      </c>
      <c r="Q284">
        <v>9.6</v>
      </c>
      <c r="S284">
        <v>12.87</v>
      </c>
      <c r="T284">
        <v>7.25</v>
      </c>
      <c r="W284">
        <f ca="1">X284-A284-AA284</f>
        <v>23.570641685418494</v>
      </c>
      <c r="X284">
        <f t="shared" ca="1" si="63"/>
        <v>46.070641685418494</v>
      </c>
      <c r="Y284">
        <f ca="1">C284/X284*60</f>
        <v>19.925921724041235</v>
      </c>
      <c r="Z284">
        <v>4.2521739130434799</v>
      </c>
      <c r="AA284">
        <v>4.5</v>
      </c>
      <c r="AB284">
        <f t="shared" ca="1" si="64"/>
        <v>19.3</v>
      </c>
      <c r="AC284">
        <f t="shared" ca="1" si="65"/>
        <v>0.62592172404123536</v>
      </c>
      <c r="AD284">
        <f t="shared" ca="1" si="66"/>
        <v>19.925921724041235</v>
      </c>
      <c r="AE284">
        <f ca="1">C284*60/AD284</f>
        <v>46.070641685418494</v>
      </c>
    </row>
    <row r="285" spans="1:31" x14ac:dyDescent="0.45">
      <c r="A285">
        <f t="shared" ca="1" si="60"/>
        <v>22</v>
      </c>
      <c r="B285" s="3">
        <v>6080</v>
      </c>
      <c r="C285">
        <f t="shared" ca="1" si="61"/>
        <v>15.7</v>
      </c>
      <c r="D285">
        <v>28.91</v>
      </c>
      <c r="E285" s="8">
        <v>0.4</v>
      </c>
      <c r="F285" s="19">
        <f t="shared" si="72"/>
        <v>1.2870159453302961</v>
      </c>
      <c r="G285" s="19">
        <f t="shared" si="68"/>
        <v>2.7921238938053095</v>
      </c>
      <c r="H285" s="19">
        <f t="shared" ca="1" si="69"/>
        <v>2.4268664032572347</v>
      </c>
      <c r="I285" s="19">
        <f t="shared" si="70"/>
        <v>35.086863650765153</v>
      </c>
      <c r="J285" s="8">
        <v>0.4</v>
      </c>
      <c r="K285" s="19">
        <f t="shared" si="71"/>
        <v>174</v>
      </c>
      <c r="L285" s="3">
        <f t="shared" si="59"/>
        <v>6100</v>
      </c>
      <c r="M285" s="3">
        <f t="shared" si="67"/>
        <v>6</v>
      </c>
      <c r="N285">
        <f t="shared" ca="1" si="62"/>
        <v>0.25858046919898092</v>
      </c>
      <c r="O285">
        <v>52.1</v>
      </c>
      <c r="P285">
        <v>6.27</v>
      </c>
      <c r="Q285">
        <v>5.73</v>
      </c>
      <c r="S285">
        <v>12.4</v>
      </c>
      <c r="T285">
        <v>7.4</v>
      </c>
      <c r="W285">
        <f ca="1">X285-A285-AA285</f>
        <v>19.336340503553025</v>
      </c>
      <c r="X285">
        <f t="shared" ca="1" si="63"/>
        <v>45.836340503553025</v>
      </c>
      <c r="Y285">
        <f ca="1">C285/X285*60</f>
        <v>20.551378876482957</v>
      </c>
      <c r="Z285">
        <v>10.166972477064199</v>
      </c>
      <c r="AA285">
        <v>4.5</v>
      </c>
      <c r="AB285">
        <f t="shared" ca="1" si="64"/>
        <v>19.8</v>
      </c>
      <c r="AC285">
        <f t="shared" ca="1" si="65"/>
        <v>0.75137887648296153</v>
      </c>
      <c r="AD285">
        <f t="shared" ca="1" si="66"/>
        <v>20.551378876482961</v>
      </c>
      <c r="AE285">
        <f ca="1">C285*60/AD285</f>
        <v>45.836340503553025</v>
      </c>
    </row>
    <row r="286" spans="1:31" x14ac:dyDescent="0.45">
      <c r="A286">
        <f t="shared" ca="1" si="60"/>
        <v>22</v>
      </c>
      <c r="B286" s="3">
        <v>7341</v>
      </c>
      <c r="C286">
        <f t="shared" ca="1" si="61"/>
        <v>15.8</v>
      </c>
      <c r="D286">
        <v>33.92</v>
      </c>
      <c r="E286" s="8">
        <v>0.4</v>
      </c>
      <c r="F286" s="19">
        <f t="shared" si="72"/>
        <v>1.2870159453302961</v>
      </c>
      <c r="G286" s="19">
        <f t="shared" si="68"/>
        <v>3.1893407982662092</v>
      </c>
      <c r="H286" s="19">
        <f t="shared" ca="1" si="69"/>
        <v>2.4423241510486826</v>
      </c>
      <c r="I286" s="19">
        <f t="shared" si="70"/>
        <v>40.07843848650932</v>
      </c>
      <c r="J286" s="8">
        <v>0.4</v>
      </c>
      <c r="K286" s="19">
        <f t="shared" si="71"/>
        <v>182</v>
      </c>
      <c r="L286" s="3">
        <f t="shared" si="59"/>
        <v>7300</v>
      </c>
      <c r="M286" s="3">
        <f t="shared" si="67"/>
        <v>8</v>
      </c>
      <c r="N286">
        <f t="shared" ca="1" si="62"/>
        <v>0.23207552136152756</v>
      </c>
      <c r="O286">
        <v>57.5</v>
      </c>
      <c r="P286">
        <v>8.25</v>
      </c>
      <c r="Q286">
        <v>5.52</v>
      </c>
      <c r="S286">
        <v>12.46</v>
      </c>
      <c r="T286">
        <v>7.4</v>
      </c>
      <c r="W286">
        <f ca="1">X286-A286-AA286</f>
        <v>21.803247366694592</v>
      </c>
      <c r="X286">
        <f t="shared" ca="1" si="63"/>
        <v>48.303247366694592</v>
      </c>
      <c r="Y286">
        <f ca="1">C286/X286*60</f>
        <v>19.626009671839419</v>
      </c>
      <c r="Z286">
        <v>11.2775510204082</v>
      </c>
      <c r="AA286">
        <v>4.5</v>
      </c>
      <c r="AB286">
        <f t="shared" ca="1" si="64"/>
        <v>19.600000000000001</v>
      </c>
      <c r="AC286">
        <f t="shared" ca="1" si="65"/>
        <v>2.6009671839417825E-2</v>
      </c>
      <c r="AD286">
        <f t="shared" ca="1" si="66"/>
        <v>19.626009671839419</v>
      </c>
      <c r="AE286">
        <f ca="1">C286*60/AD286</f>
        <v>48.303247366694592</v>
      </c>
    </row>
    <row r="287" spans="1:31" x14ac:dyDescent="0.45">
      <c r="A287">
        <f t="shared" ca="1" si="60"/>
        <v>17</v>
      </c>
      <c r="B287" s="3">
        <v>6466</v>
      </c>
      <c r="C287">
        <f t="shared" ca="1" si="61"/>
        <v>14.8</v>
      </c>
      <c r="D287">
        <v>34.840000000000003</v>
      </c>
      <c r="E287" s="8">
        <v>0.4</v>
      </c>
      <c r="F287" s="19">
        <f t="shared" si="72"/>
        <v>1.2870159453302961</v>
      </c>
      <c r="G287" s="19">
        <f t="shared" si="68"/>
        <v>3.2622828246342785</v>
      </c>
      <c r="H287" s="19">
        <f t="shared" ca="1" si="69"/>
        <v>2.2877466731342087</v>
      </c>
      <c r="I287" s="19">
        <f t="shared" si="70"/>
        <v>40.995055023212835</v>
      </c>
      <c r="J287" s="8">
        <v>0.4</v>
      </c>
      <c r="K287" s="19">
        <f t="shared" si="71"/>
        <v>159</v>
      </c>
      <c r="L287" s="3">
        <f t="shared" si="59"/>
        <v>6500</v>
      </c>
      <c r="M287" s="3">
        <f t="shared" si="67"/>
        <v>8</v>
      </c>
      <c r="N287">
        <f t="shared" ca="1" si="62"/>
        <v>0.17421698331158597</v>
      </c>
      <c r="O287">
        <v>61.5</v>
      </c>
      <c r="P287">
        <v>7.95</v>
      </c>
      <c r="Q287">
        <v>6.34</v>
      </c>
      <c r="S287">
        <v>11.42</v>
      </c>
      <c r="T287">
        <v>7.34</v>
      </c>
      <c r="W287">
        <f ca="1">X287-A287-AA287</f>
        <v>23.419071564928579</v>
      </c>
      <c r="X287">
        <f t="shared" ca="1" si="63"/>
        <v>44.919071564928579</v>
      </c>
      <c r="Y287">
        <f ca="1">C287/X287*60</f>
        <v>19.768885888846441</v>
      </c>
      <c r="Z287">
        <v>12.5294117647059</v>
      </c>
      <c r="AA287">
        <v>4.5</v>
      </c>
      <c r="AB287">
        <f t="shared" ca="1" si="64"/>
        <v>19.600000000000001</v>
      </c>
      <c r="AC287">
        <f t="shared" ca="1" si="65"/>
        <v>0.16888588884644051</v>
      </c>
      <c r="AD287">
        <f t="shared" ca="1" si="66"/>
        <v>19.768885888846441</v>
      </c>
      <c r="AE287">
        <f ca="1">C287*60/AD287</f>
        <v>44.919071564928579</v>
      </c>
    </row>
    <row r="288" spans="1:31" x14ac:dyDescent="0.45">
      <c r="A288">
        <f t="shared" ca="1" si="60"/>
        <v>21</v>
      </c>
      <c r="B288" s="3">
        <v>6164</v>
      </c>
      <c r="C288">
        <f t="shared" ca="1" si="61"/>
        <v>15.2</v>
      </c>
      <c r="D288">
        <v>25.69</v>
      </c>
      <c r="E288" s="8">
        <v>0.4</v>
      </c>
      <c r="F288" s="19">
        <f t="shared" si="72"/>
        <v>1.2870159453302961</v>
      </c>
      <c r="G288" s="19">
        <f t="shared" si="68"/>
        <v>2.536826801517067</v>
      </c>
      <c r="H288" s="19">
        <f t="shared" ca="1" si="69"/>
        <v>2.3495776642999981</v>
      </c>
      <c r="I288" s="19">
        <f t="shared" si="70"/>
        <v>31.87870577230284</v>
      </c>
      <c r="J288" s="8">
        <v>0.4</v>
      </c>
      <c r="K288" s="19">
        <f t="shared" si="71"/>
        <v>194</v>
      </c>
      <c r="L288" s="3">
        <f t="shared" si="59"/>
        <v>6200</v>
      </c>
      <c r="M288" s="3">
        <f t="shared" si="67"/>
        <v>15</v>
      </c>
      <c r="N288">
        <f t="shared" ca="1" si="62"/>
        <v>0.25897621035925578</v>
      </c>
      <c r="O288">
        <v>57.3</v>
      </c>
      <c r="P288">
        <v>15.27</v>
      </c>
      <c r="Q288">
        <v>9.61</v>
      </c>
      <c r="S288">
        <v>12.3</v>
      </c>
      <c r="T288">
        <v>7.19</v>
      </c>
      <c r="W288">
        <f ca="1">X288-A288-AA288</f>
        <v>19.731542109259109</v>
      </c>
      <c r="X288">
        <f t="shared" ca="1" si="63"/>
        <v>45.231542109259109</v>
      </c>
      <c r="Y288">
        <f ca="1">C288/X288*60</f>
        <v>20.162920773229825</v>
      </c>
      <c r="Z288">
        <v>13.0305882352941</v>
      </c>
      <c r="AA288">
        <v>4.5</v>
      </c>
      <c r="AB288">
        <f t="shared" ca="1" si="64"/>
        <v>19.600000000000001</v>
      </c>
      <c r="AC288">
        <f t="shared" ca="1" si="65"/>
        <v>0.56292077322982248</v>
      </c>
      <c r="AD288">
        <f t="shared" ca="1" si="66"/>
        <v>20.162920773229825</v>
      </c>
      <c r="AE288">
        <f ca="1">C288*60/AD288</f>
        <v>45.231542109259109</v>
      </c>
    </row>
    <row r="289" spans="1:31" x14ac:dyDescent="0.45">
      <c r="A289">
        <f t="shared" ca="1" si="60"/>
        <v>16</v>
      </c>
      <c r="B289" s="3">
        <v>6506</v>
      </c>
      <c r="C289">
        <f t="shared" ca="1" si="61"/>
        <v>15.6</v>
      </c>
      <c r="D289">
        <v>28</v>
      </c>
      <c r="E289" s="8">
        <v>0.4</v>
      </c>
      <c r="F289" s="19">
        <f t="shared" si="72"/>
        <v>1.2870159453302961</v>
      </c>
      <c r="G289" s="19">
        <f t="shared" si="68"/>
        <v>2.7199747155499368</v>
      </c>
      <c r="H289" s="19">
        <f t="shared" ca="1" si="69"/>
        <v>2.4114086554657876</v>
      </c>
      <c r="I289" s="19">
        <f t="shared" si="70"/>
        <v>34.180210337286674</v>
      </c>
      <c r="J289" s="8">
        <v>0.4</v>
      </c>
      <c r="K289" s="19">
        <f t="shared" si="71"/>
        <v>190</v>
      </c>
      <c r="L289" s="3">
        <f t="shared" si="59"/>
        <v>6500</v>
      </c>
      <c r="M289" s="3">
        <f t="shared" si="67"/>
        <v>8</v>
      </c>
      <c r="N289">
        <f t="shared" ca="1" si="62"/>
        <v>0.21262260862988924</v>
      </c>
      <c r="O289">
        <v>62.8</v>
      </c>
      <c r="P289">
        <v>7.92</v>
      </c>
      <c r="Q289">
        <v>6.7</v>
      </c>
      <c r="S289">
        <v>13.21</v>
      </c>
      <c r="T289">
        <v>7.35</v>
      </c>
      <c r="W289">
        <f ca="1">X289-A289-AA289</f>
        <v>27.560568642069782</v>
      </c>
      <c r="X289">
        <f t="shared" ca="1" si="63"/>
        <v>48.060568642069782</v>
      </c>
      <c r="Y289">
        <f ca="1">C289/X289*60</f>
        <v>19.475424999043252</v>
      </c>
      <c r="Z289">
        <v>15.138461538461501</v>
      </c>
      <c r="AA289">
        <v>4.5</v>
      </c>
      <c r="AB289">
        <f t="shared" ca="1" si="64"/>
        <v>19.399999999999999</v>
      </c>
      <c r="AC289">
        <f t="shared" ca="1" si="65"/>
        <v>7.5424999043252727E-2</v>
      </c>
      <c r="AD289">
        <f t="shared" ca="1" si="66"/>
        <v>19.475424999043252</v>
      </c>
      <c r="AE289">
        <f ca="1">C289*60/AD289</f>
        <v>48.060568642069782</v>
      </c>
    </row>
    <row r="290" spans="1:31" x14ac:dyDescent="0.45">
      <c r="A290">
        <f t="shared" ca="1" si="60"/>
        <v>22</v>
      </c>
      <c r="B290" s="3">
        <v>6255</v>
      </c>
      <c r="C290">
        <f t="shared" ca="1" si="61"/>
        <v>15.6</v>
      </c>
      <c r="D290">
        <v>41.4</v>
      </c>
      <c r="E290" s="8">
        <v>0.4</v>
      </c>
      <c r="F290" s="19">
        <f t="shared" si="72"/>
        <v>1.2870159453302961</v>
      </c>
      <c r="G290" s="19">
        <f t="shared" si="68"/>
        <v>3.7823911865631206</v>
      </c>
      <c r="H290" s="19">
        <f t="shared" ca="1" si="69"/>
        <v>2.4114086554657876</v>
      </c>
      <c r="I290" s="19">
        <f t="shared" si="70"/>
        <v>47.530929458837917</v>
      </c>
      <c r="J290" s="8">
        <v>0.4</v>
      </c>
      <c r="K290" s="19">
        <f t="shared" si="71"/>
        <v>133</v>
      </c>
      <c r="L290" s="3">
        <f t="shared" si="59"/>
        <v>6300</v>
      </c>
      <c r="M290" s="3">
        <f t="shared" si="67"/>
        <v>13</v>
      </c>
      <c r="N290">
        <f t="shared" ca="1" si="62"/>
        <v>0.2919948326605577</v>
      </c>
      <c r="O290">
        <v>51.7</v>
      </c>
      <c r="P290">
        <v>12.92</v>
      </c>
      <c r="Q290">
        <v>12.94</v>
      </c>
      <c r="S290">
        <v>12.73</v>
      </c>
      <c r="T290">
        <v>7.23</v>
      </c>
      <c r="W290">
        <f ca="1">X290-A290-AA290</f>
        <v>18.835949766253975</v>
      </c>
      <c r="X290">
        <f t="shared" ca="1" si="63"/>
        <v>45.335949766253975</v>
      </c>
      <c r="Y290">
        <f ca="1">C290/X290*60</f>
        <v>20.645867238381225</v>
      </c>
      <c r="Z290">
        <v>13.6885714285714</v>
      </c>
      <c r="AA290">
        <v>4.5</v>
      </c>
      <c r="AB290">
        <f t="shared" ca="1" si="64"/>
        <v>19.899999999999999</v>
      </c>
      <c r="AC290">
        <f t="shared" ca="1" si="65"/>
        <v>0.74586723838123015</v>
      </c>
      <c r="AD290">
        <f t="shared" ca="1" si="66"/>
        <v>20.645867238381229</v>
      </c>
      <c r="AE290">
        <f ca="1">C290*60/AD290</f>
        <v>45.335949766253975</v>
      </c>
    </row>
    <row r="291" spans="1:31" x14ac:dyDescent="0.45">
      <c r="A291">
        <f t="shared" ca="1" si="60"/>
        <v>19</v>
      </c>
      <c r="B291" s="3">
        <v>6627</v>
      </c>
      <c r="C291">
        <f t="shared" ca="1" si="61"/>
        <v>15.1</v>
      </c>
      <c r="D291">
        <v>35.21</v>
      </c>
      <c r="E291" s="8">
        <v>0.41</v>
      </c>
      <c r="F291" s="19">
        <f t="shared" si="72"/>
        <v>1.2963175404382241</v>
      </c>
      <c r="G291" s="19">
        <f t="shared" si="68"/>
        <v>3.2715872313527181</v>
      </c>
      <c r="H291" s="19">
        <f t="shared" ca="1" si="69"/>
        <v>2.2608504152680746</v>
      </c>
      <c r="I291" s="19">
        <f t="shared" si="70"/>
        <v>41.11197764638348</v>
      </c>
      <c r="J291" s="8">
        <v>0.41</v>
      </c>
      <c r="K291" s="19">
        <f t="shared" si="71"/>
        <v>161</v>
      </c>
      <c r="L291" s="3">
        <f t="shared" ref="L291:L309" si="73">ROUND(B291/100,0)*100</f>
        <v>6600</v>
      </c>
      <c r="M291" s="3">
        <f t="shared" si="67"/>
        <v>11</v>
      </c>
      <c r="N291">
        <f t="shared" ca="1" si="62"/>
        <v>0.20577293758921444</v>
      </c>
      <c r="O291">
        <v>64.5</v>
      </c>
      <c r="P291">
        <v>10.56</v>
      </c>
      <c r="Q291">
        <v>5.94</v>
      </c>
      <c r="S291">
        <v>12.05</v>
      </c>
      <c r="T291">
        <v>7.4</v>
      </c>
      <c r="W291">
        <f ca="1">X291-A291-AA291</f>
        <v>22.597723755505783</v>
      </c>
      <c r="X291">
        <f t="shared" ca="1" si="63"/>
        <v>46.097723755505783</v>
      </c>
      <c r="Y291">
        <f ca="1">C291/X291*60</f>
        <v>19.653898852040168</v>
      </c>
      <c r="Z291">
        <v>8.3958620689655206</v>
      </c>
      <c r="AA291">
        <v>4.5</v>
      </c>
      <c r="AB291">
        <f t="shared" ca="1" si="64"/>
        <v>19.600000000000001</v>
      </c>
      <c r="AC291">
        <f t="shared" ca="1" si="65"/>
        <v>5.3898852040171974E-2</v>
      </c>
      <c r="AD291">
        <f t="shared" ca="1" si="66"/>
        <v>19.653898852040172</v>
      </c>
      <c r="AE291">
        <f ca="1">C291*60/AD291</f>
        <v>46.097723755505783</v>
      </c>
    </row>
    <row r="292" spans="1:31" x14ac:dyDescent="0.45">
      <c r="A292">
        <f t="shared" ca="1" si="60"/>
        <v>16</v>
      </c>
      <c r="B292" s="3">
        <v>6214</v>
      </c>
      <c r="C292">
        <f t="shared" ca="1" si="61"/>
        <v>16.3</v>
      </c>
      <c r="D292">
        <v>46.48</v>
      </c>
      <c r="E292" s="8">
        <v>0.41</v>
      </c>
      <c r="F292" s="19">
        <f t="shared" si="72"/>
        <v>1.2963175404382241</v>
      </c>
      <c r="G292" s="19">
        <f t="shared" si="68"/>
        <v>4.1587155499367885</v>
      </c>
      <c r="H292" s="19">
        <f t="shared" ca="1" si="69"/>
        <v>2.440520646945008</v>
      </c>
      <c r="I292" s="19">
        <f t="shared" si="70"/>
        <v>52.259960880204204</v>
      </c>
      <c r="J292" s="8">
        <v>0.41</v>
      </c>
      <c r="K292" s="19">
        <f t="shared" si="71"/>
        <v>119</v>
      </c>
      <c r="L292" s="3">
        <f t="shared" si="73"/>
        <v>6200</v>
      </c>
      <c r="M292" s="3">
        <f t="shared" si="67"/>
        <v>9</v>
      </c>
      <c r="N292">
        <f t="shared" ca="1" si="62"/>
        <v>0.19844779509950605</v>
      </c>
      <c r="O292">
        <v>50.7</v>
      </c>
      <c r="P292">
        <v>9</v>
      </c>
      <c r="Q292">
        <v>9.36</v>
      </c>
      <c r="S292">
        <v>12.63</v>
      </c>
      <c r="T292">
        <v>7.2</v>
      </c>
      <c r="W292">
        <f ca="1">X292-A292-AA292</f>
        <v>27.362359945986199</v>
      </c>
      <c r="X292">
        <f t="shared" ca="1" si="63"/>
        <v>47.862359945986199</v>
      </c>
      <c r="Y292">
        <f ca="1">C292/X292*60</f>
        <v>20.433593351930327</v>
      </c>
      <c r="Z292">
        <v>5.4993865030674796</v>
      </c>
      <c r="AA292">
        <v>4.5</v>
      </c>
      <c r="AB292">
        <f t="shared" ca="1" si="64"/>
        <v>19.600000000000001</v>
      </c>
      <c r="AC292">
        <f t="shared" ca="1" si="65"/>
        <v>0.83359335193032402</v>
      </c>
      <c r="AD292">
        <f t="shared" ca="1" si="66"/>
        <v>20.433593351930327</v>
      </c>
      <c r="AE292">
        <f ca="1">C292*60/AD292</f>
        <v>47.862359945986199</v>
      </c>
    </row>
    <row r="293" spans="1:31" x14ac:dyDescent="0.45">
      <c r="A293">
        <f t="shared" ca="1" si="60"/>
        <v>17</v>
      </c>
      <c r="B293" s="3">
        <v>6042</v>
      </c>
      <c r="C293">
        <f t="shared" ca="1" si="61"/>
        <v>16</v>
      </c>
      <c r="D293">
        <v>44.13</v>
      </c>
      <c r="E293" s="8">
        <v>0.41</v>
      </c>
      <c r="F293" s="19">
        <f t="shared" si="72"/>
        <v>1.2963175404382241</v>
      </c>
      <c r="G293" s="19">
        <f t="shared" si="68"/>
        <v>3.973733158750226</v>
      </c>
      <c r="H293" s="19">
        <f t="shared" ca="1" si="69"/>
        <v>2.3956030890257747</v>
      </c>
      <c r="I293" s="19">
        <f t="shared" si="70"/>
        <v>49.935403595423494</v>
      </c>
      <c r="J293" s="8">
        <v>0.41</v>
      </c>
      <c r="K293" s="19">
        <f t="shared" si="71"/>
        <v>120</v>
      </c>
      <c r="L293" s="3">
        <f t="shared" si="73"/>
        <v>6000</v>
      </c>
      <c r="M293" s="3">
        <f t="shared" si="67"/>
        <v>15</v>
      </c>
      <c r="N293">
        <f t="shared" ca="1" si="62"/>
        <v>0.22873829004655485</v>
      </c>
      <c r="O293">
        <v>49.5</v>
      </c>
      <c r="P293">
        <v>15.08</v>
      </c>
      <c r="Q293">
        <v>9.48</v>
      </c>
      <c r="S293">
        <v>13.18</v>
      </c>
      <c r="T293">
        <v>7.04</v>
      </c>
      <c r="W293">
        <f ca="1">X293-A293-AA293</f>
        <v>26.842904171183285</v>
      </c>
      <c r="X293">
        <f t="shared" ca="1" si="63"/>
        <v>48.342904171183285</v>
      </c>
      <c r="Y293">
        <f ca="1">C293/X293*60</f>
        <v>19.858136710211262</v>
      </c>
      <c r="Z293">
        <v>9.702</v>
      </c>
      <c r="AA293">
        <v>4.5</v>
      </c>
      <c r="AB293">
        <f t="shared" ca="1" si="64"/>
        <v>19.5</v>
      </c>
      <c r="AC293">
        <f t="shared" ca="1" si="65"/>
        <v>0.35813671021126381</v>
      </c>
      <c r="AD293">
        <f t="shared" ca="1" si="66"/>
        <v>19.858136710211262</v>
      </c>
      <c r="AE293">
        <f ca="1">C293*60/AD293</f>
        <v>48.342904171183285</v>
      </c>
    </row>
    <row r="294" spans="1:31" x14ac:dyDescent="0.45">
      <c r="A294">
        <f t="shared" ca="1" si="60"/>
        <v>22</v>
      </c>
      <c r="B294" s="3">
        <v>6417</v>
      </c>
      <c r="C294">
        <f t="shared" ca="1" si="61"/>
        <v>16.2</v>
      </c>
      <c r="D294">
        <v>33.119999999999997</v>
      </c>
      <c r="E294" s="8">
        <v>0.41</v>
      </c>
      <c r="F294" s="19">
        <f t="shared" si="72"/>
        <v>1.2963175404382241</v>
      </c>
      <c r="G294" s="19">
        <f t="shared" si="68"/>
        <v>3.1070709770633917</v>
      </c>
      <c r="H294" s="19">
        <f t="shared" ca="1" si="69"/>
        <v>2.4255481276385971</v>
      </c>
      <c r="I294" s="19">
        <f t="shared" si="70"/>
        <v>39.044605422897646</v>
      </c>
      <c r="J294" s="8">
        <v>0.41</v>
      </c>
      <c r="K294" s="19">
        <f t="shared" si="71"/>
        <v>164</v>
      </c>
      <c r="L294" s="3">
        <f t="shared" si="73"/>
        <v>6400</v>
      </c>
      <c r="M294" s="3">
        <f t="shared" si="67"/>
        <v>9</v>
      </c>
      <c r="N294">
        <f t="shared" ca="1" si="62"/>
        <v>0.24183014419426385</v>
      </c>
      <c r="O294">
        <v>63.8</v>
      </c>
      <c r="P294">
        <v>8.6</v>
      </c>
      <c r="Q294">
        <v>8.26</v>
      </c>
      <c r="S294">
        <v>12.59</v>
      </c>
      <c r="T294">
        <v>7.12</v>
      </c>
      <c r="W294">
        <f ca="1">X294-A294-AA294</f>
        <v>22.619181815505641</v>
      </c>
      <c r="X294">
        <f t="shared" ca="1" si="63"/>
        <v>49.119181815505641</v>
      </c>
      <c r="Y294">
        <f ca="1">C294/X294*60</f>
        <v>19.788603231439922</v>
      </c>
      <c r="Z294">
        <v>7.2092307692307704</v>
      </c>
      <c r="AA294">
        <v>4.5</v>
      </c>
      <c r="AB294">
        <f t="shared" ca="1" si="64"/>
        <v>19.5</v>
      </c>
      <c r="AC294">
        <f t="shared" ca="1" si="65"/>
        <v>0.28860323143992017</v>
      </c>
      <c r="AD294">
        <f t="shared" ca="1" si="66"/>
        <v>19.788603231439922</v>
      </c>
      <c r="AE294">
        <f ca="1">C294*60/AD294</f>
        <v>49.119181815505641</v>
      </c>
    </row>
    <row r="295" spans="1:31" x14ac:dyDescent="0.45">
      <c r="A295">
        <f t="shared" ca="1" si="60"/>
        <v>16</v>
      </c>
      <c r="B295" s="3">
        <v>5780</v>
      </c>
      <c r="C295">
        <f t="shared" ca="1" si="61"/>
        <v>15.8</v>
      </c>
      <c r="D295">
        <v>33.69</v>
      </c>
      <c r="E295" s="8">
        <v>0.41</v>
      </c>
      <c r="F295" s="19">
        <f t="shared" si="72"/>
        <v>1.2963175404382241</v>
      </c>
      <c r="G295" s="19">
        <f t="shared" si="68"/>
        <v>3.1519390464150261</v>
      </c>
      <c r="H295" s="19">
        <f t="shared" ca="1" si="69"/>
        <v>2.3656580504129527</v>
      </c>
      <c r="I295" s="19">
        <f t="shared" si="70"/>
        <v>39.608434211121057</v>
      </c>
      <c r="J295" s="8">
        <v>0.41</v>
      </c>
      <c r="K295" s="19">
        <f t="shared" si="71"/>
        <v>146</v>
      </c>
      <c r="L295" s="3">
        <f t="shared" si="73"/>
        <v>5800</v>
      </c>
      <c r="M295" s="3">
        <f t="shared" si="67"/>
        <v>9</v>
      </c>
      <c r="N295">
        <f t="shared" ca="1" si="62"/>
        <v>0.21621368035629149</v>
      </c>
      <c r="O295">
        <v>50.9</v>
      </c>
      <c r="P295">
        <v>9.01</v>
      </c>
      <c r="Q295">
        <v>7.02</v>
      </c>
      <c r="S295">
        <v>12.46</v>
      </c>
      <c r="T295">
        <v>7.1</v>
      </c>
      <c r="W295">
        <f ca="1">X295-A295-AA295</f>
        <v>24.79029074925986</v>
      </c>
      <c r="X295">
        <f t="shared" ca="1" si="63"/>
        <v>45.29029074925986</v>
      </c>
      <c r="Y295">
        <f ca="1">C295/X295*60</f>
        <v>20.931638643001918</v>
      </c>
      <c r="Z295">
        <v>8.3781818181818206</v>
      </c>
      <c r="AA295">
        <v>4.5</v>
      </c>
      <c r="AB295">
        <f t="shared" ca="1" si="64"/>
        <v>20</v>
      </c>
      <c r="AC295">
        <f t="shared" ca="1" si="65"/>
        <v>0.93163864300191657</v>
      </c>
      <c r="AD295">
        <f t="shared" ca="1" si="66"/>
        <v>20.931638643001918</v>
      </c>
      <c r="AE295">
        <f ca="1">C295*60/AD295</f>
        <v>45.29029074925986</v>
      </c>
    </row>
    <row r="296" spans="1:31" x14ac:dyDescent="0.45">
      <c r="A296">
        <f t="shared" ca="1" si="60"/>
        <v>20</v>
      </c>
      <c r="B296" s="3">
        <v>6500</v>
      </c>
      <c r="C296">
        <f t="shared" ca="1" si="61"/>
        <v>15.3</v>
      </c>
      <c r="D296">
        <v>19.55</v>
      </c>
      <c r="E296" s="8">
        <v>0.42</v>
      </c>
      <c r="F296" s="19">
        <f t="shared" si="72"/>
        <v>1.3057545643633</v>
      </c>
      <c r="G296" s="19">
        <f t="shared" si="68"/>
        <v>2.027774065378364</v>
      </c>
      <c r="H296" s="19">
        <f t="shared" ca="1" si="69"/>
        <v>2.2200907317756129</v>
      </c>
      <c r="I296" s="19">
        <f t="shared" si="70"/>
        <v>25.481760427730308</v>
      </c>
      <c r="J296" s="8">
        <v>0.42</v>
      </c>
      <c r="K296" s="19">
        <f t="shared" si="71"/>
        <v>255</v>
      </c>
      <c r="L296" s="3">
        <f t="shared" si="73"/>
        <v>6500</v>
      </c>
      <c r="M296" s="3">
        <f t="shared" si="67"/>
        <v>12</v>
      </c>
      <c r="N296">
        <f t="shared" ca="1" si="62"/>
        <v>0.18479179706133</v>
      </c>
      <c r="O296">
        <v>65.3</v>
      </c>
      <c r="P296">
        <v>12.06</v>
      </c>
      <c r="Q296">
        <v>0.16</v>
      </c>
      <c r="S296">
        <v>11.03</v>
      </c>
      <c r="T296">
        <v>7.28</v>
      </c>
      <c r="W296">
        <f ca="1">X296-A296-AA296</f>
        <v>20.293108566693697</v>
      </c>
      <c r="X296">
        <f t="shared" ca="1" si="63"/>
        <v>44.793108566693697</v>
      </c>
      <c r="Y296">
        <f ca="1">C296/X296*60</f>
        <v>20.494223986110821</v>
      </c>
      <c r="Z296">
        <v>5.5701030927835102</v>
      </c>
      <c r="AA296">
        <v>4.5</v>
      </c>
      <c r="AB296">
        <f t="shared" ca="1" si="64"/>
        <v>19.600000000000001</v>
      </c>
      <c r="AC296">
        <f t="shared" ca="1" si="65"/>
        <v>0.89422398611081977</v>
      </c>
      <c r="AD296">
        <f t="shared" ca="1" si="66"/>
        <v>20.494223986110821</v>
      </c>
      <c r="AE296">
        <f ca="1">C296*60/AD296</f>
        <v>44.793108566693697</v>
      </c>
    </row>
    <row r="297" spans="1:31" x14ac:dyDescent="0.45">
      <c r="A297">
        <f t="shared" ca="1" si="60"/>
        <v>17</v>
      </c>
      <c r="B297" s="3">
        <v>6423</v>
      </c>
      <c r="C297">
        <f t="shared" ca="1" si="61"/>
        <v>16.399999999999999</v>
      </c>
      <c r="D297">
        <v>33.700000000000003</v>
      </c>
      <c r="E297" s="8">
        <v>0.42</v>
      </c>
      <c r="F297" s="19">
        <f t="shared" si="72"/>
        <v>1.3057545643633</v>
      </c>
      <c r="G297" s="19">
        <f t="shared" si="68"/>
        <v>3.1335542712660294</v>
      </c>
      <c r="H297" s="19">
        <f t="shared" ca="1" si="69"/>
        <v>2.3797050981124213</v>
      </c>
      <c r="I297" s="19">
        <f t="shared" si="70"/>
        <v>39.377404312937102</v>
      </c>
      <c r="J297" s="8">
        <v>0.42</v>
      </c>
      <c r="K297" s="19">
        <f t="shared" si="71"/>
        <v>163</v>
      </c>
      <c r="L297" s="3">
        <f t="shared" si="73"/>
        <v>6400</v>
      </c>
      <c r="M297" s="3">
        <f t="shared" si="67"/>
        <v>5</v>
      </c>
      <c r="N297">
        <f t="shared" ca="1" si="62"/>
        <v>0.17025305121119255</v>
      </c>
      <c r="O297">
        <v>60.21</v>
      </c>
      <c r="P297">
        <v>4.7300000000000004</v>
      </c>
      <c r="Q297">
        <v>5.44</v>
      </c>
      <c r="S297">
        <v>12.34</v>
      </c>
      <c r="T297">
        <v>7.4</v>
      </c>
      <c r="W297">
        <f ca="1">X297-A297-AA297</f>
        <v>29.015632700010258</v>
      </c>
      <c r="X297">
        <f t="shared" ca="1" si="63"/>
        <v>50.515632700010258</v>
      </c>
      <c r="Y297">
        <f ca="1">C297/X297*60</f>
        <v>19.479118589754894</v>
      </c>
      <c r="Z297">
        <v>9.1131147540983601</v>
      </c>
      <c r="AA297">
        <v>4.5</v>
      </c>
      <c r="AB297">
        <f t="shared" ca="1" si="64"/>
        <v>19.100000000000001</v>
      </c>
      <c r="AC297">
        <f t="shared" ca="1" si="65"/>
        <v>0.37911858975488855</v>
      </c>
      <c r="AD297">
        <f t="shared" ca="1" si="66"/>
        <v>19.47911858975489</v>
      </c>
      <c r="AE297">
        <f ca="1">C297*60/AD297</f>
        <v>50.515632700010258</v>
      </c>
    </row>
    <row r="298" spans="1:31" x14ac:dyDescent="0.45">
      <c r="A298">
        <f t="shared" ca="1" si="60"/>
        <v>19</v>
      </c>
      <c r="B298" s="3">
        <v>6154</v>
      </c>
      <c r="C298">
        <f t="shared" ca="1" si="61"/>
        <v>16.2</v>
      </c>
      <c r="D298">
        <v>33.6</v>
      </c>
      <c r="E298" s="8">
        <v>0.42</v>
      </c>
      <c r="F298" s="19">
        <f t="shared" si="72"/>
        <v>1.3057545643633</v>
      </c>
      <c r="G298" s="19">
        <f t="shared" si="68"/>
        <v>3.1257395701643493</v>
      </c>
      <c r="H298" s="19">
        <f t="shared" ca="1" si="69"/>
        <v>2.3506843042330017</v>
      </c>
      <c r="I298" s="19">
        <f t="shared" si="70"/>
        <v>39.279201882652949</v>
      </c>
      <c r="J298" s="8">
        <v>0.42</v>
      </c>
      <c r="K298" s="19">
        <f t="shared" si="71"/>
        <v>158</v>
      </c>
      <c r="L298" s="3">
        <f t="shared" si="73"/>
        <v>6200</v>
      </c>
      <c r="M298" s="3">
        <f t="shared" si="67"/>
        <v>10</v>
      </c>
      <c r="N298">
        <f t="shared" ca="1" si="62"/>
        <v>0.19895876066559862</v>
      </c>
      <c r="O298">
        <v>52.6</v>
      </c>
      <c r="P298">
        <v>9.8000000000000007</v>
      </c>
      <c r="Q298">
        <v>9.98</v>
      </c>
      <c r="S298">
        <v>12.17</v>
      </c>
      <c r="T298">
        <v>7.2</v>
      </c>
      <c r="W298">
        <f ca="1">X298-A298-AA298</f>
        <v>24.980051058688304</v>
      </c>
      <c r="X298">
        <f t="shared" ca="1" si="63"/>
        <v>48.480051058688304</v>
      </c>
      <c r="Y298">
        <f ca="1">C298/X298*60</f>
        <v>20.049483834563823</v>
      </c>
      <c r="Z298">
        <v>8.2951456310679603</v>
      </c>
      <c r="AA298">
        <v>4.5</v>
      </c>
      <c r="AB298">
        <f t="shared" ca="1" si="64"/>
        <v>19.100000000000001</v>
      </c>
      <c r="AC298">
        <f t="shared" ca="1" si="65"/>
        <v>0.9494838345638259</v>
      </c>
      <c r="AD298">
        <f t="shared" ca="1" si="66"/>
        <v>20.049483834563826</v>
      </c>
      <c r="AE298">
        <f ca="1">C298*60/AD298</f>
        <v>48.480051058688304</v>
      </c>
    </row>
    <row r="299" spans="1:31" x14ac:dyDescent="0.45">
      <c r="A299">
        <f t="shared" ca="1" si="60"/>
        <v>17</v>
      </c>
      <c r="B299" s="3">
        <v>6355</v>
      </c>
      <c r="C299">
        <f t="shared" ca="1" si="61"/>
        <v>16.100000000000001</v>
      </c>
      <c r="D299">
        <v>41</v>
      </c>
      <c r="E299" s="8">
        <v>0.43</v>
      </c>
      <c r="F299" s="19">
        <f t="shared" si="72"/>
        <v>1.3153299965079734</v>
      </c>
      <c r="G299" s="19">
        <f t="shared" si="68"/>
        <v>3.6807025465053278</v>
      </c>
      <c r="H299" s="19">
        <f t="shared" ca="1" si="69"/>
        <v>2.265232750488765</v>
      </c>
      <c r="I299" s="19">
        <f t="shared" si="70"/>
        <v>46.253072320601525</v>
      </c>
      <c r="J299" s="8">
        <v>0.43</v>
      </c>
      <c r="K299" s="19">
        <f t="shared" si="71"/>
        <v>138</v>
      </c>
      <c r="L299" s="3">
        <f t="shared" si="73"/>
        <v>6400</v>
      </c>
      <c r="M299" s="3">
        <f t="shared" si="67"/>
        <v>12</v>
      </c>
      <c r="N299">
        <f t="shared" ca="1" si="62"/>
        <v>0.21049200814099281</v>
      </c>
      <c r="O299">
        <v>51.1</v>
      </c>
      <c r="P299">
        <v>11.67</v>
      </c>
      <c r="Q299">
        <v>10.24</v>
      </c>
      <c r="S299">
        <v>12.73</v>
      </c>
      <c r="T299">
        <v>7.21</v>
      </c>
      <c r="W299">
        <f ca="1">X299-A299-AA299</f>
        <v>26.224273542502225</v>
      </c>
      <c r="X299">
        <f t="shared" ca="1" si="63"/>
        <v>47.724273542502225</v>
      </c>
      <c r="Y299">
        <f ca="1">C299/X299*60</f>
        <v>20.241271962782228</v>
      </c>
      <c r="Z299">
        <v>15.082191780821899</v>
      </c>
      <c r="AA299">
        <v>4.5</v>
      </c>
      <c r="AB299">
        <f t="shared" ca="1" si="64"/>
        <v>20</v>
      </c>
      <c r="AC299">
        <f t="shared" ca="1" si="65"/>
        <v>0.24127196278223129</v>
      </c>
      <c r="AD299">
        <f t="shared" ca="1" si="66"/>
        <v>20.241271962782232</v>
      </c>
      <c r="AE299">
        <f ca="1">C299*60/AD299</f>
        <v>47.724273542502225</v>
      </c>
    </row>
    <row r="300" spans="1:31" x14ac:dyDescent="0.45">
      <c r="A300">
        <f t="shared" ca="1" si="60"/>
        <v>20</v>
      </c>
      <c r="B300" s="3">
        <v>6326</v>
      </c>
      <c r="C300">
        <f t="shared" ca="1" si="61"/>
        <v>15.8</v>
      </c>
      <c r="D300">
        <v>34.67</v>
      </c>
      <c r="E300" s="8">
        <v>0.44</v>
      </c>
      <c r="F300" s="19">
        <f t="shared" si="72"/>
        <v>1.3250469043151967</v>
      </c>
      <c r="G300" s="19">
        <f t="shared" si="68"/>
        <v>3.1699093371862026</v>
      </c>
      <c r="H300" s="19">
        <f t="shared" ca="1" si="69"/>
        <v>2.1565686850427803</v>
      </c>
      <c r="I300" s="19">
        <f t="shared" si="70"/>
        <v>39.834255544999458</v>
      </c>
      <c r="J300" s="8">
        <v>0.44</v>
      </c>
      <c r="K300" s="19">
        <f t="shared" si="71"/>
        <v>158</v>
      </c>
      <c r="L300" s="3">
        <f t="shared" si="73"/>
        <v>6300</v>
      </c>
      <c r="M300" s="3">
        <f t="shared" si="67"/>
        <v>8</v>
      </c>
      <c r="N300">
        <f t="shared" ca="1" si="62"/>
        <v>0.20887158977045117</v>
      </c>
      <c r="O300">
        <v>60.25</v>
      </c>
      <c r="P300">
        <v>8.4600000000000009</v>
      </c>
      <c r="Q300">
        <v>5.88</v>
      </c>
      <c r="S300">
        <v>12.21</v>
      </c>
      <c r="T300">
        <v>7.3</v>
      </c>
      <c r="W300">
        <f ca="1">X300-A300-AA300</f>
        <v>23.507265901485532</v>
      </c>
      <c r="X300">
        <f t="shared" ca="1" si="63"/>
        <v>48.007265901485532</v>
      </c>
      <c r="Y300">
        <f ca="1">C300/X300*60</f>
        <v>19.747010836763049</v>
      </c>
      <c r="Z300">
        <v>9.5179487179487197</v>
      </c>
      <c r="AA300">
        <v>4.5</v>
      </c>
      <c r="AB300">
        <f t="shared" ca="1" si="64"/>
        <v>19.5</v>
      </c>
      <c r="AC300">
        <f t="shared" ca="1" si="65"/>
        <v>0.24701083676305002</v>
      </c>
      <c r="AD300">
        <f t="shared" ca="1" si="66"/>
        <v>19.747010836763049</v>
      </c>
      <c r="AE300">
        <f ca="1">C300*60/AD300</f>
        <v>48.007265901485532</v>
      </c>
    </row>
    <row r="301" spans="1:31" x14ac:dyDescent="0.45">
      <c r="A301">
        <f t="shared" ca="1" si="60"/>
        <v>20</v>
      </c>
      <c r="B301" s="3">
        <v>6623</v>
      </c>
      <c r="C301">
        <f t="shared" ca="1" si="61"/>
        <v>15.2</v>
      </c>
      <c r="D301">
        <v>35.729999999999997</v>
      </c>
      <c r="E301" s="8">
        <v>0.44</v>
      </c>
      <c r="F301" s="19">
        <f t="shared" si="72"/>
        <v>1.3250469043151967</v>
      </c>
      <c r="G301" s="19">
        <f t="shared" si="68"/>
        <v>3.2515391005959908</v>
      </c>
      <c r="H301" s="19">
        <f t="shared" ca="1" si="69"/>
        <v>2.0746736716867251</v>
      </c>
      <c r="I301" s="19">
        <f t="shared" si="70"/>
        <v>40.860045405169309</v>
      </c>
      <c r="J301" s="8">
        <v>0.44</v>
      </c>
      <c r="K301" s="19">
        <f t="shared" si="71"/>
        <v>162</v>
      </c>
      <c r="L301" s="3">
        <f t="shared" si="73"/>
        <v>6600</v>
      </c>
      <c r="M301" s="3">
        <f t="shared" si="67"/>
        <v>10</v>
      </c>
      <c r="N301">
        <f t="shared" ca="1" si="62"/>
        <v>0.17380682971653638</v>
      </c>
      <c r="O301" t="s">
        <v>23</v>
      </c>
      <c r="P301">
        <v>9.57</v>
      </c>
      <c r="Q301">
        <v>6.09</v>
      </c>
      <c r="S301">
        <v>11.33</v>
      </c>
      <c r="T301">
        <v>7.4</v>
      </c>
      <c r="W301">
        <f ca="1">X301-A301-AA301</f>
        <v>22.611309385307145</v>
      </c>
      <c r="X301">
        <f t="shared" ca="1" si="63"/>
        <v>47.111309385307145</v>
      </c>
      <c r="Y301">
        <f ca="1">C301/X301*60</f>
        <v>19.358409093261802</v>
      </c>
      <c r="Z301">
        <v>11.09375</v>
      </c>
      <c r="AA301">
        <v>4.5</v>
      </c>
      <c r="AB301">
        <f t="shared" ca="1" si="64"/>
        <v>19.2</v>
      </c>
      <c r="AC301">
        <f t="shared" ca="1" si="65"/>
        <v>0.15840909326180763</v>
      </c>
      <c r="AD301">
        <f t="shared" ca="1" si="66"/>
        <v>19.358409093261805</v>
      </c>
      <c r="AE301">
        <f ca="1">C301*60/AD301</f>
        <v>47.111309385307145</v>
      </c>
    </row>
    <row r="302" spans="1:31" x14ac:dyDescent="0.45">
      <c r="A302">
        <f t="shared" ca="1" si="60"/>
        <v>21</v>
      </c>
      <c r="B302" s="3">
        <v>6318</v>
      </c>
      <c r="C302">
        <f t="shared" ca="1" si="61"/>
        <v>15.7</v>
      </c>
      <c r="D302">
        <v>41.64</v>
      </c>
      <c r="E302" s="8">
        <v>0.45</v>
      </c>
      <c r="F302" s="19">
        <f t="shared" si="72"/>
        <v>1.3349084465445953</v>
      </c>
      <c r="G302" s="19">
        <f t="shared" si="68"/>
        <v>3.6829745349467222</v>
      </c>
      <c r="H302" s="19">
        <f t="shared" ca="1" si="69"/>
        <v>2.0798202079040742</v>
      </c>
      <c r="I302" s="19">
        <f t="shared" si="70"/>
        <v>46.281622969387627</v>
      </c>
      <c r="J302" s="8">
        <v>0.45</v>
      </c>
      <c r="K302" s="19">
        <f t="shared" si="71"/>
        <v>136</v>
      </c>
      <c r="L302" s="3">
        <f t="shared" si="73"/>
        <v>6300</v>
      </c>
      <c r="M302" s="3">
        <f t="shared" si="67"/>
        <v>9</v>
      </c>
      <c r="N302">
        <f t="shared" ca="1" si="62"/>
        <v>0.26764818073389762</v>
      </c>
      <c r="O302">
        <v>56.4</v>
      </c>
      <c r="P302">
        <v>9.49</v>
      </c>
      <c r="Q302">
        <v>7.47</v>
      </c>
      <c r="S302">
        <v>13.3</v>
      </c>
      <c r="T302">
        <v>7.3</v>
      </c>
      <c r="W302">
        <f ca="1">X302-A302-AA302</f>
        <v>22.417488449007422</v>
      </c>
      <c r="X302">
        <f t="shared" ca="1" si="63"/>
        <v>47.917488449007422</v>
      </c>
      <c r="Y302">
        <f ca="1">C302/X302*60</f>
        <v>19.658793281756669</v>
      </c>
      <c r="Z302">
        <v>10.663043478260899</v>
      </c>
      <c r="AA302">
        <v>4.5</v>
      </c>
      <c r="AB302">
        <f t="shared" ca="1" si="64"/>
        <v>19.100000000000001</v>
      </c>
      <c r="AC302">
        <f t="shared" ca="1" si="65"/>
        <v>0.55879328175667098</v>
      </c>
      <c r="AD302">
        <f t="shared" ca="1" si="66"/>
        <v>19.658793281756672</v>
      </c>
      <c r="AE302">
        <f ca="1">C302*60/AD302</f>
        <v>47.917488449007422</v>
      </c>
    </row>
    <row r="303" spans="1:31" x14ac:dyDescent="0.45">
      <c r="A303">
        <f t="shared" ca="1" si="60"/>
        <v>20</v>
      </c>
      <c r="B303" s="3">
        <v>6518</v>
      </c>
      <c r="C303">
        <f t="shared" ca="1" si="61"/>
        <v>16.399999999999999</v>
      </c>
      <c r="D303">
        <v>46.78</v>
      </c>
      <c r="E303" s="8">
        <v>0.46</v>
      </c>
      <c r="F303" s="19">
        <f t="shared" si="72"/>
        <v>1.3449178766960246</v>
      </c>
      <c r="G303" s="19">
        <f t="shared" si="68"/>
        <v>4.04926458370959</v>
      </c>
      <c r="H303" s="19">
        <f t="shared" ca="1" si="69"/>
        <v>2.1095041595299073</v>
      </c>
      <c r="I303" s="19">
        <f t="shared" si="70"/>
        <v>50.884559474493521</v>
      </c>
      <c r="J303" s="8">
        <v>0.46</v>
      </c>
      <c r="K303" s="19">
        <f t="shared" si="71"/>
        <v>128</v>
      </c>
      <c r="L303" s="3">
        <f t="shared" si="73"/>
        <v>6500</v>
      </c>
      <c r="M303" s="3">
        <f t="shared" si="67"/>
        <v>11</v>
      </c>
      <c r="N303">
        <f t="shared" ca="1" si="62"/>
        <v>0.21629969539278107</v>
      </c>
      <c r="O303">
        <v>71.900000000000006</v>
      </c>
      <c r="P303">
        <v>11.4</v>
      </c>
      <c r="Q303">
        <v>8.19</v>
      </c>
      <c r="S303">
        <v>12.31</v>
      </c>
      <c r="T303">
        <v>7.3</v>
      </c>
      <c r="W303">
        <f ca="1">X303-A303-AA303</f>
        <v>23.162307237198299</v>
      </c>
      <c r="X303">
        <f t="shared" ca="1" si="63"/>
        <v>47.662307237198299</v>
      </c>
      <c r="Y303">
        <f ca="1">C303/X303*60</f>
        <v>20.645244786472105</v>
      </c>
      <c r="Z303">
        <v>8.7861386138613895</v>
      </c>
      <c r="AA303">
        <v>4.5</v>
      </c>
      <c r="AB303">
        <f t="shared" ca="1" si="64"/>
        <v>19.8</v>
      </c>
      <c r="AC303">
        <f t="shared" ca="1" si="65"/>
        <v>0.84524478647210566</v>
      </c>
      <c r="AD303">
        <f t="shared" ca="1" si="66"/>
        <v>20.645244786472105</v>
      </c>
      <c r="AE303">
        <f ca="1">C303*60/AD303</f>
        <v>47.662307237198299</v>
      </c>
    </row>
    <row r="304" spans="1:31" x14ac:dyDescent="0.45">
      <c r="A304">
        <f t="shared" ca="1" si="60"/>
        <v>21</v>
      </c>
      <c r="B304" s="3">
        <v>6284</v>
      </c>
      <c r="C304">
        <f t="shared" ca="1" si="61"/>
        <v>15.6</v>
      </c>
      <c r="D304">
        <v>34.04</v>
      </c>
      <c r="E304" s="8">
        <v>0.46</v>
      </c>
      <c r="F304" s="19">
        <f t="shared" si="72"/>
        <v>1.3449178766960246</v>
      </c>
      <c r="G304" s="19">
        <f t="shared" si="68"/>
        <v>3.0826628137980854</v>
      </c>
      <c r="H304" s="19">
        <f t="shared" ca="1" si="69"/>
        <v>2.0066015176016192</v>
      </c>
      <c r="I304" s="19">
        <f t="shared" si="70"/>
        <v>38.73788339729002</v>
      </c>
      <c r="J304" s="8">
        <v>0.46</v>
      </c>
      <c r="K304" s="19">
        <f t="shared" si="71"/>
        <v>163</v>
      </c>
      <c r="L304" s="3">
        <f t="shared" si="73"/>
        <v>6300</v>
      </c>
      <c r="M304" s="3">
        <f t="shared" si="67"/>
        <v>13</v>
      </c>
      <c r="N304">
        <f t="shared" ca="1" si="62"/>
        <v>0.25075163087351765</v>
      </c>
      <c r="O304">
        <v>67.099999999999994</v>
      </c>
      <c r="P304">
        <v>12.71</v>
      </c>
      <c r="Q304">
        <v>13.24</v>
      </c>
      <c r="S304">
        <v>12.68</v>
      </c>
      <c r="T304">
        <v>7.4</v>
      </c>
      <c r="W304">
        <f ca="1">X304-A304-AA304</f>
        <v>21.0566925591136</v>
      </c>
      <c r="X304">
        <f t="shared" ca="1" si="63"/>
        <v>46.5566925591136</v>
      </c>
      <c r="Y304">
        <f ca="1">C304/X304*60</f>
        <v>20.104520930294807</v>
      </c>
      <c r="Z304">
        <v>9.7874999999999996</v>
      </c>
      <c r="AA304">
        <v>4.5</v>
      </c>
      <c r="AB304">
        <f t="shared" ca="1" si="64"/>
        <v>20</v>
      </c>
      <c r="AC304">
        <f t="shared" ca="1" si="65"/>
        <v>0.10452093029481135</v>
      </c>
      <c r="AD304">
        <f t="shared" ca="1" si="66"/>
        <v>20.104520930294811</v>
      </c>
      <c r="AE304">
        <f ca="1">C304*60/AD304</f>
        <v>46.5566925591136</v>
      </c>
    </row>
    <row r="305" spans="1:31" x14ac:dyDescent="0.45">
      <c r="A305">
        <f t="shared" ca="1" si="60"/>
        <v>22</v>
      </c>
      <c r="B305" s="3">
        <v>5358</v>
      </c>
      <c r="C305">
        <f t="shared" ca="1" si="61"/>
        <v>15.9</v>
      </c>
      <c r="D305">
        <v>38.020000000000003</v>
      </c>
      <c r="E305" s="8">
        <v>0.46</v>
      </c>
      <c r="F305" s="19">
        <f t="shared" si="72"/>
        <v>1.3449178766960246</v>
      </c>
      <c r="G305" s="19">
        <f t="shared" si="68"/>
        <v>3.3846310276322922</v>
      </c>
      <c r="H305" s="19">
        <f t="shared" ca="1" si="69"/>
        <v>2.0451900083247274</v>
      </c>
      <c r="I305" s="19">
        <f t="shared" si="70"/>
        <v>42.532527886086726</v>
      </c>
      <c r="J305" s="8">
        <v>0.46</v>
      </c>
      <c r="K305" s="19">
        <f t="shared" si="71"/>
        <v>127</v>
      </c>
      <c r="L305" s="3">
        <f t="shared" si="73"/>
        <v>5400</v>
      </c>
      <c r="M305" s="3">
        <f t="shared" si="67"/>
        <v>9</v>
      </c>
      <c r="N305">
        <f t="shared" ca="1" si="62"/>
        <v>0.24662595522119041</v>
      </c>
      <c r="O305">
        <v>72.400000000000006</v>
      </c>
      <c r="P305">
        <v>9.07</v>
      </c>
      <c r="Q305">
        <v>6.34</v>
      </c>
      <c r="S305">
        <v>12.35</v>
      </c>
      <c r="T305">
        <v>7.4</v>
      </c>
      <c r="W305">
        <f ca="1">X305-A305-AA305</f>
        <v>20.070880194100063</v>
      </c>
      <c r="X305">
        <f t="shared" ca="1" si="63"/>
        <v>46.570880194100063</v>
      </c>
      <c r="Y305">
        <f ca="1">C305/X305*60</f>
        <v>20.484903785882487</v>
      </c>
      <c r="Z305">
        <v>8.5761467889908296</v>
      </c>
      <c r="AA305">
        <v>4.5</v>
      </c>
      <c r="AB305">
        <f t="shared" ca="1" si="64"/>
        <v>19.8</v>
      </c>
      <c r="AC305">
        <f t="shared" ca="1" si="65"/>
        <v>0.68490378588248135</v>
      </c>
      <c r="AD305">
        <f t="shared" ca="1" si="66"/>
        <v>20.484903785882484</v>
      </c>
      <c r="AE305">
        <f ca="1">C305*60/AD305</f>
        <v>46.570880194100063</v>
      </c>
    </row>
    <row r="306" spans="1:31" x14ac:dyDescent="0.45">
      <c r="A306">
        <f t="shared" ca="1" si="60"/>
        <v>19</v>
      </c>
      <c r="B306" s="3">
        <v>6482</v>
      </c>
      <c r="C306">
        <f t="shared" ca="1" si="61"/>
        <v>15.1</v>
      </c>
      <c r="D306">
        <v>35.950000000000003</v>
      </c>
      <c r="E306" s="8">
        <v>0.47</v>
      </c>
      <c r="F306" s="19">
        <f t="shared" si="72"/>
        <v>1.3550785465883199</v>
      </c>
      <c r="G306" s="19">
        <f t="shared" si="68"/>
        <v>3.2071252483294201</v>
      </c>
      <c r="H306" s="19">
        <f t="shared" ca="1" si="69"/>
        <v>1.8867082812741536</v>
      </c>
      <c r="I306" s="19">
        <f t="shared" si="70"/>
        <v>40.301924477176186</v>
      </c>
      <c r="J306" s="8">
        <v>0.47</v>
      </c>
      <c r="K306" s="19">
        <f t="shared" si="71"/>
        <v>161</v>
      </c>
      <c r="L306" s="3">
        <f t="shared" si="73"/>
        <v>6500</v>
      </c>
      <c r="M306" s="3">
        <f t="shared" si="67"/>
        <v>8</v>
      </c>
      <c r="N306">
        <f t="shared" ca="1" si="62"/>
        <v>0.24705183520839749</v>
      </c>
      <c r="O306">
        <v>61.2</v>
      </c>
      <c r="P306">
        <v>7.92</v>
      </c>
      <c r="Q306">
        <v>8.57</v>
      </c>
      <c r="S306">
        <v>12.43</v>
      </c>
      <c r="T306">
        <v>7.32</v>
      </c>
      <c r="W306">
        <f ca="1">X306-A306-AA306</f>
        <v>20.683918399916045</v>
      </c>
      <c r="X306">
        <f t="shared" ca="1" si="63"/>
        <v>44.183918399916045</v>
      </c>
      <c r="Y306">
        <f ca="1">C306/X306*60</f>
        <v>20.505198108498259</v>
      </c>
      <c r="Z306">
        <v>7.8100840336134496</v>
      </c>
      <c r="AA306">
        <v>4.5</v>
      </c>
      <c r="AB306">
        <f t="shared" ca="1" si="64"/>
        <v>19.600000000000001</v>
      </c>
      <c r="AC306">
        <f t="shared" ca="1" si="65"/>
        <v>0.90519810849825777</v>
      </c>
      <c r="AD306">
        <f t="shared" ca="1" si="66"/>
        <v>20.505198108498259</v>
      </c>
      <c r="AE306">
        <f ca="1">C306*60/AD306</f>
        <v>44.183918399916045</v>
      </c>
    </row>
    <row r="307" spans="1:31" x14ac:dyDescent="0.45">
      <c r="A307">
        <f t="shared" ca="1" si="60"/>
        <v>22</v>
      </c>
      <c r="B307" s="3">
        <v>6984</v>
      </c>
      <c r="C307">
        <f t="shared" ca="1" si="61"/>
        <v>15.6</v>
      </c>
      <c r="D307">
        <v>38.67</v>
      </c>
      <c r="E307" s="8">
        <v>0.47</v>
      </c>
      <c r="F307" s="19">
        <f t="shared" si="72"/>
        <v>1.3550785465883199</v>
      </c>
      <c r="G307" s="19">
        <f t="shared" si="68"/>
        <v>3.4119480765757628</v>
      </c>
      <c r="H307" s="19">
        <f t="shared" ca="1" si="69"/>
        <v>1.9491820654223047</v>
      </c>
      <c r="I307" s="19">
        <f t="shared" si="70"/>
        <v>42.875804047200965</v>
      </c>
      <c r="J307" s="8">
        <v>0.47</v>
      </c>
      <c r="K307" s="19">
        <f t="shared" si="71"/>
        <v>163</v>
      </c>
      <c r="L307" s="3">
        <f t="shared" si="73"/>
        <v>7000</v>
      </c>
      <c r="M307" s="3">
        <f t="shared" si="67"/>
        <v>9</v>
      </c>
      <c r="N307">
        <f t="shared" ca="1" si="62"/>
        <v>0.25181959400039033</v>
      </c>
      <c r="O307">
        <v>63.2</v>
      </c>
      <c r="P307">
        <v>8.58</v>
      </c>
      <c r="Q307">
        <v>7.12</v>
      </c>
      <c r="S307">
        <v>12.1</v>
      </c>
      <c r="T307">
        <v>7.2</v>
      </c>
      <c r="W307">
        <f ca="1">X307-A307-AA307</f>
        <v>19.45837463304148</v>
      </c>
      <c r="X307">
        <f t="shared" ca="1" si="63"/>
        <v>45.95837463304148</v>
      </c>
      <c r="Y307">
        <f ca="1">C307/X307*60</f>
        <v>20.366255496926751</v>
      </c>
      <c r="Z307">
        <v>11.3052631578947</v>
      </c>
      <c r="AA307">
        <v>4.5</v>
      </c>
      <c r="AB307">
        <f t="shared" ca="1" si="64"/>
        <v>19.5</v>
      </c>
      <c r="AC307">
        <f t="shared" ca="1" si="65"/>
        <v>0.86625549692675252</v>
      </c>
      <c r="AD307">
        <f t="shared" ca="1" si="66"/>
        <v>20.366255496926751</v>
      </c>
      <c r="AE307">
        <f ca="1">C307*60/AD307</f>
        <v>45.95837463304148</v>
      </c>
    </row>
    <row r="308" spans="1:31" x14ac:dyDescent="0.45">
      <c r="A308">
        <f t="shared" ca="1" si="60"/>
        <v>22</v>
      </c>
      <c r="B308" s="3">
        <v>6545</v>
      </c>
      <c r="C308">
        <f t="shared" ca="1" si="61"/>
        <v>16.399999999999999</v>
      </c>
      <c r="D308">
        <v>33.21</v>
      </c>
      <c r="E308" s="8">
        <v>0.49</v>
      </c>
      <c r="F308" s="19">
        <f t="shared" si="72"/>
        <v>1.3758675270911969</v>
      </c>
      <c r="G308" s="19">
        <f t="shared" si="68"/>
        <v>2.963010023478418</v>
      </c>
      <c r="H308" s="19">
        <f t="shared" ca="1" si="69"/>
        <v>1.9358035561554341</v>
      </c>
      <c r="I308" s="19">
        <f t="shared" si="70"/>
        <v>37.234282089090875</v>
      </c>
      <c r="J308" s="8">
        <v>0.49</v>
      </c>
      <c r="K308" s="19">
        <f t="shared" si="71"/>
        <v>175</v>
      </c>
      <c r="L308" s="3">
        <f t="shared" si="73"/>
        <v>6500</v>
      </c>
      <c r="M308" s="3">
        <f t="shared" si="67"/>
        <v>11</v>
      </c>
      <c r="N308">
        <f t="shared" ca="1" si="62"/>
        <v>0.18519680468703872</v>
      </c>
      <c r="O308">
        <v>64.2</v>
      </c>
      <c r="P308">
        <v>10.6</v>
      </c>
      <c r="Q308">
        <v>8.8699999999999992</v>
      </c>
      <c r="S308">
        <v>11.4</v>
      </c>
      <c r="T308">
        <v>7.3</v>
      </c>
      <c r="W308">
        <f ca="1">X308-A308-AA308</f>
        <v>22.138610905995534</v>
      </c>
      <c r="X308">
        <f t="shared" ca="1" si="63"/>
        <v>48.638610905995534</v>
      </c>
      <c r="Y308">
        <f ca="1">C308/X308*60</f>
        <v>20.230840923927477</v>
      </c>
      <c r="Z308">
        <v>8.0582278481012608</v>
      </c>
      <c r="AA308">
        <v>4.5</v>
      </c>
      <c r="AB308">
        <f t="shared" ca="1" si="64"/>
        <v>19.8</v>
      </c>
      <c r="AC308">
        <f t="shared" ca="1" si="65"/>
        <v>0.43084092392748086</v>
      </c>
      <c r="AD308">
        <f t="shared" ca="1" si="66"/>
        <v>20.230840923927481</v>
      </c>
      <c r="AE308">
        <f ca="1">C308*60/AD308</f>
        <v>48.638610905995534</v>
      </c>
    </row>
    <row r="309" spans="1:31" x14ac:dyDescent="0.45">
      <c r="A309">
        <f t="shared" ca="1" si="60"/>
        <v>21</v>
      </c>
      <c r="B309" s="3">
        <v>6455</v>
      </c>
      <c r="C309">
        <f t="shared" ca="1" si="61"/>
        <v>16.399999999999999</v>
      </c>
      <c r="D309">
        <v>34.96</v>
      </c>
      <c r="E309" s="8">
        <v>0.5</v>
      </c>
      <c r="F309" s="19">
        <f t="shared" si="72"/>
        <v>1.3865030674846623</v>
      </c>
      <c r="G309" s="19">
        <f t="shared" si="68"/>
        <v>3.0729095177894168</v>
      </c>
      <c r="H309" s="19">
        <f t="shared" ca="1" si="69"/>
        <v>1.8825353711205959</v>
      </c>
      <c r="I309" s="19">
        <f t="shared" si="70"/>
        <v>38.615319864933539</v>
      </c>
      <c r="J309" s="8">
        <v>0.5</v>
      </c>
      <c r="K309" s="19">
        <f t="shared" si="71"/>
        <v>168</v>
      </c>
      <c r="L309" s="3">
        <f t="shared" si="73"/>
        <v>6500</v>
      </c>
      <c r="M309" s="3">
        <f t="shared" si="67"/>
        <v>3</v>
      </c>
      <c r="N309">
        <f t="shared" ca="1" si="62"/>
        <v>0.20190080147597564</v>
      </c>
      <c r="O309">
        <v>59.9</v>
      </c>
      <c r="P309">
        <v>3.38</v>
      </c>
      <c r="Q309">
        <v>5.91</v>
      </c>
      <c r="S309">
        <v>12.52</v>
      </c>
      <c r="T309">
        <v>7.42</v>
      </c>
      <c r="W309">
        <f ca="1">X309-A309-AA309</f>
        <v>25.259929444147616</v>
      </c>
      <c r="X309">
        <f t="shared" ca="1" si="63"/>
        <v>50.759929444147616</v>
      </c>
      <c r="Y309">
        <f ca="1">C309/X309*60</f>
        <v>19.385369735052905</v>
      </c>
      <c r="Z309">
        <v>7.1131578947368403</v>
      </c>
      <c r="AA309">
        <v>4.5</v>
      </c>
      <c r="AB309">
        <f t="shared" ca="1" si="64"/>
        <v>19.3</v>
      </c>
      <c r="AC309">
        <f t="shared" ca="1" si="65"/>
        <v>8.536973505289891E-2</v>
      </c>
      <c r="AD309">
        <f t="shared" ca="1" si="66"/>
        <v>19.385369735052901</v>
      </c>
      <c r="AE309">
        <f ca="1">C309*60/AD309</f>
        <v>50.759929444147616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5C96-0E5A-4E66-80B5-A82ED6F725EE}">
  <dimension ref="E2:I31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88" sqref="G88"/>
    </sheetView>
  </sheetViews>
  <sheetFormatPr defaultRowHeight="14.25" x14ac:dyDescent="0.45"/>
  <cols>
    <col min="5" max="5" width="9.06640625" style="20"/>
    <col min="8" max="8" width="8.6640625" customWidth="1"/>
  </cols>
  <sheetData>
    <row r="2" spans="5:9" x14ac:dyDescent="0.45">
      <c r="E2" s="20" t="s">
        <v>1</v>
      </c>
      <c r="F2" t="s">
        <v>28</v>
      </c>
      <c r="G2" t="s">
        <v>7</v>
      </c>
      <c r="H2" t="s">
        <v>5</v>
      </c>
      <c r="I2" t="s">
        <v>26</v>
      </c>
    </row>
    <row r="3" spans="5:9" x14ac:dyDescent="0.45">
      <c r="E3" s="20">
        <v>0.21</v>
      </c>
      <c r="F3">
        <v>128</v>
      </c>
      <c r="G3">
        <v>62.2</v>
      </c>
      <c r="H3">
        <v>8</v>
      </c>
      <c r="I3">
        <v>0.21672262687667426</v>
      </c>
    </row>
    <row r="4" spans="5:9" x14ac:dyDescent="0.45">
      <c r="E4" s="20">
        <v>0.22</v>
      </c>
      <c r="F4">
        <v>119</v>
      </c>
      <c r="G4">
        <v>53</v>
      </c>
      <c r="H4">
        <v>1</v>
      </c>
      <c r="I4">
        <v>0.11355555555555555</v>
      </c>
    </row>
    <row r="5" spans="5:9" x14ac:dyDescent="0.45">
      <c r="E5" s="20">
        <v>0.24</v>
      </c>
      <c r="F5">
        <v>146</v>
      </c>
      <c r="G5">
        <v>61.3</v>
      </c>
      <c r="H5">
        <v>13</v>
      </c>
      <c r="I5">
        <v>0.18751507928604305</v>
      </c>
    </row>
    <row r="6" spans="5:9" x14ac:dyDescent="0.45">
      <c r="E6" s="20">
        <v>0.24</v>
      </c>
      <c r="F6">
        <v>155</v>
      </c>
      <c r="G6">
        <v>56.2</v>
      </c>
      <c r="H6">
        <v>13</v>
      </c>
      <c r="I6">
        <v>0.34370269462065167</v>
      </c>
    </row>
    <row r="8" spans="5:9" x14ac:dyDescent="0.45">
      <c r="E8" s="20">
        <v>0.25</v>
      </c>
      <c r="F8">
        <v>127</v>
      </c>
      <c r="G8">
        <v>54.3</v>
      </c>
      <c r="H8">
        <v>10</v>
      </c>
      <c r="I8">
        <v>0.21372918906428709</v>
      </c>
    </row>
    <row r="9" spans="5:9" x14ac:dyDescent="0.45">
      <c r="E9" s="20">
        <v>0.26</v>
      </c>
      <c r="F9">
        <v>134</v>
      </c>
      <c r="G9">
        <v>61.25</v>
      </c>
      <c r="H9">
        <v>5</v>
      </c>
      <c r="I9">
        <v>0.29226729180234989</v>
      </c>
    </row>
    <row r="10" spans="5:9" x14ac:dyDescent="0.45">
      <c r="E10" s="20">
        <v>0.26</v>
      </c>
      <c r="F10">
        <v>101</v>
      </c>
      <c r="G10">
        <v>53.2</v>
      </c>
      <c r="H10">
        <v>8</v>
      </c>
      <c r="I10">
        <v>3.586776859504133E-2</v>
      </c>
    </row>
    <row r="11" spans="5:9" x14ac:dyDescent="0.45">
      <c r="E11" s="20">
        <v>0.27</v>
      </c>
      <c r="F11">
        <v>142</v>
      </c>
      <c r="G11">
        <v>60.26</v>
      </c>
      <c r="H11">
        <v>10</v>
      </c>
      <c r="I11">
        <v>0.20089638382641015</v>
      </c>
    </row>
    <row r="12" spans="5:9" x14ac:dyDescent="0.45">
      <c r="E12" s="20">
        <v>0.27</v>
      </c>
      <c r="F12">
        <v>101</v>
      </c>
      <c r="G12">
        <v>53</v>
      </c>
      <c r="H12">
        <v>2</v>
      </c>
      <c r="I12">
        <v>0.23337960045381875</v>
      </c>
    </row>
    <row r="14" spans="5:9" x14ac:dyDescent="0.45">
      <c r="E14" s="20">
        <v>0.28000000000000003</v>
      </c>
      <c r="F14">
        <v>139</v>
      </c>
      <c r="G14">
        <v>61.58</v>
      </c>
      <c r="H14">
        <v>11</v>
      </c>
      <c r="I14">
        <v>0.24592494384613961</v>
      </c>
    </row>
    <row r="15" spans="5:9" x14ac:dyDescent="0.45">
      <c r="E15" s="20">
        <v>0.28000000000000003</v>
      </c>
      <c r="F15">
        <v>181</v>
      </c>
      <c r="G15">
        <v>52.7</v>
      </c>
      <c r="H15">
        <v>13</v>
      </c>
      <c r="I15">
        <v>0.12599999999999997</v>
      </c>
    </row>
    <row r="16" spans="5:9" x14ac:dyDescent="0.45">
      <c r="E16" s="20">
        <v>0.28000000000000003</v>
      </c>
      <c r="F16">
        <v>220</v>
      </c>
      <c r="G16">
        <v>30</v>
      </c>
      <c r="H16">
        <v>7</v>
      </c>
      <c r="I16">
        <v>9.6415094339622642E-2</v>
      </c>
    </row>
    <row r="17" spans="5:9" x14ac:dyDescent="0.45">
      <c r="E17" s="20">
        <v>0.28000000000000003</v>
      </c>
      <c r="F17">
        <v>192</v>
      </c>
      <c r="G17">
        <v>52.8</v>
      </c>
      <c r="H17">
        <v>13</v>
      </c>
      <c r="I17">
        <v>9.4444444444444456E-2</v>
      </c>
    </row>
    <row r="18" spans="5:9" x14ac:dyDescent="0.45">
      <c r="E18" s="20">
        <v>0.28000000000000003</v>
      </c>
      <c r="F18">
        <v>193</v>
      </c>
      <c r="G18">
        <v>59.3</v>
      </c>
      <c r="H18">
        <v>12</v>
      </c>
      <c r="I18">
        <v>8.8965517241379299E-2</v>
      </c>
    </row>
    <row r="19" spans="5:9" x14ac:dyDescent="0.45">
      <c r="E19" s="20">
        <v>0.28000000000000003</v>
      </c>
      <c r="F19">
        <v>200</v>
      </c>
      <c r="G19">
        <v>50.6</v>
      </c>
      <c r="H19">
        <v>12</v>
      </c>
      <c r="I19">
        <v>8.7258064516129039E-2</v>
      </c>
    </row>
    <row r="20" spans="5:9" x14ac:dyDescent="0.45">
      <c r="E20" s="20">
        <v>0.28000000000000003</v>
      </c>
      <c r="F20">
        <v>196</v>
      </c>
      <c r="G20">
        <v>50.8</v>
      </c>
      <c r="H20">
        <v>12</v>
      </c>
      <c r="I20">
        <v>7.5694444444444439E-2</v>
      </c>
    </row>
    <row r="22" spans="5:9" x14ac:dyDescent="0.45">
      <c r="E22" s="20">
        <v>0.28999999999999998</v>
      </c>
      <c r="F22">
        <v>143</v>
      </c>
      <c r="G22">
        <v>62.1</v>
      </c>
      <c r="H22">
        <v>11</v>
      </c>
      <c r="I22">
        <v>0.15206644461399943</v>
      </c>
    </row>
    <row r="23" spans="5:9" x14ac:dyDescent="0.45">
      <c r="E23" s="20">
        <v>0.28999999999999998</v>
      </c>
      <c r="F23">
        <v>143</v>
      </c>
      <c r="G23">
        <v>61.3</v>
      </c>
      <c r="H23">
        <v>8</v>
      </c>
      <c r="I23">
        <v>0.2116030725550995</v>
      </c>
    </row>
    <row r="24" spans="5:9" x14ac:dyDescent="0.45">
      <c r="E24" s="20">
        <v>0.28999999999999998</v>
      </c>
      <c r="F24">
        <v>147</v>
      </c>
      <c r="G24">
        <v>56.8</v>
      </c>
      <c r="H24">
        <v>12</v>
      </c>
      <c r="I24">
        <v>0.21477581079888516</v>
      </c>
    </row>
    <row r="25" spans="5:9" x14ac:dyDescent="0.45">
      <c r="E25" s="20">
        <v>0.28999999999999998</v>
      </c>
      <c r="F25">
        <v>144</v>
      </c>
      <c r="G25">
        <v>52.5</v>
      </c>
      <c r="H25">
        <v>10</v>
      </c>
      <c r="I25">
        <v>0.17448268560980837</v>
      </c>
    </row>
    <row r="26" spans="5:9" x14ac:dyDescent="0.45">
      <c r="E26" s="20">
        <v>0.28999999999999998</v>
      </c>
      <c r="F26">
        <v>124</v>
      </c>
      <c r="G26">
        <v>63.78</v>
      </c>
      <c r="H26">
        <v>11</v>
      </c>
      <c r="I26">
        <v>0.20818479343050605</v>
      </c>
    </row>
    <row r="27" spans="5:9" x14ac:dyDescent="0.45">
      <c r="E27" s="20">
        <v>0.28999999999999998</v>
      </c>
      <c r="F27">
        <v>112</v>
      </c>
      <c r="G27">
        <v>62.8</v>
      </c>
      <c r="H27">
        <v>10</v>
      </c>
      <c r="I27">
        <v>0.21916967328794207</v>
      </c>
    </row>
    <row r="28" spans="5:9" x14ac:dyDescent="0.45">
      <c r="E28" s="20">
        <v>0.28999999999999998</v>
      </c>
      <c r="F28">
        <v>139</v>
      </c>
      <c r="G28">
        <v>56.2</v>
      </c>
      <c r="H28">
        <v>13</v>
      </c>
      <c r="I28">
        <v>0.19998143952781097</v>
      </c>
    </row>
    <row r="29" spans="5:9" x14ac:dyDescent="0.45">
      <c r="E29" s="20">
        <v>0.28999999999999998</v>
      </c>
      <c r="F29">
        <v>143</v>
      </c>
      <c r="G29">
        <v>58.9</v>
      </c>
      <c r="H29">
        <v>6</v>
      </c>
      <c r="I29">
        <v>0.20763419778133407</v>
      </c>
    </row>
    <row r="30" spans="5:9" x14ac:dyDescent="0.45">
      <c r="E30" s="20">
        <v>0.28999999999999998</v>
      </c>
      <c r="F30">
        <v>137</v>
      </c>
      <c r="G30">
        <v>61.28</v>
      </c>
      <c r="H30">
        <v>11</v>
      </c>
      <c r="I30">
        <v>0.23597716627471133</v>
      </c>
    </row>
    <row r="31" spans="5:9" x14ac:dyDescent="0.45">
      <c r="E31" s="20">
        <v>0.28999999999999998</v>
      </c>
      <c r="F31">
        <v>157</v>
      </c>
      <c r="G31">
        <v>57.7</v>
      </c>
      <c r="H31">
        <v>15</v>
      </c>
      <c r="I31">
        <v>0.24777307690634548</v>
      </c>
    </row>
    <row r="32" spans="5:9" x14ac:dyDescent="0.45">
      <c r="E32" s="20">
        <v>0.28999999999999998</v>
      </c>
      <c r="F32">
        <v>136</v>
      </c>
      <c r="G32">
        <v>56.3</v>
      </c>
      <c r="H32">
        <v>10</v>
      </c>
      <c r="I32">
        <v>0.23931588568289214</v>
      </c>
    </row>
    <row r="33" spans="5:9" x14ac:dyDescent="0.45">
      <c r="E33" s="20">
        <v>0.28999999999999998</v>
      </c>
      <c r="F33">
        <v>115</v>
      </c>
      <c r="G33">
        <v>52</v>
      </c>
      <c r="H33">
        <v>6</v>
      </c>
      <c r="I33">
        <v>0.20599852963844828</v>
      </c>
    </row>
    <row r="34" spans="5:9" x14ac:dyDescent="0.45">
      <c r="E34" s="20">
        <v>0.28999999999999998</v>
      </c>
      <c r="F34">
        <v>181</v>
      </c>
      <c r="G34">
        <v>57.7</v>
      </c>
      <c r="H34">
        <v>13</v>
      </c>
      <c r="I34">
        <v>0.14564102564102563</v>
      </c>
    </row>
    <row r="35" spans="5:9" x14ac:dyDescent="0.45">
      <c r="E35" s="20">
        <v>0.28999999999999998</v>
      </c>
      <c r="F35">
        <v>213</v>
      </c>
      <c r="G35">
        <v>69.7</v>
      </c>
      <c r="H35">
        <v>13</v>
      </c>
      <c r="I35">
        <v>0.17030303030303029</v>
      </c>
    </row>
    <row r="36" spans="5:9" x14ac:dyDescent="0.45">
      <c r="E36" s="20">
        <v>0.28999999999999998</v>
      </c>
      <c r="F36">
        <v>223</v>
      </c>
      <c r="G36">
        <v>72</v>
      </c>
      <c r="H36">
        <v>13</v>
      </c>
      <c r="I36">
        <v>0.16558823529411767</v>
      </c>
    </row>
    <row r="37" spans="5:9" x14ac:dyDescent="0.45">
      <c r="E37" s="20">
        <v>0.28999999999999998</v>
      </c>
      <c r="F37">
        <v>230</v>
      </c>
      <c r="G37">
        <v>52.6</v>
      </c>
      <c r="H37">
        <v>13</v>
      </c>
      <c r="I37">
        <v>0.13459459459459458</v>
      </c>
    </row>
    <row r="38" spans="5:9" x14ac:dyDescent="0.45">
      <c r="E38" s="20">
        <v>0.28999999999999998</v>
      </c>
      <c r="F38">
        <v>183</v>
      </c>
      <c r="G38">
        <v>51.2</v>
      </c>
      <c r="H38">
        <v>13</v>
      </c>
      <c r="I38">
        <v>0.14789473684210525</v>
      </c>
    </row>
    <row r="39" spans="5:9" x14ac:dyDescent="0.45">
      <c r="E39" s="20">
        <v>0.28999999999999998</v>
      </c>
      <c r="F39">
        <v>248</v>
      </c>
      <c r="G39">
        <v>51</v>
      </c>
      <c r="H39">
        <v>11</v>
      </c>
      <c r="I39">
        <v>0.11581395348837208</v>
      </c>
    </row>
    <row r="40" spans="5:9" x14ac:dyDescent="0.45">
      <c r="E40" s="20">
        <v>0.28999999999999998</v>
      </c>
      <c r="F40">
        <v>196</v>
      </c>
      <c r="G40">
        <v>52</v>
      </c>
      <c r="H40">
        <v>12</v>
      </c>
      <c r="I40">
        <v>0.12088235294117648</v>
      </c>
    </row>
    <row r="41" spans="5:9" x14ac:dyDescent="0.45">
      <c r="E41" s="20">
        <v>0.28999999999999998</v>
      </c>
      <c r="F41">
        <v>176</v>
      </c>
      <c r="G41">
        <v>52.6</v>
      </c>
      <c r="H41">
        <v>13</v>
      </c>
      <c r="I41">
        <v>0.17343749999999997</v>
      </c>
    </row>
    <row r="42" spans="5:9" x14ac:dyDescent="0.45">
      <c r="E42" s="20">
        <v>0.28999999999999998</v>
      </c>
      <c r="F42">
        <v>189</v>
      </c>
      <c r="G42">
        <v>53.4</v>
      </c>
      <c r="H42">
        <v>13</v>
      </c>
      <c r="I42">
        <v>0.11585365853658534</v>
      </c>
    </row>
    <row r="43" spans="5:9" x14ac:dyDescent="0.45">
      <c r="E43" s="20">
        <v>0.28999999999999998</v>
      </c>
      <c r="F43">
        <v>193</v>
      </c>
      <c r="G43">
        <v>49.9</v>
      </c>
      <c r="H43">
        <v>13</v>
      </c>
      <c r="I43">
        <v>0.13243902439024391</v>
      </c>
    </row>
    <row r="44" spans="5:9" x14ac:dyDescent="0.45">
      <c r="E44" s="20">
        <v>0.28999999999999998</v>
      </c>
      <c r="F44">
        <v>179</v>
      </c>
      <c r="G44">
        <v>56.5</v>
      </c>
      <c r="H44">
        <v>13</v>
      </c>
      <c r="I44">
        <v>0.14499999999999999</v>
      </c>
    </row>
    <row r="45" spans="5:9" x14ac:dyDescent="0.45">
      <c r="E45" s="20">
        <v>0.28999999999999998</v>
      </c>
      <c r="F45">
        <v>184</v>
      </c>
      <c r="G45">
        <v>54.9</v>
      </c>
      <c r="H45">
        <v>12</v>
      </c>
      <c r="I45">
        <v>0.15285714285714286</v>
      </c>
    </row>
    <row r="46" spans="5:9" x14ac:dyDescent="0.45">
      <c r="E46" s="20">
        <v>0.28999999999999998</v>
      </c>
      <c r="F46">
        <v>182</v>
      </c>
      <c r="G46">
        <v>52.4</v>
      </c>
      <c r="H46">
        <v>13</v>
      </c>
      <c r="I46">
        <v>0.12181818181818183</v>
      </c>
    </row>
    <row r="47" spans="5:9" x14ac:dyDescent="0.45">
      <c r="E47" s="20">
        <v>0.28999999999999998</v>
      </c>
      <c r="F47">
        <v>215</v>
      </c>
      <c r="G47">
        <v>52</v>
      </c>
      <c r="H47">
        <v>9</v>
      </c>
      <c r="I47">
        <v>6.01219512195122E-2</v>
      </c>
    </row>
    <row r="48" spans="5:9" x14ac:dyDescent="0.45">
      <c r="E48" s="20">
        <v>0.28999999999999998</v>
      </c>
      <c r="F48">
        <v>216</v>
      </c>
      <c r="G48">
        <v>55</v>
      </c>
      <c r="H48">
        <v>13</v>
      </c>
      <c r="I48">
        <v>0.13633333333333336</v>
      </c>
    </row>
    <row r="49" spans="5:9" x14ac:dyDescent="0.45">
      <c r="E49" s="20">
        <v>0.28999999999999998</v>
      </c>
      <c r="F49">
        <v>199</v>
      </c>
      <c r="G49">
        <v>68.3</v>
      </c>
      <c r="H49">
        <v>12</v>
      </c>
      <c r="I49">
        <v>9.6153846153846173E-2</v>
      </c>
    </row>
    <row r="50" spans="5:9" x14ac:dyDescent="0.45">
      <c r="E50" s="20">
        <v>0.28999999999999998</v>
      </c>
      <c r="F50">
        <v>190</v>
      </c>
      <c r="G50">
        <v>54.6</v>
      </c>
      <c r="H50">
        <v>13</v>
      </c>
      <c r="I50">
        <v>0.11695652173913045</v>
      </c>
    </row>
    <row r="52" spans="5:9" x14ac:dyDescent="0.45">
      <c r="E52" s="20">
        <v>0.3</v>
      </c>
      <c r="F52">
        <v>129</v>
      </c>
      <c r="G52">
        <v>62.5</v>
      </c>
      <c r="H52">
        <v>9</v>
      </c>
      <c r="I52">
        <v>0.21195067312521021</v>
      </c>
    </row>
    <row r="53" spans="5:9" x14ac:dyDescent="0.45">
      <c r="E53" s="20">
        <v>0.3</v>
      </c>
      <c r="F53">
        <v>145</v>
      </c>
      <c r="G53">
        <v>55.3</v>
      </c>
      <c r="H53">
        <v>9</v>
      </c>
      <c r="I53">
        <v>0.18663984667459779</v>
      </c>
    </row>
    <row r="54" spans="5:9" x14ac:dyDescent="0.45">
      <c r="E54" s="20">
        <v>0.3</v>
      </c>
      <c r="F54">
        <v>148</v>
      </c>
      <c r="G54">
        <v>50.9</v>
      </c>
      <c r="H54">
        <v>7</v>
      </c>
      <c r="I54">
        <v>0.2531789038197727</v>
      </c>
    </row>
    <row r="55" spans="5:9" x14ac:dyDescent="0.45">
      <c r="E55" s="20">
        <v>0.3</v>
      </c>
      <c r="F55">
        <v>142</v>
      </c>
      <c r="G55">
        <v>61.3</v>
      </c>
      <c r="H55">
        <v>10</v>
      </c>
      <c r="I55">
        <v>0.16583080165653988</v>
      </c>
    </row>
    <row r="56" spans="5:9" x14ac:dyDescent="0.45">
      <c r="E56" s="20">
        <v>0.3</v>
      </c>
      <c r="F56">
        <v>131</v>
      </c>
      <c r="G56">
        <v>60.31</v>
      </c>
      <c r="H56">
        <v>12</v>
      </c>
      <c r="I56">
        <v>0.25066971437133478</v>
      </c>
    </row>
    <row r="57" spans="5:9" x14ac:dyDescent="0.45">
      <c r="E57" s="20">
        <v>0.3</v>
      </c>
      <c r="F57">
        <v>125</v>
      </c>
      <c r="G57">
        <v>60.58</v>
      </c>
      <c r="H57">
        <v>12</v>
      </c>
      <c r="I57">
        <v>0.24901906760438008</v>
      </c>
    </row>
    <row r="58" spans="5:9" x14ac:dyDescent="0.45">
      <c r="E58" s="20">
        <v>0.3</v>
      </c>
      <c r="F58">
        <v>127</v>
      </c>
      <c r="G58">
        <v>64.3</v>
      </c>
      <c r="H58">
        <v>8</v>
      </c>
      <c r="I58">
        <v>0.27908350224409845</v>
      </c>
    </row>
    <row r="59" spans="5:9" x14ac:dyDescent="0.45">
      <c r="E59" s="20">
        <v>0.3</v>
      </c>
      <c r="F59">
        <v>130</v>
      </c>
      <c r="G59">
        <v>61.3</v>
      </c>
      <c r="H59">
        <v>7</v>
      </c>
      <c r="I59">
        <v>0.24313561374421427</v>
      </c>
    </row>
    <row r="60" spans="5:9" x14ac:dyDescent="0.45">
      <c r="E60" s="20">
        <v>0.3</v>
      </c>
      <c r="F60">
        <v>122</v>
      </c>
      <c r="G60">
        <v>62</v>
      </c>
      <c r="H60">
        <v>10</v>
      </c>
      <c r="I60">
        <v>0.20490233467148461</v>
      </c>
    </row>
    <row r="61" spans="5:9" x14ac:dyDescent="0.45">
      <c r="E61" s="20">
        <v>0.3</v>
      </c>
      <c r="F61">
        <v>147</v>
      </c>
      <c r="G61">
        <v>62.5</v>
      </c>
      <c r="H61">
        <v>7</v>
      </c>
      <c r="I61">
        <v>0.23801957427167716</v>
      </c>
    </row>
    <row r="62" spans="5:9" x14ac:dyDescent="0.45">
      <c r="E62" s="20">
        <v>0.3</v>
      </c>
      <c r="F62">
        <v>158</v>
      </c>
      <c r="G62">
        <v>53.5</v>
      </c>
      <c r="H62">
        <v>9</v>
      </c>
      <c r="I62">
        <v>0.26363095490965388</v>
      </c>
    </row>
    <row r="63" spans="5:9" x14ac:dyDescent="0.45">
      <c r="E63" s="20">
        <v>0.3</v>
      </c>
      <c r="F63">
        <v>178</v>
      </c>
      <c r="G63">
        <v>52.68</v>
      </c>
      <c r="H63">
        <v>6</v>
      </c>
      <c r="I63">
        <v>0.24986491678708339</v>
      </c>
    </row>
    <row r="64" spans="5:9" x14ac:dyDescent="0.45">
      <c r="E64" s="20">
        <v>0.3</v>
      </c>
      <c r="F64">
        <v>150</v>
      </c>
      <c r="G64">
        <v>60.21</v>
      </c>
      <c r="H64">
        <v>13</v>
      </c>
      <c r="I64">
        <v>0.26673950421946307</v>
      </c>
    </row>
    <row r="65" spans="5:9" x14ac:dyDescent="0.45">
      <c r="E65" s="20">
        <v>0.3</v>
      </c>
      <c r="F65">
        <v>134</v>
      </c>
      <c r="G65">
        <v>60.52</v>
      </c>
      <c r="H65">
        <v>4</v>
      </c>
      <c r="I65">
        <v>0.25513961944593122</v>
      </c>
    </row>
    <row r="66" spans="5:9" x14ac:dyDescent="0.45">
      <c r="E66" s="20">
        <v>0.3</v>
      </c>
      <c r="F66">
        <v>153</v>
      </c>
      <c r="G66">
        <v>60.14</v>
      </c>
      <c r="H66">
        <v>14</v>
      </c>
      <c r="I66">
        <v>0.18363889132159528</v>
      </c>
    </row>
    <row r="67" spans="5:9" x14ac:dyDescent="0.45">
      <c r="E67" s="21">
        <v>0.3</v>
      </c>
      <c r="F67" s="5">
        <v>144</v>
      </c>
      <c r="G67" s="5">
        <v>52.6</v>
      </c>
      <c r="H67" s="5">
        <v>11</v>
      </c>
      <c r="I67" s="5">
        <v>0.21474088493915286</v>
      </c>
    </row>
    <row r="68" spans="5:9" x14ac:dyDescent="0.45">
      <c r="E68" s="20">
        <v>0.3</v>
      </c>
      <c r="F68">
        <v>137</v>
      </c>
      <c r="G68">
        <v>55</v>
      </c>
      <c r="H68">
        <v>14</v>
      </c>
      <c r="I68">
        <v>0.26555834225930369</v>
      </c>
    </row>
    <row r="69" spans="5:9" x14ac:dyDescent="0.45">
      <c r="E69" s="20">
        <v>0.3</v>
      </c>
      <c r="F69">
        <v>121</v>
      </c>
      <c r="G69">
        <v>52.1</v>
      </c>
      <c r="H69">
        <v>10</v>
      </c>
      <c r="I69">
        <v>0.20109689563726976</v>
      </c>
    </row>
    <row r="70" spans="5:9" x14ac:dyDescent="0.45">
      <c r="E70" s="20">
        <v>0.3</v>
      </c>
      <c r="F70">
        <v>113</v>
      </c>
      <c r="G70">
        <v>50.6</v>
      </c>
      <c r="H70">
        <v>10</v>
      </c>
      <c r="I70">
        <v>0.23473151446597484</v>
      </c>
    </row>
    <row r="71" spans="5:9" x14ac:dyDescent="0.45">
      <c r="E71" s="20">
        <v>0.3</v>
      </c>
      <c r="F71">
        <v>119</v>
      </c>
      <c r="G71">
        <v>51.2</v>
      </c>
      <c r="H71">
        <v>2</v>
      </c>
      <c r="I71">
        <v>0.19825091689738555</v>
      </c>
    </row>
    <row r="72" spans="5:9" x14ac:dyDescent="0.45">
      <c r="E72" s="20">
        <v>0.3</v>
      </c>
      <c r="F72">
        <v>97</v>
      </c>
      <c r="G72">
        <v>56</v>
      </c>
      <c r="H72">
        <v>6</v>
      </c>
      <c r="I72">
        <v>0.24075919323765993</v>
      </c>
    </row>
    <row r="73" spans="5:9" x14ac:dyDescent="0.45">
      <c r="E73" s="20">
        <v>0.3</v>
      </c>
      <c r="F73">
        <v>104</v>
      </c>
      <c r="G73">
        <v>54</v>
      </c>
      <c r="H73">
        <v>2</v>
      </c>
      <c r="I73">
        <v>0.17355155865906907</v>
      </c>
    </row>
    <row r="74" spans="5:9" x14ac:dyDescent="0.45">
      <c r="E74" s="20">
        <v>0.3</v>
      </c>
      <c r="F74">
        <v>107</v>
      </c>
      <c r="G74">
        <v>52</v>
      </c>
      <c r="H74">
        <v>2</v>
      </c>
      <c r="I74">
        <v>0.18981208843055242</v>
      </c>
    </row>
    <row r="75" spans="5:9" x14ac:dyDescent="0.45">
      <c r="E75" s="20">
        <v>0.3</v>
      </c>
      <c r="F75">
        <v>110</v>
      </c>
      <c r="G75">
        <v>55</v>
      </c>
      <c r="H75">
        <v>1</v>
      </c>
      <c r="I75">
        <v>0.21250000000000002</v>
      </c>
    </row>
    <row r="76" spans="5:9" x14ac:dyDescent="0.45">
      <c r="E76" s="20">
        <v>0.3</v>
      </c>
      <c r="F76">
        <v>106</v>
      </c>
      <c r="G76">
        <v>54</v>
      </c>
      <c r="H76">
        <v>2</v>
      </c>
      <c r="I76">
        <v>0.13157894736842107</v>
      </c>
    </row>
    <row r="77" spans="5:9" x14ac:dyDescent="0.45">
      <c r="E77" s="20">
        <v>0.3</v>
      </c>
      <c r="F77">
        <v>173</v>
      </c>
      <c r="G77">
        <v>53</v>
      </c>
      <c r="H77">
        <v>13</v>
      </c>
      <c r="I77">
        <v>0.21913043478260874</v>
      </c>
    </row>
    <row r="78" spans="5:9" x14ac:dyDescent="0.45">
      <c r="E78" s="20">
        <v>0.3</v>
      </c>
      <c r="F78">
        <v>183</v>
      </c>
      <c r="G78">
        <v>51.1</v>
      </c>
      <c r="H78">
        <v>13</v>
      </c>
      <c r="I78">
        <v>0.17624999999999999</v>
      </c>
    </row>
    <row r="79" spans="5:9" x14ac:dyDescent="0.45">
      <c r="E79" s="20">
        <v>0.3</v>
      </c>
      <c r="F79">
        <v>233</v>
      </c>
      <c r="G79">
        <v>63.2</v>
      </c>
      <c r="H79">
        <v>13</v>
      </c>
      <c r="I79">
        <v>0.16228571428571431</v>
      </c>
    </row>
    <row r="80" spans="5:9" x14ac:dyDescent="0.45">
      <c r="E80" s="20">
        <v>0.3</v>
      </c>
      <c r="F80">
        <v>233</v>
      </c>
      <c r="G80">
        <v>50.4</v>
      </c>
      <c r="H80">
        <v>13</v>
      </c>
      <c r="I80">
        <v>0.15593750000000001</v>
      </c>
    </row>
    <row r="81" spans="5:9" x14ac:dyDescent="0.45">
      <c r="E81" s="20">
        <v>0.3</v>
      </c>
      <c r="F81">
        <v>216</v>
      </c>
      <c r="G81">
        <v>58.5</v>
      </c>
      <c r="H81">
        <v>12</v>
      </c>
      <c r="I81">
        <v>0.25499999999999995</v>
      </c>
    </row>
    <row r="82" spans="5:9" x14ac:dyDescent="0.45">
      <c r="E82" s="20">
        <v>0.3</v>
      </c>
      <c r="F82">
        <v>201</v>
      </c>
      <c r="G82">
        <v>49.8</v>
      </c>
      <c r="H82">
        <v>9</v>
      </c>
      <c r="I82">
        <v>0.13891891891891892</v>
      </c>
    </row>
    <row r="83" spans="5:9" x14ac:dyDescent="0.45">
      <c r="E83" s="20">
        <v>0.3</v>
      </c>
      <c r="F83">
        <v>184</v>
      </c>
      <c r="G83">
        <v>53</v>
      </c>
      <c r="H83">
        <v>13</v>
      </c>
      <c r="I83">
        <v>0.16666666666666669</v>
      </c>
    </row>
    <row r="84" spans="5:9" x14ac:dyDescent="0.45">
      <c r="E84" s="20">
        <v>0.3</v>
      </c>
      <c r="F84">
        <v>195</v>
      </c>
      <c r="G84">
        <v>63.3</v>
      </c>
      <c r="H84">
        <v>13</v>
      </c>
      <c r="I84">
        <v>0.2091666666666667</v>
      </c>
    </row>
    <row r="85" spans="5:9" x14ac:dyDescent="0.45">
      <c r="E85" s="20">
        <v>0.3</v>
      </c>
      <c r="F85">
        <v>207</v>
      </c>
      <c r="G85">
        <v>58.4</v>
      </c>
      <c r="H85">
        <v>11</v>
      </c>
      <c r="I85">
        <v>0.13650000000000001</v>
      </c>
    </row>
    <row r="86" spans="5:9" x14ac:dyDescent="0.45">
      <c r="E86" s="20">
        <v>0.3</v>
      </c>
      <c r="F86">
        <v>183</v>
      </c>
      <c r="G86">
        <v>51</v>
      </c>
      <c r="H86">
        <v>9</v>
      </c>
      <c r="I86">
        <v>7.9838709677419337E-2</v>
      </c>
    </row>
    <row r="87" spans="5:9" x14ac:dyDescent="0.45">
      <c r="E87" s="20">
        <v>0.3</v>
      </c>
      <c r="F87">
        <v>171</v>
      </c>
      <c r="G87">
        <v>52</v>
      </c>
      <c r="H87">
        <v>7</v>
      </c>
      <c r="I87">
        <v>0.10844444444444444</v>
      </c>
    </row>
    <row r="88" spans="5:9" x14ac:dyDescent="0.45">
      <c r="E88" s="20">
        <v>0.3</v>
      </c>
      <c r="F88">
        <v>195</v>
      </c>
      <c r="G88">
        <v>63.3</v>
      </c>
      <c r="H88">
        <v>13</v>
      </c>
      <c r="I88">
        <v>0.2091666666666667</v>
      </c>
    </row>
    <row r="89" spans="5:9" x14ac:dyDescent="0.45">
      <c r="E89" s="20">
        <v>0.3</v>
      </c>
      <c r="F89">
        <v>182</v>
      </c>
      <c r="G89">
        <v>54.4</v>
      </c>
      <c r="H89">
        <v>13</v>
      </c>
      <c r="I89">
        <v>0.15281250000000002</v>
      </c>
    </row>
    <row r="90" spans="5:9" x14ac:dyDescent="0.45">
      <c r="E90" s="20">
        <v>0.3</v>
      </c>
      <c r="F90">
        <v>197</v>
      </c>
      <c r="G90">
        <v>51.7</v>
      </c>
      <c r="H90">
        <v>13</v>
      </c>
      <c r="I90">
        <v>0.14552631578947367</v>
      </c>
    </row>
    <row r="91" spans="5:9" x14ac:dyDescent="0.45">
      <c r="E91" s="20">
        <v>0.3</v>
      </c>
      <c r="F91">
        <v>187</v>
      </c>
      <c r="G91">
        <v>51.5</v>
      </c>
      <c r="H91">
        <v>13</v>
      </c>
      <c r="I91">
        <v>0.13923076923076921</v>
      </c>
    </row>
    <row r="92" spans="5:9" x14ac:dyDescent="0.45">
      <c r="E92" s="20">
        <v>0.3</v>
      </c>
      <c r="F92">
        <v>203</v>
      </c>
      <c r="G92">
        <v>56</v>
      </c>
      <c r="H92">
        <v>11</v>
      </c>
      <c r="I92">
        <v>9.1694915254237272E-2</v>
      </c>
    </row>
    <row r="93" spans="5:9" x14ac:dyDescent="0.45">
      <c r="E93" s="20">
        <v>0.3</v>
      </c>
      <c r="F93">
        <v>206</v>
      </c>
      <c r="G93">
        <v>53</v>
      </c>
      <c r="H93">
        <v>13</v>
      </c>
      <c r="I93">
        <v>0.2112</v>
      </c>
    </row>
    <row r="95" spans="5:9" x14ac:dyDescent="0.45">
      <c r="E95" s="20">
        <v>0.31</v>
      </c>
      <c r="F95">
        <v>151</v>
      </c>
      <c r="G95">
        <v>62.5</v>
      </c>
      <c r="H95">
        <v>11</v>
      </c>
      <c r="I95">
        <v>0.25124873042469692</v>
      </c>
    </row>
    <row r="96" spans="5:9" x14ac:dyDescent="0.45">
      <c r="E96" s="20">
        <v>0.31</v>
      </c>
      <c r="F96">
        <v>125</v>
      </c>
      <c r="G96">
        <v>60.1</v>
      </c>
      <c r="H96">
        <v>15</v>
      </c>
      <c r="I96">
        <v>0.15522794404806842</v>
      </c>
    </row>
    <row r="97" spans="5:9" x14ac:dyDescent="0.45">
      <c r="E97" s="20">
        <v>0.31</v>
      </c>
      <c r="F97">
        <v>117</v>
      </c>
      <c r="G97">
        <v>60.22</v>
      </c>
      <c r="H97">
        <v>7</v>
      </c>
      <c r="I97">
        <v>0.21114716201741199</v>
      </c>
    </row>
    <row r="98" spans="5:9" x14ac:dyDescent="0.45">
      <c r="E98" s="20">
        <v>0.31</v>
      </c>
      <c r="F98">
        <v>124</v>
      </c>
      <c r="G98">
        <v>59.3</v>
      </c>
      <c r="H98">
        <v>13</v>
      </c>
      <c r="I98">
        <v>0.1066044634979854</v>
      </c>
    </row>
    <row r="99" spans="5:9" x14ac:dyDescent="0.45">
      <c r="E99" s="20">
        <v>0.31</v>
      </c>
      <c r="F99">
        <v>128</v>
      </c>
      <c r="G99">
        <v>59.6</v>
      </c>
      <c r="H99">
        <v>10</v>
      </c>
      <c r="I99">
        <v>0.24756950695931051</v>
      </c>
    </row>
    <row r="100" spans="5:9" x14ac:dyDescent="0.45">
      <c r="E100" s="20">
        <v>0.31</v>
      </c>
      <c r="F100">
        <v>152</v>
      </c>
      <c r="G100">
        <v>60.23</v>
      </c>
      <c r="H100">
        <v>15</v>
      </c>
      <c r="I100">
        <v>0.16612860985671185</v>
      </c>
    </row>
    <row r="101" spans="5:9" x14ac:dyDescent="0.45">
      <c r="E101" s="20">
        <v>0.31</v>
      </c>
      <c r="F101">
        <v>112</v>
      </c>
      <c r="G101">
        <v>62.8</v>
      </c>
      <c r="H101">
        <v>10</v>
      </c>
      <c r="I101">
        <v>0.26735043981598322</v>
      </c>
    </row>
    <row r="102" spans="5:9" x14ac:dyDescent="0.45">
      <c r="E102" s="20">
        <v>0.31</v>
      </c>
      <c r="F102">
        <v>147</v>
      </c>
      <c r="G102">
        <v>60.84</v>
      </c>
      <c r="H102">
        <v>8</v>
      </c>
      <c r="I102">
        <v>0.25202738487919907</v>
      </c>
    </row>
    <row r="103" spans="5:9" x14ac:dyDescent="0.45">
      <c r="E103" s="20">
        <v>0.31</v>
      </c>
      <c r="F103">
        <v>161</v>
      </c>
      <c r="G103">
        <v>54.6</v>
      </c>
      <c r="H103">
        <v>11</v>
      </c>
      <c r="I103">
        <v>0.24379665303307951</v>
      </c>
    </row>
    <row r="104" spans="5:9" x14ac:dyDescent="0.45">
      <c r="E104" s="20">
        <v>0.31</v>
      </c>
      <c r="F104">
        <v>143</v>
      </c>
      <c r="G104">
        <v>58.24</v>
      </c>
      <c r="H104">
        <v>13</v>
      </c>
      <c r="I104">
        <v>0.27390215781741989</v>
      </c>
    </row>
    <row r="105" spans="5:9" x14ac:dyDescent="0.45">
      <c r="E105" s="20">
        <v>0.31</v>
      </c>
      <c r="F105">
        <v>134</v>
      </c>
      <c r="G105">
        <v>53.6</v>
      </c>
      <c r="H105">
        <v>14</v>
      </c>
      <c r="I105">
        <v>0.25327010280174367</v>
      </c>
    </row>
    <row r="106" spans="5:9" x14ac:dyDescent="0.45">
      <c r="E106" s="20">
        <v>0.31</v>
      </c>
      <c r="F106">
        <v>140</v>
      </c>
      <c r="G106">
        <v>53</v>
      </c>
      <c r="H106">
        <v>11</v>
      </c>
      <c r="I106">
        <v>0.18810790606784605</v>
      </c>
    </row>
    <row r="107" spans="5:9" x14ac:dyDescent="0.45">
      <c r="E107" s="20">
        <v>0.31</v>
      </c>
      <c r="F107">
        <v>136</v>
      </c>
      <c r="G107">
        <v>53.8</v>
      </c>
      <c r="H107">
        <v>12</v>
      </c>
      <c r="I107">
        <v>0.19536141891463762</v>
      </c>
    </row>
    <row r="108" spans="5:9" x14ac:dyDescent="0.45">
      <c r="E108" s="20">
        <v>0.31</v>
      </c>
      <c r="F108">
        <v>129</v>
      </c>
      <c r="G108">
        <v>59.4</v>
      </c>
      <c r="H108">
        <v>9</v>
      </c>
      <c r="I108">
        <v>0.20701373254834152</v>
      </c>
    </row>
    <row r="109" spans="5:9" x14ac:dyDescent="0.45">
      <c r="E109" s="20">
        <v>0.31</v>
      </c>
      <c r="F109">
        <v>136</v>
      </c>
      <c r="G109">
        <v>54.9</v>
      </c>
      <c r="H109">
        <v>11</v>
      </c>
      <c r="I109">
        <v>0.24838745878232044</v>
      </c>
    </row>
    <row r="110" spans="5:9" x14ac:dyDescent="0.45">
      <c r="E110" s="20">
        <v>0.31</v>
      </c>
      <c r="F110">
        <v>142</v>
      </c>
      <c r="G110">
        <v>60</v>
      </c>
      <c r="H110">
        <v>8</v>
      </c>
      <c r="I110">
        <v>0.28604510317196524</v>
      </c>
    </row>
    <row r="111" spans="5:9" x14ac:dyDescent="0.45">
      <c r="E111" s="20">
        <v>0.31</v>
      </c>
      <c r="F111">
        <v>138</v>
      </c>
      <c r="G111">
        <v>51</v>
      </c>
      <c r="H111">
        <v>11</v>
      </c>
      <c r="I111">
        <v>0.23379154643359279</v>
      </c>
    </row>
    <row r="112" spans="5:9" x14ac:dyDescent="0.45">
      <c r="E112" s="20">
        <v>0.31</v>
      </c>
      <c r="F112">
        <v>132</v>
      </c>
      <c r="G112">
        <v>56</v>
      </c>
      <c r="H112">
        <v>9</v>
      </c>
      <c r="I112">
        <v>0.2561723288298598</v>
      </c>
    </row>
    <row r="113" spans="5:9" x14ac:dyDescent="0.45">
      <c r="E113" s="20">
        <v>0.31</v>
      </c>
      <c r="F113">
        <v>131</v>
      </c>
      <c r="G113">
        <v>52.9</v>
      </c>
      <c r="H113">
        <v>12</v>
      </c>
      <c r="I113">
        <v>0.20101611403591491</v>
      </c>
    </row>
    <row r="114" spans="5:9" x14ac:dyDescent="0.45">
      <c r="E114" s="20">
        <v>0.31</v>
      </c>
      <c r="F114">
        <v>134</v>
      </c>
      <c r="G114">
        <v>60.25</v>
      </c>
      <c r="H114">
        <v>12</v>
      </c>
      <c r="I114">
        <v>0.30081148586657247</v>
      </c>
    </row>
    <row r="115" spans="5:9" x14ac:dyDescent="0.45">
      <c r="E115" s="20">
        <v>0.31</v>
      </c>
      <c r="F115">
        <v>110</v>
      </c>
      <c r="G115">
        <v>50.6</v>
      </c>
      <c r="H115">
        <v>12</v>
      </c>
      <c r="I115">
        <v>0.21585381615874266</v>
      </c>
    </row>
    <row r="116" spans="5:9" x14ac:dyDescent="0.45">
      <c r="E116" s="20">
        <v>0.31</v>
      </c>
      <c r="F116">
        <v>128</v>
      </c>
      <c r="G116">
        <v>55.2</v>
      </c>
      <c r="H116">
        <v>4</v>
      </c>
      <c r="I116">
        <v>0.22271518930930964</v>
      </c>
    </row>
    <row r="117" spans="5:9" x14ac:dyDescent="0.45">
      <c r="E117" s="20">
        <v>0.31</v>
      </c>
      <c r="F117">
        <v>110</v>
      </c>
      <c r="G117">
        <v>53</v>
      </c>
      <c r="H117">
        <v>12</v>
      </c>
      <c r="I117">
        <v>0.22305613470605629</v>
      </c>
    </row>
    <row r="118" spans="5:9" x14ac:dyDescent="0.45">
      <c r="E118" s="20">
        <v>0.31</v>
      </c>
      <c r="F118">
        <v>108</v>
      </c>
      <c r="G118">
        <v>52</v>
      </c>
      <c r="H118">
        <v>6</v>
      </c>
      <c r="I118">
        <v>0.15877890530161393</v>
      </c>
    </row>
    <row r="119" spans="5:9" x14ac:dyDescent="0.45">
      <c r="E119" s="20">
        <v>0.31</v>
      </c>
      <c r="F119">
        <v>107</v>
      </c>
      <c r="G119">
        <v>54</v>
      </c>
      <c r="H119">
        <v>1</v>
      </c>
      <c r="I119">
        <v>0.21052522022504444</v>
      </c>
    </row>
    <row r="120" spans="5:9" x14ac:dyDescent="0.45">
      <c r="E120" s="20">
        <v>0.31</v>
      </c>
      <c r="F120">
        <v>117</v>
      </c>
      <c r="G120">
        <v>54</v>
      </c>
      <c r="H120">
        <v>8</v>
      </c>
      <c r="I120">
        <v>0.19952890186652372</v>
      </c>
    </row>
    <row r="121" spans="5:9" x14ac:dyDescent="0.45">
      <c r="E121" s="20">
        <v>0.31</v>
      </c>
      <c r="F121">
        <v>115</v>
      </c>
      <c r="G121">
        <v>51</v>
      </c>
      <c r="H121">
        <v>5</v>
      </c>
      <c r="I121">
        <v>0.19968883268824736</v>
      </c>
    </row>
    <row r="122" spans="5:9" x14ac:dyDescent="0.45">
      <c r="E122" s="20">
        <v>0.31</v>
      </c>
      <c r="F122">
        <v>115</v>
      </c>
      <c r="G122">
        <v>52</v>
      </c>
      <c r="H122">
        <v>6</v>
      </c>
      <c r="I122">
        <v>0.28480346264051409</v>
      </c>
    </row>
    <row r="123" spans="5:9" x14ac:dyDescent="0.45">
      <c r="E123" s="20">
        <v>0.31</v>
      </c>
      <c r="F123">
        <v>138</v>
      </c>
      <c r="G123">
        <v>53.4</v>
      </c>
      <c r="H123">
        <v>3</v>
      </c>
      <c r="I123">
        <v>6.1874999999999999E-2</v>
      </c>
    </row>
    <row r="124" spans="5:9" x14ac:dyDescent="0.45">
      <c r="E124" s="20">
        <v>0.31</v>
      </c>
      <c r="F124">
        <v>113</v>
      </c>
      <c r="G124">
        <v>55</v>
      </c>
      <c r="H124">
        <v>1</v>
      </c>
      <c r="I124">
        <v>0.16387096774193552</v>
      </c>
    </row>
    <row r="125" spans="5:9" x14ac:dyDescent="0.45">
      <c r="E125" s="20">
        <v>0.31</v>
      </c>
      <c r="F125">
        <v>109</v>
      </c>
      <c r="G125">
        <v>53</v>
      </c>
      <c r="H125">
        <v>0</v>
      </c>
      <c r="I125">
        <v>9.8431372549019611E-2</v>
      </c>
    </row>
    <row r="126" spans="5:9" x14ac:dyDescent="0.45">
      <c r="E126" s="20">
        <v>0.31</v>
      </c>
      <c r="F126">
        <v>198</v>
      </c>
      <c r="G126">
        <v>66</v>
      </c>
      <c r="H126">
        <v>9</v>
      </c>
      <c r="I126">
        <v>8.1562499999999996E-2</v>
      </c>
    </row>
    <row r="127" spans="5:9" x14ac:dyDescent="0.45">
      <c r="E127" s="20">
        <v>0.31</v>
      </c>
      <c r="F127">
        <v>222</v>
      </c>
      <c r="G127">
        <v>51.2</v>
      </c>
      <c r="H127">
        <v>13</v>
      </c>
      <c r="I127">
        <v>0.15052631578947367</v>
      </c>
    </row>
    <row r="128" spans="5:9" x14ac:dyDescent="0.45">
      <c r="E128" s="20">
        <v>0.31</v>
      </c>
      <c r="F128">
        <v>180</v>
      </c>
      <c r="G128">
        <v>50.8</v>
      </c>
      <c r="H128">
        <v>13</v>
      </c>
      <c r="I128">
        <v>0.15166666666666667</v>
      </c>
    </row>
    <row r="129" spans="5:9" x14ac:dyDescent="0.45">
      <c r="E129" s="20">
        <v>0.31</v>
      </c>
      <c r="F129">
        <v>215</v>
      </c>
      <c r="G129">
        <v>65</v>
      </c>
      <c r="H129">
        <v>8</v>
      </c>
      <c r="I129">
        <v>0.10574468085106384</v>
      </c>
    </row>
    <row r="130" spans="5:9" x14ac:dyDescent="0.45">
      <c r="E130" s="20">
        <v>0.31</v>
      </c>
      <c r="F130">
        <v>176</v>
      </c>
      <c r="G130">
        <v>53</v>
      </c>
      <c r="H130">
        <v>12</v>
      </c>
      <c r="I130">
        <v>0.13594594594594592</v>
      </c>
    </row>
    <row r="131" spans="5:9" x14ac:dyDescent="0.45">
      <c r="E131" s="20">
        <v>0.31</v>
      </c>
      <c r="F131">
        <v>192</v>
      </c>
      <c r="G131">
        <v>58</v>
      </c>
      <c r="H131">
        <v>13</v>
      </c>
      <c r="I131">
        <v>0.14937500000000001</v>
      </c>
    </row>
    <row r="132" spans="5:9" x14ac:dyDescent="0.45">
      <c r="E132" s="20">
        <v>0.31</v>
      </c>
      <c r="F132">
        <v>186</v>
      </c>
      <c r="G132">
        <v>53.5</v>
      </c>
      <c r="H132">
        <v>12</v>
      </c>
      <c r="I132">
        <v>0.12699999999999997</v>
      </c>
    </row>
    <row r="133" spans="5:9" x14ac:dyDescent="0.45">
      <c r="E133" s="20">
        <v>0.31</v>
      </c>
      <c r="F133">
        <v>184</v>
      </c>
      <c r="G133">
        <v>50.4</v>
      </c>
      <c r="H133">
        <v>12</v>
      </c>
      <c r="I133">
        <v>0.11142857142857143</v>
      </c>
    </row>
    <row r="134" spans="5:9" x14ac:dyDescent="0.45">
      <c r="E134" s="20">
        <v>0.31</v>
      </c>
      <c r="F134">
        <v>221</v>
      </c>
      <c r="G134">
        <v>53.4</v>
      </c>
      <c r="H134">
        <v>11</v>
      </c>
      <c r="I134">
        <v>0.13375000000000001</v>
      </c>
    </row>
    <row r="135" spans="5:9" x14ac:dyDescent="0.45">
      <c r="E135" s="20">
        <v>0.31</v>
      </c>
      <c r="F135">
        <v>193</v>
      </c>
      <c r="G135">
        <v>63</v>
      </c>
      <c r="H135">
        <v>10</v>
      </c>
      <c r="I135">
        <v>0.13611111111111113</v>
      </c>
    </row>
    <row r="136" spans="5:9" x14ac:dyDescent="0.45">
      <c r="E136" s="20">
        <v>0.31</v>
      </c>
      <c r="F136">
        <v>180</v>
      </c>
      <c r="G136">
        <v>61</v>
      </c>
      <c r="H136">
        <v>8</v>
      </c>
      <c r="I136">
        <v>0.2116666666666667</v>
      </c>
    </row>
    <row r="137" spans="5:9" x14ac:dyDescent="0.45">
      <c r="E137" s="20">
        <v>0.31</v>
      </c>
      <c r="F137">
        <v>192</v>
      </c>
      <c r="G137">
        <v>58</v>
      </c>
      <c r="H137">
        <v>13</v>
      </c>
      <c r="I137">
        <v>0.14937500000000001</v>
      </c>
    </row>
    <row r="138" spans="5:9" x14ac:dyDescent="0.45">
      <c r="E138" s="20">
        <v>0.31</v>
      </c>
      <c r="F138">
        <v>186</v>
      </c>
      <c r="G138">
        <v>53.5</v>
      </c>
      <c r="H138">
        <v>12</v>
      </c>
      <c r="I138">
        <v>0.12699999999999997</v>
      </c>
    </row>
    <row r="139" spans="5:9" x14ac:dyDescent="0.45">
      <c r="E139" s="20">
        <v>0.31</v>
      </c>
      <c r="F139">
        <v>187</v>
      </c>
      <c r="G139">
        <v>56.3</v>
      </c>
      <c r="H139">
        <v>13</v>
      </c>
      <c r="I139">
        <v>0.10063829787234044</v>
      </c>
    </row>
    <row r="140" spans="5:9" x14ac:dyDescent="0.45">
      <c r="E140" s="20">
        <v>0.31</v>
      </c>
      <c r="F140">
        <v>177</v>
      </c>
      <c r="G140">
        <v>51</v>
      </c>
      <c r="H140">
        <v>12</v>
      </c>
      <c r="I140">
        <v>0.18759999999999999</v>
      </c>
    </row>
    <row r="141" spans="5:9" x14ac:dyDescent="0.45">
      <c r="E141" s="20">
        <v>0.31</v>
      </c>
      <c r="F141">
        <v>235</v>
      </c>
      <c r="G141">
        <v>51</v>
      </c>
      <c r="H141">
        <v>7</v>
      </c>
      <c r="I141">
        <v>7.859374999999999E-2</v>
      </c>
    </row>
    <row r="142" spans="5:9" x14ac:dyDescent="0.45">
      <c r="E142" s="20">
        <v>0.31</v>
      </c>
      <c r="F142">
        <v>250</v>
      </c>
      <c r="G142">
        <v>52</v>
      </c>
      <c r="H142">
        <v>12</v>
      </c>
      <c r="I142">
        <v>0.15499999999999997</v>
      </c>
    </row>
    <row r="143" spans="5:9" x14ac:dyDescent="0.45">
      <c r="E143" s="20">
        <v>0.32</v>
      </c>
      <c r="F143">
        <v>115</v>
      </c>
      <c r="G143">
        <v>61.52</v>
      </c>
      <c r="H143">
        <v>3</v>
      </c>
      <c r="I143">
        <v>0.25656024774109426</v>
      </c>
    </row>
    <row r="144" spans="5:9" x14ac:dyDescent="0.45">
      <c r="E144" s="20">
        <v>0.32</v>
      </c>
      <c r="F144">
        <v>146</v>
      </c>
      <c r="G144">
        <v>58.2</v>
      </c>
      <c r="H144">
        <v>11</v>
      </c>
      <c r="I144">
        <v>0.30222206303806748</v>
      </c>
    </row>
    <row r="145" spans="5:9" x14ac:dyDescent="0.45">
      <c r="E145" s="20">
        <v>0.32</v>
      </c>
      <c r="F145">
        <v>139</v>
      </c>
      <c r="G145">
        <v>61.6</v>
      </c>
      <c r="H145">
        <v>8</v>
      </c>
      <c r="I145">
        <v>0.20310977599512769</v>
      </c>
    </row>
    <row r="146" spans="5:9" x14ac:dyDescent="0.45">
      <c r="E146" s="20">
        <v>0.32</v>
      </c>
      <c r="F146">
        <v>155</v>
      </c>
      <c r="G146">
        <v>63.1</v>
      </c>
      <c r="H146">
        <v>8</v>
      </c>
      <c r="I146">
        <v>0.23221060864339546</v>
      </c>
    </row>
    <row r="147" spans="5:9" x14ac:dyDescent="0.45">
      <c r="E147" s="20">
        <v>0.32</v>
      </c>
      <c r="F147">
        <v>132</v>
      </c>
      <c r="G147">
        <v>63.8</v>
      </c>
      <c r="H147">
        <v>10</v>
      </c>
      <c r="I147">
        <v>0.24438013803914779</v>
      </c>
    </row>
    <row r="148" spans="5:9" x14ac:dyDescent="0.45">
      <c r="E148" s="20">
        <v>0.32</v>
      </c>
      <c r="F148">
        <v>131</v>
      </c>
      <c r="G148">
        <v>59.68</v>
      </c>
      <c r="H148">
        <v>7</v>
      </c>
      <c r="I148">
        <v>0.25236352120291539</v>
      </c>
    </row>
    <row r="149" spans="5:9" x14ac:dyDescent="0.45">
      <c r="E149" s="20">
        <v>0.32</v>
      </c>
      <c r="F149">
        <v>129</v>
      </c>
      <c r="G149">
        <v>61.2</v>
      </c>
      <c r="H149">
        <v>9</v>
      </c>
      <c r="I149">
        <v>0.19286600371226509</v>
      </c>
    </row>
    <row r="150" spans="5:9" x14ac:dyDescent="0.45">
      <c r="E150" s="20">
        <v>0.32</v>
      </c>
      <c r="F150">
        <v>151</v>
      </c>
      <c r="G150">
        <v>61.54</v>
      </c>
      <c r="H150">
        <v>8</v>
      </c>
      <c r="I150">
        <v>0.2387033360299772</v>
      </c>
    </row>
    <row r="151" spans="5:9" x14ac:dyDescent="0.45">
      <c r="E151" s="20">
        <v>0.32</v>
      </c>
      <c r="F151">
        <v>169</v>
      </c>
      <c r="G151">
        <v>53.4</v>
      </c>
      <c r="H151">
        <v>12</v>
      </c>
      <c r="I151">
        <v>0.30052240566109117</v>
      </c>
    </row>
    <row r="152" spans="5:9" x14ac:dyDescent="0.45">
      <c r="E152" s="20">
        <v>0.32</v>
      </c>
      <c r="F152">
        <v>131</v>
      </c>
      <c r="G152">
        <v>52.7</v>
      </c>
      <c r="H152">
        <v>13</v>
      </c>
      <c r="I152">
        <v>0.28788250727570286</v>
      </c>
    </row>
    <row r="153" spans="5:9" x14ac:dyDescent="0.45">
      <c r="E153" s="20">
        <v>0.32</v>
      </c>
      <c r="F153">
        <v>131</v>
      </c>
      <c r="G153">
        <v>54</v>
      </c>
      <c r="H153">
        <v>10</v>
      </c>
      <c r="I153">
        <v>0.26820383762957939</v>
      </c>
    </row>
    <row r="154" spans="5:9" x14ac:dyDescent="0.45">
      <c r="E154" s="20">
        <v>0.32</v>
      </c>
      <c r="F154">
        <v>139</v>
      </c>
      <c r="G154">
        <v>53.8</v>
      </c>
      <c r="H154">
        <v>12</v>
      </c>
      <c r="I154">
        <v>0.2383732818226397</v>
      </c>
    </row>
    <row r="155" spans="5:9" x14ac:dyDescent="0.45">
      <c r="E155" s="20">
        <v>0.32</v>
      </c>
      <c r="F155">
        <v>123</v>
      </c>
      <c r="G155">
        <v>65.400000000000006</v>
      </c>
      <c r="H155">
        <v>7</v>
      </c>
      <c r="I155">
        <v>0.20836643763414042</v>
      </c>
    </row>
    <row r="156" spans="5:9" x14ac:dyDescent="0.45">
      <c r="E156" s="20">
        <v>0.32</v>
      </c>
      <c r="F156">
        <v>138</v>
      </c>
      <c r="G156">
        <v>55.3</v>
      </c>
      <c r="H156">
        <v>10</v>
      </c>
      <c r="I156">
        <v>0.17111577775119971</v>
      </c>
    </row>
    <row r="157" spans="5:9" x14ac:dyDescent="0.45">
      <c r="E157" s="20">
        <v>0.32</v>
      </c>
      <c r="F157">
        <v>130</v>
      </c>
      <c r="G157">
        <v>55.1</v>
      </c>
      <c r="H157">
        <v>9</v>
      </c>
      <c r="I157">
        <v>0.17059166225865841</v>
      </c>
    </row>
    <row r="158" spans="5:9" x14ac:dyDescent="0.45">
      <c r="E158" s="20">
        <v>0.32</v>
      </c>
      <c r="F158">
        <v>138</v>
      </c>
      <c r="G158">
        <v>72.400000000000006</v>
      </c>
      <c r="H158">
        <v>9</v>
      </c>
      <c r="I158">
        <v>0.19207438262432355</v>
      </c>
    </row>
    <row r="159" spans="5:9" x14ac:dyDescent="0.45">
      <c r="E159" s="20">
        <v>0.32</v>
      </c>
      <c r="F159">
        <v>136</v>
      </c>
      <c r="G159">
        <v>65.209999999999994</v>
      </c>
      <c r="H159">
        <v>13</v>
      </c>
      <c r="I159">
        <v>0.20647291505274049</v>
      </c>
    </row>
    <row r="160" spans="5:9" x14ac:dyDescent="0.45">
      <c r="E160" s="20">
        <v>0.32</v>
      </c>
      <c r="F160">
        <v>131</v>
      </c>
      <c r="G160">
        <v>50.6</v>
      </c>
      <c r="H160">
        <v>6</v>
      </c>
      <c r="I160">
        <v>0.2165088694435981</v>
      </c>
    </row>
    <row r="161" spans="5:9" x14ac:dyDescent="0.45">
      <c r="E161" s="20">
        <v>0.32</v>
      </c>
      <c r="F161">
        <v>107</v>
      </c>
      <c r="G161">
        <v>53.8</v>
      </c>
      <c r="H161">
        <v>5</v>
      </c>
      <c r="I161">
        <v>0.20722570550981423</v>
      </c>
    </row>
    <row r="162" spans="5:9" x14ac:dyDescent="0.45">
      <c r="E162" s="20">
        <v>0.32</v>
      </c>
      <c r="F162">
        <v>113</v>
      </c>
      <c r="G162">
        <v>54.1</v>
      </c>
      <c r="H162">
        <v>2</v>
      </c>
      <c r="I162">
        <v>0.18246910190010818</v>
      </c>
    </row>
    <row r="163" spans="5:9" x14ac:dyDescent="0.45">
      <c r="E163" s="20">
        <v>0.32</v>
      </c>
      <c r="F163">
        <v>115</v>
      </c>
      <c r="G163">
        <v>52</v>
      </c>
      <c r="H163">
        <v>6</v>
      </c>
      <c r="I163">
        <v>0.20878211744459266</v>
      </c>
    </row>
    <row r="164" spans="5:9" x14ac:dyDescent="0.45">
      <c r="E164" s="20">
        <v>0.32</v>
      </c>
      <c r="F164">
        <v>94</v>
      </c>
      <c r="G164">
        <v>55.6</v>
      </c>
      <c r="H164">
        <v>11</v>
      </c>
      <c r="I164">
        <v>6.7460317460317443E-2</v>
      </c>
    </row>
    <row r="165" spans="5:9" x14ac:dyDescent="0.45">
      <c r="E165" s="20">
        <v>0.32</v>
      </c>
      <c r="F165">
        <v>114</v>
      </c>
      <c r="G165">
        <v>57</v>
      </c>
      <c r="H165">
        <v>2</v>
      </c>
      <c r="I165">
        <v>0.11744186046511626</v>
      </c>
    </row>
    <row r="166" spans="5:9" x14ac:dyDescent="0.45">
      <c r="E166" s="20">
        <v>0.32</v>
      </c>
      <c r="F166">
        <v>116</v>
      </c>
      <c r="G166">
        <v>56</v>
      </c>
      <c r="H166">
        <v>1</v>
      </c>
      <c r="I166">
        <v>0.13756756756756755</v>
      </c>
    </row>
    <row r="167" spans="5:9" x14ac:dyDescent="0.45">
      <c r="E167" s="20">
        <v>0.32</v>
      </c>
      <c r="F167">
        <v>107</v>
      </c>
      <c r="G167">
        <v>56</v>
      </c>
      <c r="H167">
        <v>7</v>
      </c>
      <c r="I167">
        <v>0.12820512820512822</v>
      </c>
    </row>
    <row r="168" spans="5:9" x14ac:dyDescent="0.45">
      <c r="E168" s="20">
        <v>0.32</v>
      </c>
      <c r="F168">
        <v>176</v>
      </c>
      <c r="G168">
        <v>57</v>
      </c>
      <c r="H168">
        <v>11</v>
      </c>
      <c r="I168">
        <v>0.14222222222222219</v>
      </c>
    </row>
    <row r="169" spans="5:9" x14ac:dyDescent="0.45">
      <c r="E169" s="20">
        <v>0.32</v>
      </c>
      <c r="F169">
        <v>179</v>
      </c>
      <c r="G169">
        <v>52</v>
      </c>
      <c r="H169">
        <v>13</v>
      </c>
      <c r="I169">
        <v>0.24777777777777782</v>
      </c>
    </row>
    <row r="170" spans="5:9" x14ac:dyDescent="0.45">
      <c r="E170" s="20">
        <v>0.32</v>
      </c>
      <c r="F170">
        <v>191</v>
      </c>
      <c r="G170">
        <v>58.3</v>
      </c>
      <c r="H170">
        <v>13</v>
      </c>
      <c r="I170">
        <v>0.23045454545454547</v>
      </c>
    </row>
    <row r="171" spans="5:9" x14ac:dyDescent="0.45">
      <c r="E171" s="20">
        <v>0.32</v>
      </c>
      <c r="F171">
        <v>211</v>
      </c>
      <c r="G171">
        <v>54.2</v>
      </c>
      <c r="H171">
        <v>12</v>
      </c>
      <c r="I171">
        <v>0.1275</v>
      </c>
    </row>
    <row r="172" spans="5:9" x14ac:dyDescent="0.45">
      <c r="E172" s="20">
        <v>0.32</v>
      </c>
      <c r="F172">
        <v>195</v>
      </c>
      <c r="G172">
        <v>54.6</v>
      </c>
      <c r="H172">
        <v>12</v>
      </c>
      <c r="I172">
        <v>9.441860465116278E-2</v>
      </c>
    </row>
    <row r="173" spans="5:9" x14ac:dyDescent="0.45">
      <c r="E173" s="20">
        <v>0.32</v>
      </c>
      <c r="F173">
        <v>179</v>
      </c>
      <c r="G173">
        <v>52</v>
      </c>
      <c r="H173">
        <v>13</v>
      </c>
      <c r="I173">
        <v>0.24777777777777782</v>
      </c>
    </row>
    <row r="174" spans="5:9" x14ac:dyDescent="0.45">
      <c r="E174" s="20">
        <v>0.32</v>
      </c>
      <c r="F174">
        <v>191</v>
      </c>
      <c r="G174">
        <v>58.3</v>
      </c>
      <c r="H174">
        <v>13</v>
      </c>
      <c r="I174">
        <v>0.23045454545454547</v>
      </c>
    </row>
    <row r="175" spans="5:9" x14ac:dyDescent="0.45">
      <c r="E175" s="20">
        <v>0.32</v>
      </c>
      <c r="F175">
        <v>233</v>
      </c>
      <c r="G175">
        <v>51</v>
      </c>
      <c r="H175">
        <v>13</v>
      </c>
      <c r="I175">
        <v>0.17200000000000004</v>
      </c>
    </row>
    <row r="176" spans="5:9" x14ac:dyDescent="0.45">
      <c r="E176" s="20">
        <v>0.33</v>
      </c>
      <c r="F176">
        <v>172</v>
      </c>
      <c r="G176">
        <v>70.8</v>
      </c>
      <c r="H176">
        <v>13</v>
      </c>
      <c r="I176">
        <v>0.23148133195592988</v>
      </c>
    </row>
    <row r="177" spans="5:9" x14ac:dyDescent="0.45">
      <c r="E177" s="20">
        <v>0.33</v>
      </c>
      <c r="F177">
        <v>144</v>
      </c>
      <c r="G177">
        <v>61.5</v>
      </c>
      <c r="H177">
        <v>9</v>
      </c>
      <c r="I177">
        <v>0.20505267033601404</v>
      </c>
    </row>
    <row r="178" spans="5:9" x14ac:dyDescent="0.45">
      <c r="E178" s="20">
        <v>0.33</v>
      </c>
      <c r="F178">
        <v>107</v>
      </c>
      <c r="G178">
        <v>60.38</v>
      </c>
      <c r="H178">
        <v>12</v>
      </c>
      <c r="I178">
        <v>0.21172311486292913</v>
      </c>
    </row>
    <row r="179" spans="5:9" x14ac:dyDescent="0.45">
      <c r="E179" s="20">
        <v>0.33</v>
      </c>
      <c r="F179">
        <v>138</v>
      </c>
      <c r="G179">
        <v>52.4</v>
      </c>
      <c r="H179">
        <v>0</v>
      </c>
      <c r="I179">
        <v>0.25984941709224441</v>
      </c>
    </row>
    <row r="180" spans="5:9" x14ac:dyDescent="0.45">
      <c r="E180" s="20">
        <v>0.33</v>
      </c>
      <c r="F180">
        <v>136</v>
      </c>
      <c r="G180">
        <v>59.82</v>
      </c>
      <c r="H180">
        <v>10</v>
      </c>
      <c r="I180">
        <v>0.27499917025573234</v>
      </c>
    </row>
    <row r="181" spans="5:9" x14ac:dyDescent="0.45">
      <c r="E181" s="20">
        <v>0.33</v>
      </c>
      <c r="F181">
        <v>171</v>
      </c>
      <c r="G181">
        <v>50.6</v>
      </c>
      <c r="H181">
        <v>10</v>
      </c>
      <c r="I181">
        <v>0.26247268132725649</v>
      </c>
    </row>
    <row r="182" spans="5:9" x14ac:dyDescent="0.45">
      <c r="E182" s="20">
        <v>0.33</v>
      </c>
      <c r="F182">
        <v>133</v>
      </c>
      <c r="G182">
        <v>53.3</v>
      </c>
      <c r="H182">
        <v>11</v>
      </c>
      <c r="I182">
        <v>0.20367632418710474</v>
      </c>
    </row>
    <row r="183" spans="5:9" x14ac:dyDescent="0.45">
      <c r="E183" s="20">
        <v>0.33</v>
      </c>
      <c r="F183">
        <v>137</v>
      </c>
      <c r="G183">
        <v>62.5</v>
      </c>
      <c r="H183">
        <v>10</v>
      </c>
      <c r="I183">
        <v>0.20043860872407615</v>
      </c>
    </row>
    <row r="184" spans="5:9" x14ac:dyDescent="0.45">
      <c r="E184" s="20">
        <v>0.33</v>
      </c>
      <c r="F184">
        <v>132</v>
      </c>
      <c r="G184">
        <v>52.8</v>
      </c>
      <c r="H184">
        <v>13</v>
      </c>
      <c r="I184">
        <v>0.22343819502983087</v>
      </c>
    </row>
    <row r="185" spans="5:9" x14ac:dyDescent="0.45">
      <c r="E185" s="20">
        <v>0.33</v>
      </c>
      <c r="F185">
        <v>118</v>
      </c>
      <c r="G185">
        <v>62.45</v>
      </c>
      <c r="H185">
        <v>9</v>
      </c>
      <c r="I185">
        <v>0.31851549554600672</v>
      </c>
    </row>
    <row r="186" spans="5:9" x14ac:dyDescent="0.45">
      <c r="E186" s="20">
        <v>0.33</v>
      </c>
      <c r="F186">
        <v>160</v>
      </c>
      <c r="G186">
        <v>60.58</v>
      </c>
      <c r="H186">
        <v>13</v>
      </c>
      <c r="I186">
        <v>0.229243090272223</v>
      </c>
    </row>
    <row r="187" spans="5:9" x14ac:dyDescent="0.45">
      <c r="E187" s="20">
        <v>0.33</v>
      </c>
      <c r="F187">
        <v>149</v>
      </c>
      <c r="G187">
        <v>62</v>
      </c>
      <c r="H187">
        <v>13</v>
      </c>
      <c r="I187">
        <v>0.20209982661056194</v>
      </c>
    </row>
    <row r="188" spans="5:9" x14ac:dyDescent="0.45">
      <c r="E188" s="20">
        <v>0.33</v>
      </c>
      <c r="F188">
        <v>128</v>
      </c>
      <c r="G188">
        <v>51.1</v>
      </c>
      <c r="H188">
        <v>13</v>
      </c>
      <c r="I188">
        <v>0.21008150441154769</v>
      </c>
    </row>
    <row r="189" spans="5:9" x14ac:dyDescent="0.45">
      <c r="E189" s="20">
        <v>0.33</v>
      </c>
      <c r="F189">
        <v>136</v>
      </c>
      <c r="G189">
        <v>60.59</v>
      </c>
      <c r="H189">
        <v>13</v>
      </c>
      <c r="I189">
        <v>0.18222457800621145</v>
      </c>
    </row>
    <row r="190" spans="5:9" x14ac:dyDescent="0.45">
      <c r="E190" s="20">
        <v>0.33</v>
      </c>
      <c r="F190">
        <v>152</v>
      </c>
      <c r="G190">
        <v>52</v>
      </c>
      <c r="H190">
        <v>14</v>
      </c>
      <c r="I190">
        <v>0.200798835442762</v>
      </c>
    </row>
    <row r="191" spans="5:9" x14ac:dyDescent="0.45">
      <c r="E191" s="20">
        <v>0.33</v>
      </c>
      <c r="F191">
        <v>103</v>
      </c>
      <c r="G191">
        <v>58.7</v>
      </c>
      <c r="H191">
        <v>11</v>
      </c>
      <c r="I191">
        <v>0.26087895080389895</v>
      </c>
    </row>
    <row r="192" spans="5:9" x14ac:dyDescent="0.45">
      <c r="E192" s="20">
        <v>0.33</v>
      </c>
      <c r="F192">
        <v>111</v>
      </c>
      <c r="G192">
        <v>70.8</v>
      </c>
      <c r="H192">
        <v>6</v>
      </c>
      <c r="I192">
        <v>0.18538256526219188</v>
      </c>
    </row>
    <row r="193" spans="5:9" x14ac:dyDescent="0.45">
      <c r="E193" s="20">
        <v>0.33</v>
      </c>
      <c r="F193">
        <v>112</v>
      </c>
      <c r="G193">
        <v>54.9</v>
      </c>
      <c r="H193">
        <v>1</v>
      </c>
      <c r="I193">
        <v>0.2118777935860795</v>
      </c>
    </row>
    <row r="194" spans="5:9" x14ac:dyDescent="0.45">
      <c r="E194" s="20">
        <v>0.33</v>
      </c>
      <c r="F194">
        <v>112</v>
      </c>
      <c r="G194">
        <v>50.81</v>
      </c>
      <c r="H194">
        <v>4</v>
      </c>
      <c r="I194">
        <v>0.23663869022405754</v>
      </c>
    </row>
    <row r="195" spans="5:9" x14ac:dyDescent="0.45">
      <c r="E195" s="20">
        <v>0.33</v>
      </c>
      <c r="F195">
        <v>118</v>
      </c>
      <c r="G195">
        <v>54</v>
      </c>
      <c r="H195">
        <v>2</v>
      </c>
      <c r="I195">
        <v>0.2543707401492078</v>
      </c>
    </row>
    <row r="196" spans="5:9" x14ac:dyDescent="0.45">
      <c r="E196" s="20">
        <v>0.33</v>
      </c>
      <c r="F196">
        <v>106</v>
      </c>
      <c r="G196">
        <v>54</v>
      </c>
      <c r="H196">
        <v>4</v>
      </c>
      <c r="I196">
        <v>0.27860843172597233</v>
      </c>
    </row>
    <row r="197" spans="5:9" x14ac:dyDescent="0.45">
      <c r="E197" s="20">
        <v>0.33</v>
      </c>
      <c r="F197">
        <v>103</v>
      </c>
      <c r="G197">
        <v>58.7</v>
      </c>
      <c r="H197">
        <v>11</v>
      </c>
      <c r="I197">
        <v>0.20354919331489404</v>
      </c>
    </row>
    <row r="198" spans="5:9" x14ac:dyDescent="0.45">
      <c r="E198" s="20">
        <v>0.33</v>
      </c>
      <c r="F198">
        <v>111</v>
      </c>
      <c r="G198">
        <v>70.8</v>
      </c>
      <c r="H198">
        <v>6</v>
      </c>
      <c r="I198">
        <v>0.21190959406641136</v>
      </c>
    </row>
    <row r="199" spans="5:9" x14ac:dyDescent="0.45">
      <c r="E199" s="20">
        <v>0.33</v>
      </c>
      <c r="F199">
        <v>171</v>
      </c>
      <c r="G199">
        <v>54.3</v>
      </c>
      <c r="H199">
        <v>13</v>
      </c>
      <c r="I199">
        <v>0.12051282051282051</v>
      </c>
    </row>
    <row r="200" spans="5:9" x14ac:dyDescent="0.45">
      <c r="E200" s="20">
        <v>0.33</v>
      </c>
      <c r="F200">
        <v>157</v>
      </c>
      <c r="G200">
        <v>52</v>
      </c>
      <c r="H200">
        <v>12</v>
      </c>
      <c r="I200">
        <v>0.11808510638297874</v>
      </c>
    </row>
    <row r="201" spans="5:9" x14ac:dyDescent="0.45">
      <c r="E201" s="20">
        <v>0.33</v>
      </c>
      <c r="F201">
        <v>230</v>
      </c>
      <c r="G201">
        <v>55</v>
      </c>
      <c r="H201">
        <v>9</v>
      </c>
      <c r="I201">
        <v>0.21080000000000002</v>
      </c>
    </row>
    <row r="202" spans="5:9" x14ac:dyDescent="0.45">
      <c r="E202" s="20">
        <v>0.33</v>
      </c>
      <c r="F202">
        <v>190</v>
      </c>
      <c r="G202">
        <v>51.4</v>
      </c>
      <c r="H202">
        <v>10</v>
      </c>
      <c r="I202">
        <v>0.10999999999999999</v>
      </c>
    </row>
    <row r="203" spans="5:9" x14ac:dyDescent="0.45">
      <c r="E203" s="20">
        <v>0.34</v>
      </c>
      <c r="F203">
        <v>151</v>
      </c>
      <c r="G203">
        <v>60.1</v>
      </c>
      <c r="H203">
        <v>6</v>
      </c>
      <c r="I203">
        <v>0.33425423393786396</v>
      </c>
    </row>
    <row r="204" spans="5:9" x14ac:dyDescent="0.45">
      <c r="E204" s="20">
        <v>0.34</v>
      </c>
      <c r="F204">
        <v>146</v>
      </c>
      <c r="G204">
        <v>60.2</v>
      </c>
      <c r="H204">
        <v>7</v>
      </c>
      <c r="I204">
        <v>0.19992973707765657</v>
      </c>
    </row>
    <row r="205" spans="5:9" x14ac:dyDescent="0.45">
      <c r="E205" s="20">
        <v>0.34</v>
      </c>
      <c r="F205">
        <v>137</v>
      </c>
      <c r="G205">
        <v>58.3</v>
      </c>
      <c r="H205">
        <v>12</v>
      </c>
      <c r="I205">
        <v>0.25191137606026903</v>
      </c>
    </row>
    <row r="206" spans="5:9" x14ac:dyDescent="0.45">
      <c r="E206" s="20">
        <v>0.34</v>
      </c>
      <c r="F206">
        <v>140</v>
      </c>
      <c r="G206">
        <v>60.2</v>
      </c>
      <c r="H206">
        <v>5</v>
      </c>
      <c r="I206">
        <v>0.20638907890755739</v>
      </c>
    </row>
    <row r="207" spans="5:9" x14ac:dyDescent="0.45">
      <c r="E207" s="20">
        <v>0.34</v>
      </c>
      <c r="F207">
        <v>126</v>
      </c>
      <c r="G207">
        <v>62.5</v>
      </c>
      <c r="H207">
        <v>0</v>
      </c>
      <c r="I207">
        <v>0.20652975248235758</v>
      </c>
    </row>
    <row r="208" spans="5:9" x14ac:dyDescent="0.45">
      <c r="E208" s="20">
        <v>0.34</v>
      </c>
      <c r="F208">
        <v>134</v>
      </c>
      <c r="G208">
        <v>61.5</v>
      </c>
      <c r="H208">
        <v>9</v>
      </c>
      <c r="I208">
        <v>0.25882888649898422</v>
      </c>
    </row>
    <row r="209" spans="5:9" x14ac:dyDescent="0.45">
      <c r="E209" s="20">
        <v>0.34</v>
      </c>
      <c r="F209">
        <v>176</v>
      </c>
      <c r="G209">
        <v>52.1</v>
      </c>
      <c r="H209">
        <v>12</v>
      </c>
      <c r="I209">
        <v>0.23875262748144208</v>
      </c>
    </row>
    <row r="210" spans="5:9" x14ac:dyDescent="0.45">
      <c r="E210" s="20">
        <v>0.34</v>
      </c>
      <c r="F210">
        <v>150</v>
      </c>
      <c r="G210">
        <v>58.24</v>
      </c>
      <c r="H210">
        <v>4</v>
      </c>
      <c r="I210">
        <v>0.28264919174810788</v>
      </c>
    </row>
    <row r="211" spans="5:9" x14ac:dyDescent="0.45">
      <c r="E211" s="20">
        <v>0.34</v>
      </c>
      <c r="F211">
        <v>140</v>
      </c>
      <c r="G211">
        <v>54.9</v>
      </c>
      <c r="H211">
        <v>11</v>
      </c>
      <c r="I211">
        <v>0.28787517865520673</v>
      </c>
    </row>
    <row r="212" spans="5:9" x14ac:dyDescent="0.45">
      <c r="E212" s="20">
        <v>0.34</v>
      </c>
      <c r="F212">
        <v>154</v>
      </c>
      <c r="G212">
        <v>64.28</v>
      </c>
      <c r="H212">
        <v>4</v>
      </c>
      <c r="I212">
        <v>0.25065846250905649</v>
      </c>
    </row>
    <row r="213" spans="5:9" x14ac:dyDescent="0.45">
      <c r="E213" s="20">
        <v>0.34</v>
      </c>
      <c r="F213">
        <v>179</v>
      </c>
      <c r="G213">
        <v>63.74</v>
      </c>
      <c r="H213">
        <v>7</v>
      </c>
      <c r="I213">
        <v>0.30719944424090712</v>
      </c>
    </row>
    <row r="214" spans="5:9" x14ac:dyDescent="0.45">
      <c r="E214" s="20">
        <v>0.34</v>
      </c>
      <c r="F214">
        <v>134</v>
      </c>
      <c r="G214">
        <v>60.58</v>
      </c>
      <c r="H214">
        <v>14</v>
      </c>
      <c r="I214">
        <v>0.22745350189033089</v>
      </c>
    </row>
    <row r="215" spans="5:9" x14ac:dyDescent="0.45">
      <c r="E215" s="20">
        <v>0.34</v>
      </c>
      <c r="F215">
        <v>136</v>
      </c>
      <c r="G215">
        <v>53.2</v>
      </c>
      <c r="H215">
        <v>14</v>
      </c>
      <c r="I215">
        <v>0.2733853338608343</v>
      </c>
    </row>
    <row r="216" spans="5:9" x14ac:dyDescent="0.45">
      <c r="E216" s="20">
        <v>0.34</v>
      </c>
      <c r="F216">
        <v>134</v>
      </c>
      <c r="G216">
        <v>53.3</v>
      </c>
      <c r="H216">
        <v>6</v>
      </c>
      <c r="I216">
        <v>0.26919615937234215</v>
      </c>
    </row>
    <row r="217" spans="5:9" x14ac:dyDescent="0.45">
      <c r="E217" s="20">
        <v>0.34</v>
      </c>
      <c r="F217">
        <v>130</v>
      </c>
      <c r="G217">
        <v>52.5</v>
      </c>
      <c r="H217">
        <v>6</v>
      </c>
      <c r="I217">
        <v>0.23693647044809554</v>
      </c>
    </row>
    <row r="218" spans="5:9" x14ac:dyDescent="0.45">
      <c r="E218" s="20">
        <v>0.34</v>
      </c>
      <c r="F218">
        <v>140</v>
      </c>
      <c r="G218">
        <v>50.7</v>
      </c>
      <c r="H218">
        <v>9</v>
      </c>
      <c r="I218">
        <v>0.23227376838756733</v>
      </c>
    </row>
    <row r="219" spans="5:9" x14ac:dyDescent="0.45">
      <c r="E219" s="20">
        <v>0.34</v>
      </c>
      <c r="F219">
        <v>108</v>
      </c>
      <c r="G219">
        <v>57.3</v>
      </c>
      <c r="H219">
        <v>7</v>
      </c>
      <c r="I219">
        <v>0.3269299798300882</v>
      </c>
    </row>
    <row r="220" spans="5:9" x14ac:dyDescent="0.45">
      <c r="E220" s="20">
        <v>0.34</v>
      </c>
      <c r="F220">
        <v>113</v>
      </c>
      <c r="G220">
        <v>52.5</v>
      </c>
      <c r="H220">
        <v>7</v>
      </c>
      <c r="I220">
        <v>0.31892905887672024</v>
      </c>
    </row>
    <row r="221" spans="5:9" x14ac:dyDescent="0.45">
      <c r="E221" s="20">
        <v>0.34</v>
      </c>
      <c r="F221">
        <v>106</v>
      </c>
      <c r="G221">
        <v>50.1</v>
      </c>
      <c r="H221">
        <v>12</v>
      </c>
      <c r="I221">
        <v>0.28775304740212032</v>
      </c>
    </row>
    <row r="222" spans="5:9" x14ac:dyDescent="0.45">
      <c r="E222" s="20">
        <v>0.34</v>
      </c>
      <c r="F222">
        <v>115</v>
      </c>
      <c r="G222">
        <v>53.8</v>
      </c>
      <c r="H222">
        <v>9</v>
      </c>
      <c r="I222">
        <v>0.25658924713164483</v>
      </c>
    </row>
    <row r="223" spans="5:9" x14ac:dyDescent="0.45">
      <c r="E223" s="20">
        <v>0.34</v>
      </c>
      <c r="F223">
        <v>108</v>
      </c>
      <c r="G223">
        <v>57.3</v>
      </c>
      <c r="H223">
        <v>7</v>
      </c>
      <c r="I223">
        <v>0.24679616228315732</v>
      </c>
    </row>
    <row r="224" spans="5:9" x14ac:dyDescent="0.45">
      <c r="E224" s="20">
        <v>0.34</v>
      </c>
      <c r="F224">
        <v>113</v>
      </c>
      <c r="G224">
        <v>52.5</v>
      </c>
      <c r="H224">
        <v>7</v>
      </c>
      <c r="I224">
        <v>0.28048631056258083</v>
      </c>
    </row>
    <row r="225" spans="5:9" x14ac:dyDescent="0.45">
      <c r="E225" s="20">
        <v>0.34</v>
      </c>
      <c r="F225">
        <v>108</v>
      </c>
      <c r="G225">
        <v>51</v>
      </c>
      <c r="H225">
        <v>11</v>
      </c>
      <c r="I225">
        <v>0.17982875254255784</v>
      </c>
    </row>
    <row r="226" spans="5:9" x14ac:dyDescent="0.45">
      <c r="E226" s="20">
        <v>0.34</v>
      </c>
      <c r="F226">
        <v>138</v>
      </c>
      <c r="G226">
        <v>50.7</v>
      </c>
      <c r="H226">
        <v>1</v>
      </c>
      <c r="I226">
        <v>0.16106757152371884</v>
      </c>
    </row>
    <row r="227" spans="5:9" x14ac:dyDescent="0.45">
      <c r="E227" s="20">
        <v>0.34</v>
      </c>
      <c r="F227">
        <v>107</v>
      </c>
      <c r="G227">
        <v>56</v>
      </c>
      <c r="H227">
        <v>2</v>
      </c>
      <c r="I227">
        <v>8.2962962962962961E-2</v>
      </c>
    </row>
    <row r="228" spans="5:9" x14ac:dyDescent="0.45">
      <c r="E228" s="20">
        <v>0.34</v>
      </c>
      <c r="F228">
        <v>106</v>
      </c>
      <c r="G228">
        <v>53</v>
      </c>
      <c r="H228">
        <v>1</v>
      </c>
      <c r="I228">
        <v>8.2549019607843138E-2</v>
      </c>
    </row>
    <row r="229" spans="5:9" x14ac:dyDescent="0.45">
      <c r="E229" s="20">
        <v>0.34</v>
      </c>
      <c r="F229">
        <v>107</v>
      </c>
      <c r="G229">
        <v>56</v>
      </c>
      <c r="H229">
        <v>7</v>
      </c>
      <c r="I229">
        <v>0.14472222222222222</v>
      </c>
    </row>
    <row r="230" spans="5:9" x14ac:dyDescent="0.45">
      <c r="E230" s="20">
        <v>0.34</v>
      </c>
      <c r="F230">
        <v>206</v>
      </c>
      <c r="G230">
        <v>73</v>
      </c>
      <c r="H230">
        <v>12</v>
      </c>
      <c r="I230">
        <v>0.10460000000000001</v>
      </c>
    </row>
    <row r="231" spans="5:9" x14ac:dyDescent="0.45">
      <c r="E231" s="20">
        <v>0.35</v>
      </c>
      <c r="F231">
        <v>160</v>
      </c>
      <c r="G231">
        <v>61.2</v>
      </c>
      <c r="H231">
        <v>10</v>
      </c>
      <c r="I231">
        <v>0.15085539117505301</v>
      </c>
    </row>
    <row r="232" spans="5:9" x14ac:dyDescent="0.45">
      <c r="E232" s="20">
        <v>0.35</v>
      </c>
      <c r="F232">
        <v>153</v>
      </c>
      <c r="G232">
        <v>53.1</v>
      </c>
      <c r="H232">
        <v>9</v>
      </c>
      <c r="I232">
        <v>0.25691215714521448</v>
      </c>
    </row>
    <row r="233" spans="5:9" x14ac:dyDescent="0.45">
      <c r="E233" s="20">
        <v>0.35</v>
      </c>
      <c r="F233">
        <v>274</v>
      </c>
      <c r="G233">
        <v>67.3</v>
      </c>
      <c r="H233">
        <v>12</v>
      </c>
      <c r="I233">
        <v>0.22909508191886416</v>
      </c>
    </row>
    <row r="234" spans="5:9" x14ac:dyDescent="0.45">
      <c r="E234" s="20">
        <v>0.35</v>
      </c>
      <c r="F234">
        <v>147</v>
      </c>
      <c r="G234">
        <v>53.3</v>
      </c>
      <c r="H234">
        <v>12</v>
      </c>
      <c r="I234">
        <v>0.27752828275240221</v>
      </c>
    </row>
    <row r="235" spans="5:9" x14ac:dyDescent="0.45">
      <c r="E235" s="20">
        <v>0.35</v>
      </c>
      <c r="F235">
        <v>162</v>
      </c>
      <c r="G235">
        <v>65.89</v>
      </c>
      <c r="H235">
        <v>13</v>
      </c>
      <c r="I235">
        <v>0.25212236540287181</v>
      </c>
    </row>
    <row r="236" spans="5:9" x14ac:dyDescent="0.45">
      <c r="E236" s="20">
        <v>0.35</v>
      </c>
      <c r="F236">
        <v>165</v>
      </c>
      <c r="G236">
        <v>60.83</v>
      </c>
      <c r="H236">
        <v>7</v>
      </c>
      <c r="I236">
        <v>0.23268339677573538</v>
      </c>
    </row>
    <row r="237" spans="5:9" x14ac:dyDescent="0.45">
      <c r="E237" s="20">
        <v>0.35</v>
      </c>
      <c r="F237">
        <v>173</v>
      </c>
      <c r="G237">
        <v>54.9</v>
      </c>
      <c r="H237">
        <v>6</v>
      </c>
      <c r="I237">
        <v>0.2531608843145991</v>
      </c>
    </row>
    <row r="238" spans="5:9" x14ac:dyDescent="0.45">
      <c r="E238" s="20">
        <v>0.35</v>
      </c>
      <c r="F238">
        <v>127</v>
      </c>
      <c r="G238">
        <v>54.1</v>
      </c>
      <c r="H238">
        <v>7</v>
      </c>
      <c r="I238">
        <v>0.23945726304567189</v>
      </c>
    </row>
    <row r="239" spans="5:9" x14ac:dyDescent="0.45">
      <c r="E239" s="20">
        <v>0.35</v>
      </c>
      <c r="F239">
        <v>141</v>
      </c>
      <c r="G239">
        <v>53</v>
      </c>
      <c r="H239">
        <v>12</v>
      </c>
      <c r="I239">
        <v>0.22611592500608002</v>
      </c>
    </row>
    <row r="240" spans="5:9" x14ac:dyDescent="0.45">
      <c r="E240" s="20">
        <v>0.35</v>
      </c>
      <c r="F240">
        <v>133</v>
      </c>
      <c r="G240">
        <v>63.25</v>
      </c>
      <c r="H240">
        <v>10</v>
      </c>
      <c r="I240">
        <v>0.21931998000698338</v>
      </c>
    </row>
    <row r="241" spans="5:9" x14ac:dyDescent="0.45">
      <c r="E241" s="20">
        <v>0.35</v>
      </c>
      <c r="F241">
        <v>129</v>
      </c>
      <c r="G241">
        <v>52.8</v>
      </c>
      <c r="H241">
        <v>13</v>
      </c>
      <c r="I241">
        <v>0.21474146446499592</v>
      </c>
    </row>
    <row r="242" spans="5:9" x14ac:dyDescent="0.45">
      <c r="E242" s="20">
        <v>0.35</v>
      </c>
      <c r="F242">
        <v>172</v>
      </c>
      <c r="G242">
        <v>61.25</v>
      </c>
      <c r="H242">
        <v>15</v>
      </c>
      <c r="I242">
        <v>0.19261704627526424</v>
      </c>
    </row>
    <row r="243" spans="5:9" x14ac:dyDescent="0.45">
      <c r="E243" s="20">
        <v>0.35</v>
      </c>
      <c r="F243">
        <v>157</v>
      </c>
      <c r="G243">
        <v>52.3</v>
      </c>
      <c r="H243">
        <v>12</v>
      </c>
      <c r="I243">
        <v>0.19293879461590588</v>
      </c>
    </row>
    <row r="244" spans="5:9" x14ac:dyDescent="0.45">
      <c r="E244" s="20">
        <v>0.35</v>
      </c>
      <c r="F244">
        <v>108</v>
      </c>
      <c r="G244">
        <v>50.3</v>
      </c>
      <c r="H244">
        <v>2</v>
      </c>
      <c r="I244">
        <v>0.17427057241055383</v>
      </c>
    </row>
    <row r="245" spans="5:9" x14ac:dyDescent="0.45">
      <c r="E245" s="20">
        <v>0.35</v>
      </c>
      <c r="F245">
        <v>110</v>
      </c>
      <c r="G245">
        <v>52</v>
      </c>
      <c r="H245">
        <v>3</v>
      </c>
      <c r="I245">
        <v>0.20483254954418625</v>
      </c>
    </row>
    <row r="246" spans="5:9" x14ac:dyDescent="0.45">
      <c r="E246" s="20">
        <v>0.35</v>
      </c>
      <c r="F246">
        <v>112</v>
      </c>
      <c r="G246">
        <v>50.6</v>
      </c>
      <c r="H246">
        <v>3</v>
      </c>
      <c r="I246">
        <v>0.16202047966407523</v>
      </c>
    </row>
    <row r="247" spans="5:9" x14ac:dyDescent="0.45">
      <c r="E247" s="20">
        <v>0.35</v>
      </c>
      <c r="F247">
        <v>114</v>
      </c>
      <c r="G247">
        <v>54.8</v>
      </c>
      <c r="H247">
        <v>7</v>
      </c>
      <c r="I247">
        <v>0.19110913774295155</v>
      </c>
    </row>
    <row r="248" spans="5:9" x14ac:dyDescent="0.45">
      <c r="E248" s="20">
        <v>0.35</v>
      </c>
      <c r="F248">
        <v>112</v>
      </c>
      <c r="G248">
        <v>54</v>
      </c>
      <c r="H248">
        <v>0</v>
      </c>
      <c r="I248">
        <v>0.12275</v>
      </c>
    </row>
    <row r="249" spans="5:9" x14ac:dyDescent="0.45">
      <c r="E249" s="20">
        <v>0.36</v>
      </c>
      <c r="F249">
        <v>137</v>
      </c>
      <c r="G249">
        <v>61.3</v>
      </c>
      <c r="H249">
        <v>6</v>
      </c>
      <c r="I249">
        <v>0.22014836482633182</v>
      </c>
    </row>
    <row r="250" spans="5:9" x14ac:dyDescent="0.45">
      <c r="E250" s="20">
        <v>0.36</v>
      </c>
      <c r="F250">
        <v>147</v>
      </c>
      <c r="G250">
        <v>59</v>
      </c>
      <c r="H250">
        <v>11</v>
      </c>
      <c r="I250">
        <v>0.17885278755487197</v>
      </c>
    </row>
    <row r="251" spans="5:9" x14ac:dyDescent="0.45">
      <c r="E251" s="20">
        <v>0.36</v>
      </c>
      <c r="F251">
        <v>144</v>
      </c>
      <c r="G251">
        <v>54.6</v>
      </c>
      <c r="H251">
        <v>8</v>
      </c>
      <c r="I251">
        <v>0.18518767814529249</v>
      </c>
    </row>
    <row r="252" spans="5:9" x14ac:dyDescent="0.45">
      <c r="E252" s="20">
        <v>0.36</v>
      </c>
      <c r="F252">
        <v>132</v>
      </c>
      <c r="G252">
        <v>51.6</v>
      </c>
      <c r="H252">
        <v>0</v>
      </c>
      <c r="I252">
        <v>0.20275182511694476</v>
      </c>
    </row>
    <row r="253" spans="5:9" x14ac:dyDescent="0.45">
      <c r="E253" s="20">
        <v>0.36</v>
      </c>
      <c r="F253">
        <v>339</v>
      </c>
      <c r="G253">
        <v>61.3</v>
      </c>
      <c r="H253">
        <v>13</v>
      </c>
      <c r="I253">
        <v>0.26909304238545478</v>
      </c>
    </row>
    <row r="254" spans="5:9" x14ac:dyDescent="0.45">
      <c r="E254" s="20">
        <v>0.36</v>
      </c>
      <c r="F254">
        <v>195</v>
      </c>
      <c r="G254">
        <v>60.1</v>
      </c>
      <c r="H254">
        <v>14</v>
      </c>
      <c r="I254">
        <v>0.11326699217613535</v>
      </c>
    </row>
    <row r="255" spans="5:9" x14ac:dyDescent="0.45">
      <c r="E255" s="20">
        <v>0.36</v>
      </c>
      <c r="F255">
        <v>149</v>
      </c>
      <c r="G255">
        <v>53.8</v>
      </c>
      <c r="H255">
        <v>6</v>
      </c>
      <c r="I255">
        <v>0.21888476513953714</v>
      </c>
    </row>
    <row r="256" spans="5:9" x14ac:dyDescent="0.45">
      <c r="E256" s="20">
        <v>0.36</v>
      </c>
      <c r="F256">
        <v>136</v>
      </c>
      <c r="G256">
        <v>61</v>
      </c>
      <c r="H256">
        <v>11</v>
      </c>
      <c r="I256">
        <v>0.21790904300007033</v>
      </c>
    </row>
    <row r="257" spans="5:9" x14ac:dyDescent="0.45">
      <c r="E257" s="20">
        <v>0.36</v>
      </c>
      <c r="F257">
        <v>136</v>
      </c>
      <c r="G257">
        <v>62.3</v>
      </c>
      <c r="H257">
        <v>13</v>
      </c>
      <c r="I257">
        <v>0.1909600662006892</v>
      </c>
    </row>
    <row r="258" spans="5:9" x14ac:dyDescent="0.45">
      <c r="E258" s="20">
        <v>0.36</v>
      </c>
      <c r="F258">
        <v>115</v>
      </c>
      <c r="G258">
        <v>70.900000000000006</v>
      </c>
      <c r="H258">
        <v>10</v>
      </c>
      <c r="I258">
        <v>0.24738188192096169</v>
      </c>
    </row>
    <row r="259" spans="5:9" x14ac:dyDescent="0.45">
      <c r="E259" s="20">
        <v>0.36</v>
      </c>
      <c r="F259">
        <v>115</v>
      </c>
      <c r="G259">
        <v>70.900000000000006</v>
      </c>
      <c r="H259">
        <v>10</v>
      </c>
      <c r="I259">
        <v>0.23599589051889883</v>
      </c>
    </row>
    <row r="260" spans="5:9" x14ac:dyDescent="0.45">
      <c r="E260" s="20">
        <v>0.36</v>
      </c>
      <c r="F260">
        <v>131</v>
      </c>
      <c r="G260">
        <v>52.5</v>
      </c>
      <c r="H260">
        <v>3</v>
      </c>
      <c r="I260">
        <v>0.10461538461538464</v>
      </c>
    </row>
    <row r="261" spans="5:9" x14ac:dyDescent="0.45">
      <c r="E261" s="20">
        <v>0.37</v>
      </c>
      <c r="F261">
        <v>171</v>
      </c>
      <c r="G261">
        <v>62.6</v>
      </c>
      <c r="H261">
        <v>6</v>
      </c>
      <c r="I261">
        <v>0.18234905029449441</v>
      </c>
    </row>
    <row r="262" spans="5:9" x14ac:dyDescent="0.45">
      <c r="E262" s="20">
        <v>0.37</v>
      </c>
      <c r="F262">
        <v>122</v>
      </c>
      <c r="G262">
        <v>60.22</v>
      </c>
      <c r="H262">
        <v>13</v>
      </c>
      <c r="I262">
        <v>0.25210986401321728</v>
      </c>
    </row>
    <row r="263" spans="5:9" x14ac:dyDescent="0.45">
      <c r="E263" s="20">
        <v>0.37</v>
      </c>
      <c r="F263">
        <v>128</v>
      </c>
      <c r="G263">
        <v>60.21</v>
      </c>
      <c r="H263">
        <v>12</v>
      </c>
      <c r="I263">
        <v>0.25256691752498867</v>
      </c>
    </row>
    <row r="264" spans="5:9" x14ac:dyDescent="0.45">
      <c r="E264" s="20">
        <v>0.37</v>
      </c>
      <c r="F264">
        <v>169</v>
      </c>
      <c r="G264">
        <v>71.5</v>
      </c>
      <c r="H264">
        <v>11</v>
      </c>
      <c r="I264">
        <v>0.2942388914344431</v>
      </c>
    </row>
    <row r="265" spans="5:9" x14ac:dyDescent="0.45">
      <c r="E265" s="20">
        <v>0.37</v>
      </c>
      <c r="F265">
        <v>145</v>
      </c>
      <c r="G265">
        <v>59.68</v>
      </c>
      <c r="H265">
        <v>7</v>
      </c>
      <c r="I265">
        <v>0.2310246164421885</v>
      </c>
    </row>
    <row r="266" spans="5:9" x14ac:dyDescent="0.45">
      <c r="E266" s="20">
        <v>0.37</v>
      </c>
      <c r="F266">
        <v>149</v>
      </c>
      <c r="G266">
        <v>53</v>
      </c>
      <c r="H266">
        <v>5</v>
      </c>
      <c r="I266">
        <v>0.25071837244154793</v>
      </c>
    </row>
    <row r="267" spans="5:9" x14ac:dyDescent="0.45">
      <c r="E267" s="20">
        <v>0.37</v>
      </c>
      <c r="F267">
        <v>119</v>
      </c>
      <c r="G267">
        <v>63.6</v>
      </c>
      <c r="H267">
        <v>9</v>
      </c>
      <c r="I267">
        <v>0.23499393465882049</v>
      </c>
    </row>
    <row r="268" spans="5:9" x14ac:dyDescent="0.45">
      <c r="E268" s="20">
        <v>0.37</v>
      </c>
      <c r="F268">
        <v>141</v>
      </c>
      <c r="G268">
        <v>50.7</v>
      </c>
      <c r="H268">
        <v>12</v>
      </c>
      <c r="I268">
        <v>0.28404821435756999</v>
      </c>
    </row>
    <row r="269" spans="5:9" x14ac:dyDescent="0.45">
      <c r="E269" s="20">
        <v>0.37</v>
      </c>
      <c r="F269">
        <v>134</v>
      </c>
      <c r="G269">
        <v>51.8</v>
      </c>
      <c r="H269">
        <v>14</v>
      </c>
      <c r="I269">
        <v>0.19441495874024536</v>
      </c>
    </row>
    <row r="270" spans="5:9" x14ac:dyDescent="0.45">
      <c r="E270" s="20">
        <v>0.37</v>
      </c>
      <c r="F270">
        <v>162</v>
      </c>
      <c r="G270">
        <v>60.1</v>
      </c>
      <c r="H270">
        <v>6</v>
      </c>
      <c r="I270">
        <v>0.1827738871454746</v>
      </c>
    </row>
    <row r="271" spans="5:9" x14ac:dyDescent="0.45">
      <c r="E271" s="20">
        <v>0.37</v>
      </c>
      <c r="F271">
        <v>131</v>
      </c>
      <c r="G271">
        <v>54.9</v>
      </c>
      <c r="H271">
        <v>14</v>
      </c>
      <c r="I271">
        <v>0.24530270566074297</v>
      </c>
    </row>
    <row r="272" spans="5:9" x14ac:dyDescent="0.45">
      <c r="E272" s="20">
        <v>0.37</v>
      </c>
      <c r="F272">
        <v>137</v>
      </c>
      <c r="G272">
        <v>50.3</v>
      </c>
      <c r="H272">
        <v>10</v>
      </c>
      <c r="I272">
        <v>0.24505344159529538</v>
      </c>
    </row>
    <row r="273" spans="5:9" x14ac:dyDescent="0.45">
      <c r="E273" s="20">
        <v>0.37</v>
      </c>
      <c r="F273">
        <v>140</v>
      </c>
      <c r="G273">
        <v>51.4</v>
      </c>
      <c r="H273">
        <v>13</v>
      </c>
      <c r="I273">
        <v>0.18941943341174378</v>
      </c>
    </row>
    <row r="274" spans="5:9" x14ac:dyDescent="0.45">
      <c r="E274" s="20">
        <v>0.38</v>
      </c>
      <c r="F274">
        <v>126</v>
      </c>
      <c r="G274">
        <v>60.1</v>
      </c>
      <c r="H274">
        <v>7</v>
      </c>
      <c r="I274">
        <v>0.2031561126420002</v>
      </c>
    </row>
    <row r="275" spans="5:9" x14ac:dyDescent="0.45">
      <c r="E275" s="20">
        <v>0.38</v>
      </c>
      <c r="F275">
        <v>160</v>
      </c>
      <c r="G275">
        <v>63.2</v>
      </c>
      <c r="H275">
        <v>4</v>
      </c>
      <c r="I275">
        <v>0.21298024165329218</v>
      </c>
    </row>
    <row r="276" spans="5:9" x14ac:dyDescent="0.45">
      <c r="E276" s="20">
        <v>0.38</v>
      </c>
      <c r="F276">
        <v>165</v>
      </c>
      <c r="G276">
        <v>59.66</v>
      </c>
      <c r="H276">
        <v>10</v>
      </c>
      <c r="I276">
        <v>0.18839165429563071</v>
      </c>
    </row>
    <row r="277" spans="5:9" x14ac:dyDescent="0.45">
      <c r="E277" s="20">
        <v>0.38</v>
      </c>
      <c r="F277">
        <v>137</v>
      </c>
      <c r="G277">
        <v>51.7</v>
      </c>
      <c r="H277">
        <v>13</v>
      </c>
      <c r="I277">
        <v>0.26135138003103381</v>
      </c>
    </row>
    <row r="278" spans="5:9" x14ac:dyDescent="0.45">
      <c r="E278" s="20">
        <v>0.38</v>
      </c>
      <c r="F278">
        <v>131</v>
      </c>
      <c r="G278">
        <v>52.6</v>
      </c>
      <c r="H278">
        <v>8</v>
      </c>
      <c r="I278">
        <v>0.31096623911658799</v>
      </c>
    </row>
    <row r="279" spans="5:9" x14ac:dyDescent="0.45">
      <c r="E279" s="20">
        <v>0.38</v>
      </c>
      <c r="F279">
        <v>144</v>
      </c>
      <c r="G279">
        <v>59</v>
      </c>
      <c r="H279">
        <v>12</v>
      </c>
      <c r="I279">
        <v>0.20405766696387062</v>
      </c>
    </row>
    <row r="280" spans="5:9" x14ac:dyDescent="0.45">
      <c r="E280" s="20">
        <v>0.38</v>
      </c>
      <c r="F280">
        <v>188</v>
      </c>
      <c r="G280">
        <v>52.2</v>
      </c>
      <c r="H280">
        <v>8</v>
      </c>
      <c r="I280">
        <v>0.1943669432670701</v>
      </c>
    </row>
    <row r="281" spans="5:9" x14ac:dyDescent="0.45">
      <c r="E281" s="20">
        <v>0.38</v>
      </c>
      <c r="F281">
        <v>113</v>
      </c>
      <c r="G281">
        <v>50.7</v>
      </c>
      <c r="H281">
        <v>2</v>
      </c>
      <c r="I281">
        <v>0.14661266303167428</v>
      </c>
    </row>
    <row r="282" spans="5:9" x14ac:dyDescent="0.45">
      <c r="E282" s="20">
        <v>0.38</v>
      </c>
      <c r="F282">
        <v>115</v>
      </c>
      <c r="G282">
        <v>52.3</v>
      </c>
      <c r="H282">
        <v>7</v>
      </c>
      <c r="I282">
        <v>0.19297244304569117</v>
      </c>
    </row>
    <row r="283" spans="5:9" x14ac:dyDescent="0.45">
      <c r="E283" s="20">
        <v>0.39</v>
      </c>
      <c r="F283">
        <v>157</v>
      </c>
      <c r="G283">
        <v>61.3</v>
      </c>
      <c r="H283">
        <v>9</v>
      </c>
      <c r="I283">
        <v>0.26822856481931245</v>
      </c>
    </row>
    <row r="284" spans="5:9" x14ac:dyDescent="0.45">
      <c r="E284" s="20">
        <v>0.39</v>
      </c>
      <c r="F284">
        <v>144</v>
      </c>
      <c r="G284">
        <v>52.8</v>
      </c>
      <c r="H284">
        <v>0</v>
      </c>
      <c r="I284">
        <v>0.22099690313637757</v>
      </c>
    </row>
    <row r="285" spans="5:9" x14ac:dyDescent="0.45">
      <c r="E285" s="20">
        <v>0.39</v>
      </c>
      <c r="F285">
        <v>150</v>
      </c>
      <c r="G285">
        <v>51.5</v>
      </c>
      <c r="H285">
        <v>12</v>
      </c>
      <c r="I285">
        <v>0.25303555516494491</v>
      </c>
    </row>
    <row r="286" spans="5:9" x14ac:dyDescent="0.45">
      <c r="E286" s="20">
        <v>0.39</v>
      </c>
      <c r="F286">
        <v>139</v>
      </c>
      <c r="G286">
        <v>72.3</v>
      </c>
      <c r="H286">
        <v>10</v>
      </c>
      <c r="I286">
        <v>0.30309838903453334</v>
      </c>
    </row>
    <row r="287" spans="5:9" x14ac:dyDescent="0.45">
      <c r="E287" s="20">
        <v>0.4</v>
      </c>
      <c r="F287">
        <v>151</v>
      </c>
      <c r="G287">
        <v>65.3</v>
      </c>
      <c r="H287">
        <v>11</v>
      </c>
      <c r="I287">
        <v>0.21565420504422525</v>
      </c>
    </row>
    <row r="288" spans="5:9" x14ac:dyDescent="0.45">
      <c r="E288" s="20">
        <v>0.4</v>
      </c>
      <c r="F288">
        <v>174</v>
      </c>
      <c r="G288">
        <v>52.1</v>
      </c>
      <c r="H288">
        <v>6</v>
      </c>
      <c r="I288">
        <v>0.22816200191603195</v>
      </c>
    </row>
    <row r="289" spans="5:9" x14ac:dyDescent="0.45">
      <c r="E289" s="20">
        <v>0.4</v>
      </c>
      <c r="F289">
        <v>182</v>
      </c>
      <c r="G289">
        <v>57.5</v>
      </c>
      <c r="H289">
        <v>8</v>
      </c>
      <c r="I289">
        <v>0.22315207097031869</v>
      </c>
    </row>
    <row r="290" spans="5:9" x14ac:dyDescent="0.45">
      <c r="E290" s="20">
        <v>0.4</v>
      </c>
      <c r="F290">
        <v>159</v>
      </c>
      <c r="G290">
        <v>61.5</v>
      </c>
      <c r="H290">
        <v>8</v>
      </c>
      <c r="I290">
        <v>0.17227253667081538</v>
      </c>
    </row>
    <row r="291" spans="5:9" x14ac:dyDescent="0.45">
      <c r="E291" s="20">
        <v>0.4</v>
      </c>
      <c r="F291">
        <v>194</v>
      </c>
      <c r="G291">
        <v>57.3</v>
      </c>
      <c r="H291">
        <v>15</v>
      </c>
      <c r="I291">
        <v>0.21325034789961816</v>
      </c>
    </row>
    <row r="292" spans="5:9" x14ac:dyDescent="0.45">
      <c r="E292" s="20">
        <v>0.4</v>
      </c>
      <c r="F292">
        <v>190</v>
      </c>
      <c r="G292">
        <v>62.8</v>
      </c>
      <c r="H292">
        <v>8</v>
      </c>
      <c r="I292">
        <v>0.33057104939296339</v>
      </c>
    </row>
    <row r="293" spans="5:9" x14ac:dyDescent="0.45">
      <c r="E293" s="20">
        <v>0.4</v>
      </c>
      <c r="F293">
        <v>133</v>
      </c>
      <c r="G293">
        <v>51.7</v>
      </c>
      <c r="H293">
        <v>13</v>
      </c>
      <c r="I293">
        <v>0.24019596625762191</v>
      </c>
    </row>
    <row r="294" spans="5:9" x14ac:dyDescent="0.45">
      <c r="E294" s="20">
        <v>0.41</v>
      </c>
      <c r="F294">
        <v>161</v>
      </c>
      <c r="G294">
        <v>64.5</v>
      </c>
      <c r="H294">
        <v>11</v>
      </c>
      <c r="I294">
        <v>0.18212560101551833</v>
      </c>
    </row>
    <row r="295" spans="5:9" x14ac:dyDescent="0.45">
      <c r="E295" s="20">
        <v>0.41</v>
      </c>
      <c r="F295">
        <v>119</v>
      </c>
      <c r="G295">
        <v>50.7</v>
      </c>
      <c r="H295">
        <v>9</v>
      </c>
      <c r="I295">
        <v>0.23406211168374469</v>
      </c>
    </row>
    <row r="296" spans="5:9" x14ac:dyDescent="0.45">
      <c r="E296" s="20">
        <v>0.41</v>
      </c>
      <c r="F296">
        <v>120</v>
      </c>
      <c r="G296">
        <v>49.5</v>
      </c>
      <c r="H296">
        <v>15</v>
      </c>
      <c r="I296">
        <v>0.26012672731501163</v>
      </c>
    </row>
    <row r="297" spans="5:9" x14ac:dyDescent="0.45">
      <c r="E297" s="20">
        <v>0.41</v>
      </c>
      <c r="F297">
        <v>164</v>
      </c>
      <c r="G297">
        <v>63.8</v>
      </c>
      <c r="H297">
        <v>9</v>
      </c>
      <c r="I297">
        <v>0.21834308445754944</v>
      </c>
    </row>
    <row r="298" spans="5:9" x14ac:dyDescent="0.45">
      <c r="E298" s="20">
        <v>0.41</v>
      </c>
      <c r="F298">
        <v>146</v>
      </c>
      <c r="G298">
        <v>50.9</v>
      </c>
      <c r="H298">
        <v>9</v>
      </c>
      <c r="I298">
        <v>0.26190542676279022</v>
      </c>
    </row>
    <row r="299" spans="5:9" x14ac:dyDescent="0.45">
      <c r="E299" s="20">
        <v>0.42</v>
      </c>
      <c r="F299">
        <v>255</v>
      </c>
      <c r="G299">
        <v>65.3</v>
      </c>
      <c r="H299">
        <v>12</v>
      </c>
      <c r="I299">
        <v>0.13812060496739284</v>
      </c>
    </row>
    <row r="300" spans="5:9" x14ac:dyDescent="0.45">
      <c r="E300" s="20">
        <v>0.42</v>
      </c>
      <c r="F300">
        <v>163</v>
      </c>
      <c r="G300">
        <v>60.21</v>
      </c>
      <c r="H300">
        <v>5</v>
      </c>
      <c r="I300">
        <v>0.20395202803242082</v>
      </c>
    </row>
    <row r="301" spans="5:9" x14ac:dyDescent="0.45">
      <c r="E301" s="20">
        <v>0.42</v>
      </c>
      <c r="F301">
        <v>158</v>
      </c>
      <c r="G301">
        <v>52.6</v>
      </c>
      <c r="H301">
        <v>10</v>
      </c>
      <c r="I301">
        <v>0.23421761581413472</v>
      </c>
    </row>
    <row r="302" spans="5:9" x14ac:dyDescent="0.45">
      <c r="E302" s="20">
        <v>0.43</v>
      </c>
      <c r="F302">
        <v>138</v>
      </c>
      <c r="G302">
        <v>51.1</v>
      </c>
      <c r="H302">
        <v>12</v>
      </c>
      <c r="I302">
        <v>0.21462015398451922</v>
      </c>
    </row>
    <row r="303" spans="5:9" x14ac:dyDescent="0.45">
      <c r="E303" s="20">
        <v>0.44</v>
      </c>
      <c r="F303">
        <v>158</v>
      </c>
      <c r="G303">
        <v>60.25</v>
      </c>
      <c r="H303">
        <v>8</v>
      </c>
      <c r="I303">
        <v>0.19391176945088878</v>
      </c>
    </row>
    <row r="304" spans="5:9" x14ac:dyDescent="0.45">
      <c r="E304" s="20">
        <v>0.44</v>
      </c>
      <c r="F304">
        <v>162</v>
      </c>
      <c r="G304">
        <v>59.3</v>
      </c>
      <c r="H304">
        <v>10</v>
      </c>
      <c r="I304">
        <v>0.18170324817072214</v>
      </c>
    </row>
    <row r="305" spans="5:9" x14ac:dyDescent="0.45">
      <c r="E305" s="20">
        <v>0.45</v>
      </c>
      <c r="F305">
        <v>136</v>
      </c>
      <c r="G305">
        <v>56.4</v>
      </c>
      <c r="H305">
        <v>9</v>
      </c>
      <c r="I305">
        <v>0.24828366127352161</v>
      </c>
    </row>
    <row r="306" spans="5:9" x14ac:dyDescent="0.45">
      <c r="E306" s="20">
        <v>0.46</v>
      </c>
      <c r="F306">
        <v>128</v>
      </c>
      <c r="G306">
        <v>71.900000000000006</v>
      </c>
      <c r="H306">
        <v>11</v>
      </c>
      <c r="I306">
        <v>0.23206832296798213</v>
      </c>
    </row>
    <row r="307" spans="5:9" x14ac:dyDescent="0.45">
      <c r="E307" s="20">
        <v>0.46</v>
      </c>
      <c r="F307">
        <v>163</v>
      </c>
      <c r="G307">
        <v>67.099999999999994</v>
      </c>
      <c r="H307">
        <v>13</v>
      </c>
      <c r="I307">
        <v>0.20305531369468352</v>
      </c>
    </row>
    <row r="308" spans="5:9" x14ac:dyDescent="0.45">
      <c r="E308" s="20">
        <v>0.46</v>
      </c>
      <c r="F308">
        <v>127</v>
      </c>
      <c r="G308">
        <v>72.400000000000006</v>
      </c>
      <c r="H308">
        <v>9</v>
      </c>
      <c r="I308">
        <v>0.20243221530929009</v>
      </c>
    </row>
    <row r="309" spans="5:9" x14ac:dyDescent="0.45">
      <c r="E309" s="20">
        <v>0.47</v>
      </c>
      <c r="F309">
        <v>161</v>
      </c>
      <c r="G309">
        <v>61.2</v>
      </c>
      <c r="H309">
        <v>8</v>
      </c>
      <c r="I309">
        <v>0.21463706072897612</v>
      </c>
    </row>
    <row r="310" spans="5:9" x14ac:dyDescent="0.45">
      <c r="E310" s="20">
        <v>0.47</v>
      </c>
      <c r="F310">
        <v>163</v>
      </c>
      <c r="G310">
        <v>63.2</v>
      </c>
      <c r="H310">
        <v>9</v>
      </c>
      <c r="I310">
        <v>0.24329454914526846</v>
      </c>
    </row>
    <row r="311" spans="5:9" x14ac:dyDescent="0.45">
      <c r="E311" s="20">
        <v>0.49</v>
      </c>
      <c r="F311">
        <v>175</v>
      </c>
      <c r="G311">
        <v>64.2</v>
      </c>
      <c r="H311">
        <v>11</v>
      </c>
      <c r="I311">
        <v>0.19832207198008295</v>
      </c>
    </row>
    <row r="312" spans="5:9" x14ac:dyDescent="0.45">
      <c r="E312" s="20">
        <v>0.5</v>
      </c>
      <c r="F312">
        <v>168</v>
      </c>
      <c r="G312">
        <v>59.9</v>
      </c>
      <c r="H312">
        <v>3</v>
      </c>
      <c r="I312">
        <v>0.19176926863858759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8734-BFB6-4D05-9536-C3170B4E6BDE}">
  <dimension ref="D1:H304"/>
  <sheetViews>
    <sheetView topLeftCell="A280" workbookViewId="0">
      <selection activeCell="D302" sqref="D302:H302"/>
    </sheetView>
  </sheetViews>
  <sheetFormatPr defaultRowHeight="14.25" x14ac:dyDescent="0.45"/>
  <cols>
    <col min="4" max="4" width="9.06640625" style="8"/>
    <col min="8" max="8" width="12" style="15" customWidth="1"/>
  </cols>
  <sheetData>
    <row r="1" spans="4:8" x14ac:dyDescent="0.45">
      <c r="D1" s="8" t="s">
        <v>1</v>
      </c>
      <c r="E1" t="s">
        <v>4</v>
      </c>
      <c r="F1" t="s">
        <v>5</v>
      </c>
      <c r="G1" t="s">
        <v>7</v>
      </c>
      <c r="H1" s="15" t="s">
        <v>26</v>
      </c>
    </row>
    <row r="2" spans="4:8" x14ac:dyDescent="0.45">
      <c r="D2" s="8">
        <v>0.21</v>
      </c>
      <c r="E2">
        <v>6400</v>
      </c>
      <c r="F2">
        <v>8</v>
      </c>
      <c r="G2" s="12">
        <v>62.2</v>
      </c>
      <c r="H2" s="15">
        <v>0.18429550899164512</v>
      </c>
    </row>
    <row r="3" spans="4:8" x14ac:dyDescent="0.45">
      <c r="D3" s="8">
        <v>0.22</v>
      </c>
      <c r="E3">
        <v>4900</v>
      </c>
      <c r="F3">
        <v>1</v>
      </c>
      <c r="G3" s="12">
        <v>53</v>
      </c>
      <c r="H3" s="15">
        <v>0.11355555555555555</v>
      </c>
    </row>
    <row r="4" spans="4:8" x14ac:dyDescent="0.45">
      <c r="D4" s="8">
        <v>0.24</v>
      </c>
      <c r="E4">
        <v>6300</v>
      </c>
      <c r="F4">
        <v>13</v>
      </c>
      <c r="G4" s="12">
        <v>61.3</v>
      </c>
      <c r="H4" s="15">
        <v>0.17182331684287255</v>
      </c>
    </row>
    <row r="5" spans="4:8" x14ac:dyDescent="0.45">
      <c r="D5" s="8">
        <v>0.24</v>
      </c>
      <c r="E5">
        <v>6500</v>
      </c>
      <c r="F5">
        <v>13</v>
      </c>
      <c r="G5" s="12">
        <v>56.2</v>
      </c>
      <c r="H5" s="15">
        <v>0.23121266104020247</v>
      </c>
    </row>
    <row r="6" spans="4:8" x14ac:dyDescent="0.45">
      <c r="D6" s="8">
        <v>0.25</v>
      </c>
      <c r="E6">
        <v>6500</v>
      </c>
      <c r="F6">
        <v>10</v>
      </c>
      <c r="G6" s="12">
        <v>54.3</v>
      </c>
      <c r="H6" s="15">
        <v>0.26967200059164387</v>
      </c>
    </row>
    <row r="7" spans="4:8" x14ac:dyDescent="0.45">
      <c r="D7" s="8">
        <v>0.26</v>
      </c>
      <c r="E7">
        <v>6100</v>
      </c>
      <c r="F7">
        <v>5</v>
      </c>
      <c r="G7" s="12">
        <v>61.25</v>
      </c>
      <c r="H7" s="15">
        <v>0.25015229744044992</v>
      </c>
    </row>
    <row r="8" spans="4:8" x14ac:dyDescent="0.45">
      <c r="D8" s="8">
        <v>0.26</v>
      </c>
      <c r="E8">
        <v>5600</v>
      </c>
      <c r="F8">
        <v>8</v>
      </c>
      <c r="G8" s="12">
        <v>53.2</v>
      </c>
      <c r="H8" s="15">
        <v>3.586776859504133E-2</v>
      </c>
    </row>
    <row r="9" spans="4:8" x14ac:dyDescent="0.45">
      <c r="D9" s="8">
        <v>0.27</v>
      </c>
      <c r="E9">
        <v>6600</v>
      </c>
      <c r="F9">
        <v>10</v>
      </c>
      <c r="G9" s="12">
        <v>60.26</v>
      </c>
      <c r="H9" s="15">
        <v>0.2828451407504744</v>
      </c>
    </row>
    <row r="10" spans="4:8" x14ac:dyDescent="0.45">
      <c r="D10" s="8">
        <v>0.27</v>
      </c>
      <c r="E10">
        <v>4400</v>
      </c>
      <c r="F10">
        <v>2</v>
      </c>
      <c r="G10" s="12">
        <v>53</v>
      </c>
      <c r="H10" s="15">
        <v>0.26450492235564405</v>
      </c>
    </row>
    <row r="11" spans="4:8" x14ac:dyDescent="0.45">
      <c r="D11" s="8">
        <v>0.28000000000000003</v>
      </c>
      <c r="E11">
        <v>6600</v>
      </c>
      <c r="F11">
        <v>11</v>
      </c>
      <c r="G11" s="12">
        <v>61.58</v>
      </c>
      <c r="H11" s="15">
        <v>0.20339124026412317</v>
      </c>
    </row>
    <row r="12" spans="4:8" x14ac:dyDescent="0.45">
      <c r="D12" s="8">
        <v>0.28000000000000003</v>
      </c>
      <c r="E12">
        <v>7400</v>
      </c>
      <c r="F12">
        <v>13</v>
      </c>
      <c r="G12" s="12">
        <v>52.7</v>
      </c>
      <c r="H12" s="15">
        <v>0.12599999999999997</v>
      </c>
    </row>
    <row r="13" spans="4:8" x14ac:dyDescent="0.45">
      <c r="D13" s="8">
        <v>0.28000000000000003</v>
      </c>
      <c r="E13">
        <v>9200</v>
      </c>
      <c r="F13">
        <v>7</v>
      </c>
      <c r="G13" s="12">
        <v>30</v>
      </c>
      <c r="H13" s="15">
        <v>9.6415094339622642E-2</v>
      </c>
    </row>
    <row r="14" spans="4:8" x14ac:dyDescent="0.45">
      <c r="D14" s="8">
        <v>0.28000000000000003</v>
      </c>
      <c r="E14">
        <v>7800</v>
      </c>
      <c r="F14">
        <v>13</v>
      </c>
      <c r="G14" s="12">
        <v>52.8</v>
      </c>
      <c r="H14" s="15">
        <v>9.4444444444444456E-2</v>
      </c>
    </row>
    <row r="15" spans="4:8" x14ac:dyDescent="0.45">
      <c r="D15" s="8">
        <v>0.28000000000000003</v>
      </c>
      <c r="E15">
        <v>7900</v>
      </c>
      <c r="F15">
        <v>12</v>
      </c>
      <c r="G15" s="12">
        <v>59.3</v>
      </c>
      <c r="H15" s="15">
        <v>8.8965517241379299E-2</v>
      </c>
    </row>
    <row r="16" spans="4:8" x14ac:dyDescent="0.45">
      <c r="D16" s="8">
        <v>0.28000000000000003</v>
      </c>
      <c r="E16">
        <v>8200</v>
      </c>
      <c r="F16">
        <v>12</v>
      </c>
      <c r="G16" s="12">
        <v>50.6</v>
      </c>
      <c r="H16" s="15">
        <v>8.7258064516129039E-2</v>
      </c>
    </row>
    <row r="17" spans="4:8" x14ac:dyDescent="0.45">
      <c r="D17" s="8">
        <v>0.28000000000000003</v>
      </c>
      <c r="E17">
        <v>7900</v>
      </c>
      <c r="F17">
        <v>12</v>
      </c>
      <c r="G17" s="12">
        <v>50.8</v>
      </c>
      <c r="H17" s="15">
        <v>7.5694444444444439E-2</v>
      </c>
    </row>
    <row r="18" spans="4:8" x14ac:dyDescent="0.45">
      <c r="D18" s="8">
        <v>0.28999999999999998</v>
      </c>
      <c r="E18">
        <v>6300</v>
      </c>
      <c r="F18">
        <v>11</v>
      </c>
      <c r="G18" s="12">
        <v>62.1</v>
      </c>
      <c r="H18" s="15">
        <v>0.19288145055303219</v>
      </c>
    </row>
    <row r="19" spans="4:8" x14ac:dyDescent="0.45">
      <c r="D19" s="8">
        <v>0.28999999999999998</v>
      </c>
      <c r="E19">
        <v>6500</v>
      </c>
      <c r="F19">
        <v>8</v>
      </c>
      <c r="G19" s="12">
        <v>61.3</v>
      </c>
      <c r="H19" s="15">
        <v>0.21682189124884074</v>
      </c>
    </row>
    <row r="20" spans="4:8" x14ac:dyDescent="0.45">
      <c r="D20" s="8">
        <v>0.28999999999999998</v>
      </c>
      <c r="E20">
        <v>6500</v>
      </c>
      <c r="F20">
        <v>12</v>
      </c>
      <c r="G20" s="12">
        <v>56.8</v>
      </c>
      <c r="H20" s="15">
        <v>0.22142403336410948</v>
      </c>
    </row>
    <row r="21" spans="4:8" x14ac:dyDescent="0.45">
      <c r="D21" s="8">
        <v>0.28999999999999998</v>
      </c>
      <c r="E21">
        <v>6700</v>
      </c>
      <c r="F21">
        <v>10</v>
      </c>
      <c r="G21" s="12">
        <v>52.5</v>
      </c>
      <c r="H21" s="15">
        <v>0.14733447561766552</v>
      </c>
    </row>
    <row r="22" spans="4:8" x14ac:dyDescent="0.45">
      <c r="D22" s="8">
        <v>0.28999999999999998</v>
      </c>
      <c r="E22">
        <v>6300</v>
      </c>
      <c r="F22">
        <v>11</v>
      </c>
      <c r="G22" s="12">
        <v>63.78</v>
      </c>
      <c r="H22" s="15">
        <v>0.27324709747521603</v>
      </c>
    </row>
    <row r="23" spans="4:8" x14ac:dyDescent="0.45">
      <c r="D23" s="8">
        <v>0.28999999999999998</v>
      </c>
      <c r="E23">
        <v>6300</v>
      </c>
      <c r="F23">
        <v>10</v>
      </c>
      <c r="G23" s="12">
        <v>62.8</v>
      </c>
      <c r="H23" s="15">
        <v>0.21499337711882005</v>
      </c>
    </row>
    <row r="24" spans="4:8" x14ac:dyDescent="0.45">
      <c r="D24" s="8">
        <v>0.28999999999999998</v>
      </c>
      <c r="E24">
        <v>6600</v>
      </c>
      <c r="F24">
        <v>13</v>
      </c>
      <c r="G24" s="12">
        <v>56.2</v>
      </c>
      <c r="H24" s="15">
        <v>0.2209978636121277</v>
      </c>
    </row>
    <row r="25" spans="4:8" x14ac:dyDescent="0.45">
      <c r="D25" s="8">
        <v>0.28999999999999998</v>
      </c>
      <c r="E25">
        <v>6500</v>
      </c>
      <c r="F25">
        <v>6</v>
      </c>
      <c r="G25" s="12">
        <v>58.9</v>
      </c>
      <c r="H25" s="15">
        <v>0.18576537825908587</v>
      </c>
    </row>
    <row r="26" spans="4:8" x14ac:dyDescent="0.45">
      <c r="D26" s="8">
        <v>0.28999999999999998</v>
      </c>
      <c r="E26">
        <v>6400</v>
      </c>
      <c r="F26">
        <v>11</v>
      </c>
      <c r="G26" s="12">
        <v>61.28</v>
      </c>
      <c r="H26" s="15">
        <v>0.29112997017741371</v>
      </c>
    </row>
    <row r="27" spans="4:8" x14ac:dyDescent="0.45">
      <c r="D27" s="8">
        <v>0.28999999999999998</v>
      </c>
      <c r="E27">
        <v>6900</v>
      </c>
      <c r="F27">
        <v>15</v>
      </c>
      <c r="G27" s="12">
        <v>57.7</v>
      </c>
      <c r="H27" s="15">
        <v>0.26736494018436174</v>
      </c>
    </row>
    <row r="28" spans="4:8" x14ac:dyDescent="0.45">
      <c r="D28" s="8">
        <v>0.28999999999999998</v>
      </c>
      <c r="E28">
        <v>6600</v>
      </c>
      <c r="F28">
        <v>10</v>
      </c>
      <c r="G28" s="12">
        <v>56.3</v>
      </c>
      <c r="H28" s="15">
        <v>0.20304465080076375</v>
      </c>
    </row>
    <row r="29" spans="4:8" x14ac:dyDescent="0.45">
      <c r="D29" s="8">
        <v>0.28999999999999998</v>
      </c>
      <c r="E29">
        <v>4600</v>
      </c>
      <c r="F29">
        <v>6</v>
      </c>
      <c r="G29" s="12">
        <v>52</v>
      </c>
      <c r="H29" s="15">
        <v>0.17409859371842926</v>
      </c>
    </row>
    <row r="30" spans="4:8" x14ac:dyDescent="0.45">
      <c r="D30" s="8">
        <v>0.28999999999999998</v>
      </c>
      <c r="E30">
        <v>7200</v>
      </c>
      <c r="F30">
        <v>13</v>
      </c>
      <c r="G30" s="12">
        <v>57.7</v>
      </c>
      <c r="H30" s="15">
        <v>0.14564102564102563</v>
      </c>
    </row>
    <row r="31" spans="4:8" x14ac:dyDescent="0.45">
      <c r="D31" s="8">
        <v>0.28999999999999998</v>
      </c>
      <c r="E31">
        <v>8800</v>
      </c>
      <c r="F31">
        <v>13</v>
      </c>
      <c r="G31" s="12">
        <v>69.7</v>
      </c>
      <c r="H31" s="15">
        <v>0.17030303030303029</v>
      </c>
    </row>
    <row r="32" spans="4:8" x14ac:dyDescent="0.45">
      <c r="D32" s="8">
        <v>0.28999999999999998</v>
      </c>
      <c r="E32">
        <v>9200</v>
      </c>
      <c r="F32">
        <v>13</v>
      </c>
      <c r="G32" s="12">
        <v>72</v>
      </c>
      <c r="H32" s="15">
        <v>0.16558823529411767</v>
      </c>
    </row>
    <row r="33" spans="4:8" x14ac:dyDescent="0.45">
      <c r="D33" s="8">
        <v>0.28999999999999998</v>
      </c>
      <c r="E33">
        <v>9400</v>
      </c>
      <c r="F33">
        <v>13</v>
      </c>
      <c r="G33" s="12">
        <v>52.6</v>
      </c>
      <c r="H33" s="15">
        <v>0.13459459459459458</v>
      </c>
    </row>
    <row r="34" spans="4:8" x14ac:dyDescent="0.45">
      <c r="D34" s="8">
        <v>0.28999999999999998</v>
      </c>
      <c r="E34">
        <v>7300</v>
      </c>
      <c r="F34">
        <v>13</v>
      </c>
      <c r="G34" s="12">
        <v>51.2</v>
      </c>
      <c r="H34" s="15">
        <v>0.14789473684210525</v>
      </c>
    </row>
    <row r="35" spans="4:8" x14ac:dyDescent="0.45">
      <c r="D35" s="8">
        <v>0.28999999999999998</v>
      </c>
      <c r="E35">
        <v>9900</v>
      </c>
      <c r="F35">
        <v>11</v>
      </c>
      <c r="G35" s="12">
        <v>51</v>
      </c>
      <c r="H35" s="15">
        <v>0.11581395348837208</v>
      </c>
    </row>
    <row r="36" spans="4:8" x14ac:dyDescent="0.45">
      <c r="D36" s="8">
        <v>0.28999999999999998</v>
      </c>
      <c r="E36">
        <v>7900</v>
      </c>
      <c r="F36">
        <v>12</v>
      </c>
      <c r="G36" s="12">
        <v>52</v>
      </c>
      <c r="H36" s="15">
        <v>0.12088235294117648</v>
      </c>
    </row>
    <row r="37" spans="4:8" x14ac:dyDescent="0.45">
      <c r="D37" s="8">
        <v>0.28999999999999998</v>
      </c>
      <c r="E37">
        <v>7600</v>
      </c>
      <c r="F37">
        <v>13</v>
      </c>
      <c r="G37" s="12">
        <v>52.6</v>
      </c>
      <c r="H37" s="15">
        <v>0.17343749999999997</v>
      </c>
    </row>
    <row r="38" spans="4:8" x14ac:dyDescent="0.45">
      <c r="D38" s="8">
        <v>0.28999999999999998</v>
      </c>
      <c r="E38">
        <v>7500</v>
      </c>
      <c r="F38">
        <v>13</v>
      </c>
      <c r="G38" s="12">
        <v>53.4</v>
      </c>
      <c r="H38" s="15">
        <v>0.11585365853658534</v>
      </c>
    </row>
    <row r="39" spans="4:8" x14ac:dyDescent="0.45">
      <c r="D39" s="8">
        <v>0.28999999999999998</v>
      </c>
      <c r="E39">
        <v>7800</v>
      </c>
      <c r="F39">
        <v>13</v>
      </c>
      <c r="G39" s="12">
        <v>49.9</v>
      </c>
      <c r="H39" s="15">
        <v>0.13243902439024391</v>
      </c>
    </row>
    <row r="40" spans="4:8" x14ac:dyDescent="0.45">
      <c r="D40" s="11">
        <v>0.28999999999999998</v>
      </c>
      <c r="E40" s="5">
        <v>7500</v>
      </c>
      <c r="F40" s="5">
        <v>13</v>
      </c>
      <c r="G40" s="12">
        <v>56.5</v>
      </c>
      <c r="H40" s="16">
        <v>0.14499999999999999</v>
      </c>
    </row>
    <row r="41" spans="4:8" x14ac:dyDescent="0.45">
      <c r="D41" s="11">
        <v>0.28999999999999998</v>
      </c>
      <c r="E41" s="5">
        <v>7500</v>
      </c>
      <c r="F41" s="5">
        <v>12</v>
      </c>
      <c r="G41" s="12">
        <v>54.9</v>
      </c>
      <c r="H41" s="16">
        <v>0.15285714285714286</v>
      </c>
    </row>
    <row r="42" spans="4:8" x14ac:dyDescent="0.45">
      <c r="D42" s="11">
        <v>0.28999999999999998</v>
      </c>
      <c r="E42" s="5">
        <v>7600</v>
      </c>
      <c r="F42" s="5">
        <v>13</v>
      </c>
      <c r="G42" s="12">
        <v>52.4</v>
      </c>
      <c r="H42" s="16">
        <v>0.12181818181818183</v>
      </c>
    </row>
    <row r="43" spans="4:8" x14ac:dyDescent="0.45">
      <c r="D43" s="11">
        <v>0.28999999999999998</v>
      </c>
      <c r="E43" s="5">
        <v>9200</v>
      </c>
      <c r="F43" s="5">
        <v>9</v>
      </c>
      <c r="G43" s="12">
        <v>52</v>
      </c>
      <c r="H43" s="16">
        <v>6.01219512195122E-2</v>
      </c>
    </row>
    <row r="44" spans="4:8" x14ac:dyDescent="0.45">
      <c r="D44" s="11">
        <v>0.28999999999999998</v>
      </c>
      <c r="E44" s="5">
        <v>9500</v>
      </c>
      <c r="F44" s="5">
        <v>13</v>
      </c>
      <c r="G44" s="12">
        <v>55</v>
      </c>
      <c r="H44" s="16">
        <v>0.13633333333333336</v>
      </c>
    </row>
    <row r="45" spans="4:8" x14ac:dyDescent="0.45">
      <c r="D45" s="11">
        <v>0.28999999999999998</v>
      </c>
      <c r="E45" s="5">
        <v>7900</v>
      </c>
      <c r="F45" s="5">
        <v>12</v>
      </c>
      <c r="G45" s="12">
        <v>68.3</v>
      </c>
      <c r="H45" s="16">
        <v>9.6153846153846173E-2</v>
      </c>
    </row>
    <row r="46" spans="4:8" x14ac:dyDescent="0.45">
      <c r="D46" s="11">
        <v>0.28999999999999998</v>
      </c>
      <c r="E46" s="5">
        <v>7800</v>
      </c>
      <c r="F46" s="5">
        <v>13</v>
      </c>
      <c r="G46" s="12">
        <v>54.6</v>
      </c>
      <c r="H46" s="16">
        <v>0.11695652173913045</v>
      </c>
    </row>
    <row r="47" spans="4:8" x14ac:dyDescent="0.45">
      <c r="D47" s="11">
        <v>0.3</v>
      </c>
      <c r="E47" s="5">
        <v>6500</v>
      </c>
      <c r="F47" s="5">
        <v>9</v>
      </c>
      <c r="G47" s="12">
        <v>62.5</v>
      </c>
      <c r="H47" s="16">
        <v>0.23576166262543125</v>
      </c>
    </row>
    <row r="48" spans="4:8" x14ac:dyDescent="0.45">
      <c r="D48" s="11">
        <v>0.3</v>
      </c>
      <c r="E48" s="5">
        <v>6600</v>
      </c>
      <c r="F48" s="5">
        <v>9</v>
      </c>
      <c r="G48" s="12">
        <v>55.3</v>
      </c>
      <c r="H48" s="16">
        <v>0.1792702591135136</v>
      </c>
    </row>
    <row r="49" spans="4:8" x14ac:dyDescent="0.45">
      <c r="D49" s="11">
        <v>0.3</v>
      </c>
      <c r="E49" s="5">
        <v>6600</v>
      </c>
      <c r="F49" s="5">
        <v>7</v>
      </c>
      <c r="G49" s="12">
        <v>50.9</v>
      </c>
      <c r="H49" s="16">
        <v>0.21909506638843021</v>
      </c>
    </row>
    <row r="50" spans="4:8" x14ac:dyDescent="0.45">
      <c r="D50" s="11">
        <v>0.3</v>
      </c>
      <c r="E50" s="5">
        <v>6500</v>
      </c>
      <c r="F50" s="5">
        <v>10</v>
      </c>
      <c r="G50" s="12">
        <v>61.3</v>
      </c>
      <c r="H50" s="16">
        <v>0.21040473631326603</v>
      </c>
    </row>
    <row r="51" spans="4:8" x14ac:dyDescent="0.45">
      <c r="D51" s="11">
        <v>0.3</v>
      </c>
      <c r="E51" s="6">
        <v>6300</v>
      </c>
      <c r="F51" s="6">
        <v>12</v>
      </c>
      <c r="G51" s="13">
        <v>60.31</v>
      </c>
      <c r="H51" s="17">
        <v>0.19393984282281487</v>
      </c>
    </row>
    <row r="52" spans="4:8" x14ac:dyDescent="0.45">
      <c r="D52" s="11">
        <v>0.3</v>
      </c>
      <c r="E52" s="5">
        <v>6400</v>
      </c>
      <c r="F52" s="5">
        <v>12</v>
      </c>
      <c r="G52" s="12">
        <v>60.58</v>
      </c>
      <c r="H52" s="16">
        <v>0.26856965568185298</v>
      </c>
    </row>
    <row r="53" spans="4:8" x14ac:dyDescent="0.45">
      <c r="D53" s="11">
        <v>0.3</v>
      </c>
      <c r="E53" s="5">
        <v>6500</v>
      </c>
      <c r="F53" s="5">
        <v>8</v>
      </c>
      <c r="G53" s="12">
        <v>64.3</v>
      </c>
      <c r="H53" s="16">
        <v>0.2101168024754328</v>
      </c>
    </row>
    <row r="54" spans="4:8" x14ac:dyDescent="0.45">
      <c r="D54" s="11">
        <v>0.3</v>
      </c>
      <c r="E54" s="5">
        <v>6500</v>
      </c>
      <c r="F54" s="5">
        <v>7</v>
      </c>
      <c r="G54" s="12">
        <v>61.3</v>
      </c>
      <c r="H54" s="16">
        <v>0.26529025337737444</v>
      </c>
    </row>
    <row r="55" spans="4:8" x14ac:dyDescent="0.45">
      <c r="D55" s="11">
        <v>0.3</v>
      </c>
      <c r="E55" s="5">
        <v>6300</v>
      </c>
      <c r="F55" s="5">
        <v>10</v>
      </c>
      <c r="G55" s="12">
        <v>62</v>
      </c>
      <c r="H55" s="16">
        <v>0.25780893135272492</v>
      </c>
    </row>
    <row r="56" spans="4:8" x14ac:dyDescent="0.45">
      <c r="D56" s="11">
        <v>0.3</v>
      </c>
      <c r="E56" s="5">
        <v>6500</v>
      </c>
      <c r="F56" s="5">
        <v>7</v>
      </c>
      <c r="G56" s="12">
        <v>62.5</v>
      </c>
      <c r="H56" s="16">
        <v>0.21466859026712273</v>
      </c>
    </row>
    <row r="57" spans="4:8" x14ac:dyDescent="0.45">
      <c r="D57" s="11">
        <v>0.3</v>
      </c>
      <c r="E57" s="5">
        <v>6600</v>
      </c>
      <c r="F57" s="5">
        <v>9</v>
      </c>
      <c r="G57" s="12">
        <v>53.5</v>
      </c>
      <c r="H57" s="16">
        <v>0.23335667526593973</v>
      </c>
    </row>
    <row r="58" spans="4:8" x14ac:dyDescent="0.45">
      <c r="D58" s="11">
        <v>0.3</v>
      </c>
      <c r="E58" s="5">
        <v>6500</v>
      </c>
      <c r="F58" s="5">
        <v>6</v>
      </c>
      <c r="G58" s="12">
        <v>52.68</v>
      </c>
      <c r="H58" s="16">
        <v>0.28044370316456763</v>
      </c>
    </row>
    <row r="59" spans="4:8" x14ac:dyDescent="0.45">
      <c r="D59" s="11">
        <v>0.3</v>
      </c>
      <c r="E59" s="5">
        <v>6500</v>
      </c>
      <c r="F59" s="5">
        <v>13</v>
      </c>
      <c r="G59" s="12">
        <v>60.21</v>
      </c>
      <c r="H59" s="16">
        <v>0.30460675563978684</v>
      </c>
    </row>
    <row r="60" spans="4:8" x14ac:dyDescent="0.45">
      <c r="D60" s="11">
        <v>0.3</v>
      </c>
      <c r="E60" s="5">
        <v>6300</v>
      </c>
      <c r="F60" s="5">
        <v>4</v>
      </c>
      <c r="G60" s="12">
        <v>60.52</v>
      </c>
      <c r="H60" s="16">
        <v>0.22703472392046117</v>
      </c>
    </row>
    <row r="61" spans="4:8" x14ac:dyDescent="0.45">
      <c r="D61" s="11">
        <v>0.3</v>
      </c>
      <c r="E61" s="5">
        <v>6500</v>
      </c>
      <c r="F61" s="5">
        <v>14</v>
      </c>
      <c r="G61" s="12">
        <v>60.14</v>
      </c>
      <c r="H61" s="16">
        <v>0.19592824068696693</v>
      </c>
    </row>
    <row r="62" spans="4:8" x14ac:dyDescent="0.45">
      <c r="D62" s="10">
        <v>0.3</v>
      </c>
      <c r="E62" s="6">
        <v>7000</v>
      </c>
      <c r="F62" s="6">
        <v>11</v>
      </c>
      <c r="G62" s="13">
        <v>52.6</v>
      </c>
      <c r="H62" s="17">
        <v>0.19190241143988032</v>
      </c>
    </row>
    <row r="63" spans="4:8" x14ac:dyDescent="0.45">
      <c r="D63" s="11">
        <v>0.3</v>
      </c>
      <c r="E63" s="5">
        <v>6600</v>
      </c>
      <c r="F63" s="5">
        <v>14</v>
      </c>
      <c r="G63" s="12">
        <v>55</v>
      </c>
      <c r="H63" s="16">
        <v>0.20698249462777765</v>
      </c>
    </row>
    <row r="64" spans="4:8" x14ac:dyDescent="0.45">
      <c r="D64" s="11">
        <v>0.3</v>
      </c>
      <c r="E64" s="5">
        <v>6300</v>
      </c>
      <c r="F64" s="5">
        <v>10</v>
      </c>
      <c r="G64" s="12">
        <v>52.1</v>
      </c>
      <c r="H64" s="16">
        <v>0.22969742465561599</v>
      </c>
    </row>
    <row r="65" spans="4:8" x14ac:dyDescent="0.45">
      <c r="D65" s="11">
        <v>0.3</v>
      </c>
      <c r="E65" s="5">
        <v>5400</v>
      </c>
      <c r="F65" s="5">
        <v>10</v>
      </c>
      <c r="G65" s="12">
        <v>50.6</v>
      </c>
      <c r="H65" s="16">
        <v>0.21179392348995843</v>
      </c>
    </row>
    <row r="66" spans="4:8" x14ac:dyDescent="0.45">
      <c r="D66" s="11">
        <v>0.3</v>
      </c>
      <c r="E66" s="5">
        <v>4900</v>
      </c>
      <c r="F66" s="5">
        <v>2</v>
      </c>
      <c r="G66" s="12">
        <v>51.2</v>
      </c>
      <c r="H66" s="16">
        <v>0.24116325959236887</v>
      </c>
    </row>
    <row r="67" spans="4:8" x14ac:dyDescent="0.45">
      <c r="D67" s="11">
        <v>0.3</v>
      </c>
      <c r="E67" s="5">
        <v>4300</v>
      </c>
      <c r="F67" s="5">
        <v>6</v>
      </c>
      <c r="G67" s="12">
        <v>56</v>
      </c>
      <c r="H67" s="16">
        <v>0.23815813440986114</v>
      </c>
    </row>
    <row r="68" spans="4:8" x14ac:dyDescent="0.45">
      <c r="D68" s="11">
        <v>0.3</v>
      </c>
      <c r="E68" s="5">
        <v>4500</v>
      </c>
      <c r="F68" s="5">
        <v>2</v>
      </c>
      <c r="G68" s="12">
        <v>54</v>
      </c>
      <c r="H68" s="16">
        <v>0.21926582971410882</v>
      </c>
    </row>
    <row r="69" spans="4:8" x14ac:dyDescent="0.45">
      <c r="D69" s="11">
        <v>0.3</v>
      </c>
      <c r="E69" s="5">
        <v>4500</v>
      </c>
      <c r="F69" s="5">
        <v>2</v>
      </c>
      <c r="G69" s="12">
        <v>52</v>
      </c>
      <c r="H69" s="16">
        <v>0.2361651537856316</v>
      </c>
    </row>
    <row r="70" spans="4:8" x14ac:dyDescent="0.45">
      <c r="D70" s="11">
        <v>0.3</v>
      </c>
      <c r="E70" s="5">
        <v>4900</v>
      </c>
      <c r="F70" s="5">
        <v>1</v>
      </c>
      <c r="G70" s="12">
        <v>55</v>
      </c>
      <c r="H70" s="16">
        <v>0.21250000000000002</v>
      </c>
    </row>
    <row r="71" spans="4:8" x14ac:dyDescent="0.45">
      <c r="D71" s="11">
        <v>0.3</v>
      </c>
      <c r="E71" s="5">
        <v>4600</v>
      </c>
      <c r="F71" s="5">
        <v>2</v>
      </c>
      <c r="G71" s="12">
        <v>54</v>
      </c>
      <c r="H71" s="16">
        <v>0.13157894736842107</v>
      </c>
    </row>
    <row r="72" spans="4:8" x14ac:dyDescent="0.45">
      <c r="D72" s="11">
        <v>0.3</v>
      </c>
      <c r="E72" s="5">
        <v>6900</v>
      </c>
      <c r="F72" s="5">
        <v>13</v>
      </c>
      <c r="G72" s="12">
        <v>53</v>
      </c>
      <c r="H72" s="16">
        <v>0.21913043478260874</v>
      </c>
    </row>
    <row r="73" spans="4:8" x14ac:dyDescent="0.45">
      <c r="D73" s="11">
        <v>0.3</v>
      </c>
      <c r="E73" s="5">
        <v>7700</v>
      </c>
      <c r="F73" s="5">
        <v>13</v>
      </c>
      <c r="G73" s="12">
        <v>51.1</v>
      </c>
      <c r="H73" s="16">
        <v>0.17624999999999999</v>
      </c>
    </row>
    <row r="74" spans="4:8" x14ac:dyDescent="0.45">
      <c r="D74" s="11">
        <v>0.3</v>
      </c>
      <c r="E74" s="5">
        <v>9300</v>
      </c>
      <c r="F74" s="5">
        <v>13</v>
      </c>
      <c r="G74" s="12">
        <v>63.2</v>
      </c>
      <c r="H74" s="16">
        <v>0.16228571428571431</v>
      </c>
    </row>
    <row r="75" spans="4:8" x14ac:dyDescent="0.45">
      <c r="D75" s="11">
        <v>0.3</v>
      </c>
      <c r="E75" s="5">
        <v>9600</v>
      </c>
      <c r="F75" s="5">
        <v>13</v>
      </c>
      <c r="G75" s="12">
        <v>50.4</v>
      </c>
      <c r="H75" s="16">
        <v>0.15593750000000001</v>
      </c>
    </row>
    <row r="76" spans="4:8" x14ac:dyDescent="0.45">
      <c r="D76" s="11">
        <v>0.3</v>
      </c>
      <c r="E76" s="5">
        <v>8900</v>
      </c>
      <c r="F76" s="5">
        <v>12</v>
      </c>
      <c r="G76" s="12">
        <v>58.5</v>
      </c>
      <c r="H76" s="16">
        <v>0.25499999999999995</v>
      </c>
    </row>
    <row r="77" spans="4:8" x14ac:dyDescent="0.45">
      <c r="D77" s="11">
        <v>0.3</v>
      </c>
      <c r="E77" s="5">
        <v>8900</v>
      </c>
      <c r="F77" s="5">
        <v>9</v>
      </c>
      <c r="G77" s="12">
        <v>49.8</v>
      </c>
      <c r="H77" s="16">
        <v>0.13891891891891892</v>
      </c>
    </row>
    <row r="78" spans="4:8" x14ac:dyDescent="0.45">
      <c r="D78" s="11">
        <v>0.3</v>
      </c>
      <c r="E78" s="5">
        <v>7600</v>
      </c>
      <c r="F78" s="5">
        <v>13</v>
      </c>
      <c r="G78" s="12">
        <v>53</v>
      </c>
      <c r="H78" s="16">
        <v>0.16666666666666669</v>
      </c>
    </row>
    <row r="79" spans="4:8" x14ac:dyDescent="0.45">
      <c r="D79" s="11">
        <v>0.3</v>
      </c>
      <c r="E79" s="5">
        <v>7800</v>
      </c>
      <c r="F79" s="5">
        <v>13</v>
      </c>
      <c r="G79" s="12">
        <v>63.3</v>
      </c>
      <c r="H79" s="16">
        <v>0.2091666666666667</v>
      </c>
    </row>
    <row r="80" spans="4:8" x14ac:dyDescent="0.45">
      <c r="D80" s="10">
        <v>0.3</v>
      </c>
      <c r="E80" s="6">
        <v>8400</v>
      </c>
      <c r="F80" s="6">
        <v>11</v>
      </c>
      <c r="G80" s="13">
        <v>58.4</v>
      </c>
      <c r="H80" s="17">
        <v>0.13650000000000001</v>
      </c>
    </row>
    <row r="81" spans="4:8" x14ac:dyDescent="0.45">
      <c r="D81" s="11">
        <v>0.3</v>
      </c>
      <c r="E81" s="5">
        <v>7600</v>
      </c>
      <c r="F81" s="5">
        <v>9</v>
      </c>
      <c r="G81" s="12">
        <v>51</v>
      </c>
      <c r="H81" s="16">
        <v>7.9838709677419337E-2</v>
      </c>
    </row>
    <row r="82" spans="4:8" x14ac:dyDescent="0.45">
      <c r="D82" s="8">
        <v>0.3</v>
      </c>
      <c r="E82">
        <v>7200</v>
      </c>
      <c r="F82">
        <v>7</v>
      </c>
      <c r="G82" s="12">
        <v>52</v>
      </c>
      <c r="H82" s="15">
        <v>0.10844444444444444</v>
      </c>
    </row>
    <row r="83" spans="4:8" x14ac:dyDescent="0.45">
      <c r="D83" s="8">
        <v>0.3</v>
      </c>
      <c r="E83">
        <v>7800</v>
      </c>
      <c r="F83">
        <v>13</v>
      </c>
      <c r="G83" s="12">
        <v>63.3</v>
      </c>
      <c r="H83" s="15">
        <v>0.2091666666666667</v>
      </c>
    </row>
    <row r="84" spans="4:8" x14ac:dyDescent="0.45">
      <c r="D84" s="8">
        <v>0.3</v>
      </c>
      <c r="E84">
        <v>7300</v>
      </c>
      <c r="F84">
        <v>13</v>
      </c>
      <c r="G84" s="12">
        <v>54.4</v>
      </c>
      <c r="H84" s="15">
        <v>0.15281250000000002</v>
      </c>
    </row>
    <row r="85" spans="4:8" x14ac:dyDescent="0.45">
      <c r="D85" s="8">
        <v>0.3</v>
      </c>
      <c r="E85">
        <v>8000</v>
      </c>
      <c r="F85">
        <v>13</v>
      </c>
      <c r="G85" s="12">
        <v>51.7</v>
      </c>
      <c r="H85" s="15">
        <v>0.14552631578947367</v>
      </c>
    </row>
    <row r="86" spans="4:8" x14ac:dyDescent="0.45">
      <c r="D86" s="8">
        <v>0.3</v>
      </c>
      <c r="E86">
        <v>7600</v>
      </c>
      <c r="F86">
        <v>13</v>
      </c>
      <c r="G86" s="12">
        <v>51.5</v>
      </c>
      <c r="H86" s="15">
        <v>0.13923076923076921</v>
      </c>
    </row>
    <row r="87" spans="4:8" x14ac:dyDescent="0.45">
      <c r="D87" s="8">
        <v>0.3</v>
      </c>
      <c r="E87">
        <v>8900</v>
      </c>
      <c r="F87">
        <v>11</v>
      </c>
      <c r="G87" s="12">
        <v>56</v>
      </c>
      <c r="H87" s="15">
        <v>9.1694915254237272E-2</v>
      </c>
    </row>
    <row r="88" spans="4:8" x14ac:dyDescent="0.45">
      <c r="D88" s="8">
        <v>0.3</v>
      </c>
      <c r="E88">
        <v>8700</v>
      </c>
      <c r="F88">
        <v>13</v>
      </c>
      <c r="G88" s="12">
        <v>53</v>
      </c>
      <c r="H88" s="15">
        <v>0.2112</v>
      </c>
    </row>
    <row r="89" spans="4:8" x14ac:dyDescent="0.45">
      <c r="D89" s="8">
        <v>0.31</v>
      </c>
      <c r="E89">
        <v>6400</v>
      </c>
      <c r="F89">
        <v>11</v>
      </c>
      <c r="G89" s="12">
        <v>62.5</v>
      </c>
      <c r="H89" s="15">
        <v>0.25996425128029571</v>
      </c>
    </row>
    <row r="90" spans="4:8" x14ac:dyDescent="0.45">
      <c r="D90" s="8">
        <v>0.31</v>
      </c>
      <c r="E90">
        <v>6500</v>
      </c>
      <c r="F90">
        <v>15</v>
      </c>
      <c r="G90" s="12">
        <v>60.1</v>
      </c>
      <c r="H90" s="15">
        <v>0.16765248945760594</v>
      </c>
    </row>
    <row r="91" spans="4:8" x14ac:dyDescent="0.45">
      <c r="D91" s="8">
        <v>0.31</v>
      </c>
      <c r="E91">
        <v>6500</v>
      </c>
      <c r="F91">
        <v>7</v>
      </c>
      <c r="G91" s="12">
        <v>60.22</v>
      </c>
      <c r="H91" s="15">
        <v>0.29329652703009285</v>
      </c>
    </row>
    <row r="92" spans="4:8" x14ac:dyDescent="0.45">
      <c r="D92" s="8">
        <v>0.31</v>
      </c>
      <c r="E92">
        <v>6200</v>
      </c>
      <c r="F92">
        <v>13</v>
      </c>
      <c r="G92" s="12">
        <v>59.3</v>
      </c>
      <c r="H92" s="15">
        <v>0.10764284032414159</v>
      </c>
    </row>
    <row r="93" spans="4:8" x14ac:dyDescent="0.45">
      <c r="D93" s="8">
        <v>0.31</v>
      </c>
      <c r="E93">
        <v>6400</v>
      </c>
      <c r="F93">
        <v>10</v>
      </c>
      <c r="G93" s="12">
        <v>59.6</v>
      </c>
      <c r="H93" s="15">
        <v>0.21173069029179847</v>
      </c>
    </row>
    <row r="94" spans="4:8" x14ac:dyDescent="0.45">
      <c r="D94" s="8">
        <v>0.31</v>
      </c>
      <c r="E94">
        <v>6800</v>
      </c>
      <c r="F94">
        <v>15</v>
      </c>
      <c r="G94" s="12">
        <v>60.23</v>
      </c>
      <c r="H94" s="15">
        <v>0.1963214006311724</v>
      </c>
    </row>
    <row r="95" spans="4:8" x14ac:dyDescent="0.45">
      <c r="D95" s="8">
        <v>0.31</v>
      </c>
      <c r="E95">
        <v>6400</v>
      </c>
      <c r="F95">
        <v>10</v>
      </c>
      <c r="G95" s="12">
        <v>62.8</v>
      </c>
      <c r="H95" s="15">
        <v>0.21545130549587047</v>
      </c>
    </row>
    <row r="96" spans="4:8" x14ac:dyDescent="0.45">
      <c r="D96" s="8">
        <v>0.31</v>
      </c>
      <c r="E96">
        <v>6200</v>
      </c>
      <c r="F96">
        <v>8</v>
      </c>
      <c r="G96" s="12">
        <v>60.84</v>
      </c>
      <c r="H96" s="15">
        <v>0.26120510560385862</v>
      </c>
    </row>
    <row r="97" spans="4:8" x14ac:dyDescent="0.45">
      <c r="D97" s="8">
        <v>0.31</v>
      </c>
      <c r="E97">
        <v>6800</v>
      </c>
      <c r="F97">
        <v>11</v>
      </c>
      <c r="G97" s="12">
        <v>54.6</v>
      </c>
      <c r="H97" s="15">
        <v>0.2805505249443937</v>
      </c>
    </row>
    <row r="98" spans="4:8" x14ac:dyDescent="0.45">
      <c r="D98" s="8">
        <v>0.31</v>
      </c>
      <c r="E98">
        <v>6500</v>
      </c>
      <c r="F98">
        <v>13</v>
      </c>
      <c r="G98" s="12">
        <v>58.24</v>
      </c>
      <c r="H98" s="15">
        <v>0.25182194304679983</v>
      </c>
    </row>
    <row r="99" spans="4:8" x14ac:dyDescent="0.45">
      <c r="D99" s="8">
        <v>0.31</v>
      </c>
      <c r="E99">
        <v>6700</v>
      </c>
      <c r="F99">
        <v>14</v>
      </c>
      <c r="G99" s="12">
        <v>53.6</v>
      </c>
      <c r="H99" s="15">
        <v>0.1691746580483301</v>
      </c>
    </row>
    <row r="100" spans="4:8" x14ac:dyDescent="0.45">
      <c r="D100" s="8">
        <v>0.31</v>
      </c>
      <c r="E100">
        <v>6600</v>
      </c>
      <c r="F100">
        <v>11</v>
      </c>
      <c r="G100" s="12">
        <v>53</v>
      </c>
      <c r="H100" s="15">
        <v>0.24386258479612552</v>
      </c>
    </row>
    <row r="101" spans="4:8" x14ac:dyDescent="0.45">
      <c r="D101" s="8">
        <v>0.31</v>
      </c>
      <c r="E101">
        <v>6600</v>
      </c>
      <c r="F101">
        <v>12</v>
      </c>
      <c r="G101" s="12">
        <v>53.8</v>
      </c>
      <c r="H101" s="15">
        <v>0.23754757580344438</v>
      </c>
    </row>
    <row r="102" spans="4:8" x14ac:dyDescent="0.45">
      <c r="D102" s="8">
        <v>0.31</v>
      </c>
      <c r="E102">
        <v>6200</v>
      </c>
      <c r="F102">
        <v>9</v>
      </c>
      <c r="G102" s="12">
        <v>59.4</v>
      </c>
      <c r="H102" s="15">
        <v>0.19179134728979616</v>
      </c>
    </row>
    <row r="103" spans="4:8" x14ac:dyDescent="0.45">
      <c r="D103" s="8">
        <v>0.31</v>
      </c>
      <c r="E103">
        <v>6600</v>
      </c>
      <c r="F103">
        <v>11</v>
      </c>
      <c r="G103" s="12">
        <v>54.9</v>
      </c>
      <c r="H103" s="15">
        <v>0.29474635547007288</v>
      </c>
    </row>
    <row r="104" spans="4:8" x14ac:dyDescent="0.45">
      <c r="D104" s="8">
        <v>0.31</v>
      </c>
      <c r="E104">
        <v>6400</v>
      </c>
      <c r="F104">
        <v>8</v>
      </c>
      <c r="G104" s="12">
        <v>60</v>
      </c>
      <c r="H104" s="15">
        <v>0.21797254222413143</v>
      </c>
    </row>
    <row r="105" spans="4:8" x14ac:dyDescent="0.45">
      <c r="D105" s="8">
        <v>0.31</v>
      </c>
      <c r="E105">
        <v>6600</v>
      </c>
      <c r="F105">
        <v>11</v>
      </c>
      <c r="G105" s="12">
        <v>51</v>
      </c>
      <c r="H105" s="15">
        <v>0.21328944477634737</v>
      </c>
    </row>
    <row r="106" spans="4:8" x14ac:dyDescent="0.45">
      <c r="D106" s="8">
        <v>0.31</v>
      </c>
      <c r="E106">
        <v>6400</v>
      </c>
      <c r="F106">
        <v>9</v>
      </c>
      <c r="G106" s="12">
        <v>56</v>
      </c>
      <c r="H106" s="15">
        <v>0.24459353401854547</v>
      </c>
    </row>
    <row r="107" spans="4:8" x14ac:dyDescent="0.45">
      <c r="D107" s="8">
        <v>0.31</v>
      </c>
      <c r="E107">
        <v>6500</v>
      </c>
      <c r="F107">
        <v>12</v>
      </c>
      <c r="G107" s="12">
        <v>52.9</v>
      </c>
      <c r="H107" s="15">
        <v>0.22420961876961357</v>
      </c>
    </row>
    <row r="108" spans="4:8" x14ac:dyDescent="0.45">
      <c r="D108" s="8">
        <v>0.31</v>
      </c>
      <c r="E108">
        <v>6700</v>
      </c>
      <c r="F108">
        <v>12</v>
      </c>
      <c r="G108" s="12">
        <v>60.25</v>
      </c>
      <c r="H108" s="15">
        <v>0.25307339042449667</v>
      </c>
    </row>
    <row r="109" spans="4:8" x14ac:dyDescent="0.45">
      <c r="D109" s="8">
        <v>0.31</v>
      </c>
      <c r="E109">
        <v>4700</v>
      </c>
      <c r="F109">
        <v>12</v>
      </c>
      <c r="G109" s="12">
        <v>50.6</v>
      </c>
      <c r="H109" s="15">
        <v>0.2959740057727725</v>
      </c>
    </row>
    <row r="110" spans="4:8" x14ac:dyDescent="0.45">
      <c r="D110" s="8">
        <v>0.31</v>
      </c>
      <c r="E110">
        <v>5300</v>
      </c>
      <c r="F110">
        <v>4</v>
      </c>
      <c r="G110" s="12">
        <v>55.2</v>
      </c>
      <c r="H110" s="15">
        <v>0.21306756847307148</v>
      </c>
    </row>
    <row r="111" spans="4:8" x14ac:dyDescent="0.45">
      <c r="D111" s="8">
        <v>0.31</v>
      </c>
      <c r="E111">
        <v>4900</v>
      </c>
      <c r="F111">
        <v>12</v>
      </c>
      <c r="G111" s="12">
        <v>53</v>
      </c>
      <c r="H111" s="15">
        <v>0.26208200258958275</v>
      </c>
    </row>
    <row r="112" spans="4:8" x14ac:dyDescent="0.45">
      <c r="D112" s="8">
        <v>0.31</v>
      </c>
      <c r="E112">
        <v>4600</v>
      </c>
      <c r="F112">
        <v>6</v>
      </c>
      <c r="G112" s="12">
        <v>52</v>
      </c>
      <c r="H112" s="15">
        <v>0.18825593438646931</v>
      </c>
    </row>
    <row r="113" spans="4:8" x14ac:dyDescent="0.45">
      <c r="D113" s="8">
        <v>0.31</v>
      </c>
      <c r="E113">
        <v>4600</v>
      </c>
      <c r="F113">
        <v>1</v>
      </c>
      <c r="G113" s="12">
        <v>54</v>
      </c>
      <c r="H113" s="15">
        <v>0.19824340406493562</v>
      </c>
    </row>
    <row r="114" spans="4:8" x14ac:dyDescent="0.45">
      <c r="D114" s="8">
        <v>0.31</v>
      </c>
      <c r="E114">
        <v>5000</v>
      </c>
      <c r="F114">
        <v>8</v>
      </c>
      <c r="G114" s="12">
        <v>54</v>
      </c>
      <c r="H114" s="15">
        <v>0.21372763160965352</v>
      </c>
    </row>
    <row r="115" spans="4:8" x14ac:dyDescent="0.45">
      <c r="D115" s="8">
        <v>0.31</v>
      </c>
      <c r="E115">
        <v>4700</v>
      </c>
      <c r="F115">
        <v>5</v>
      </c>
      <c r="G115" s="12">
        <v>51</v>
      </c>
      <c r="H115" s="15">
        <v>0.23173554371218855</v>
      </c>
    </row>
    <row r="116" spans="4:8" x14ac:dyDescent="0.45">
      <c r="D116" s="8">
        <v>0.31</v>
      </c>
      <c r="E116">
        <v>4700</v>
      </c>
      <c r="F116">
        <v>6</v>
      </c>
      <c r="G116" s="12">
        <v>52</v>
      </c>
      <c r="H116" s="15">
        <v>0.25132826987479934</v>
      </c>
    </row>
    <row r="117" spans="4:8" x14ac:dyDescent="0.45">
      <c r="D117" s="8">
        <v>0.31</v>
      </c>
      <c r="E117">
        <v>5400</v>
      </c>
      <c r="F117">
        <v>3</v>
      </c>
      <c r="G117" s="12">
        <v>53.4</v>
      </c>
      <c r="H117" s="15">
        <v>6.1874999999999999E-2</v>
      </c>
    </row>
    <row r="118" spans="4:8" x14ac:dyDescent="0.45">
      <c r="D118" s="8">
        <v>0.31</v>
      </c>
      <c r="E118">
        <v>5000</v>
      </c>
      <c r="F118">
        <v>1</v>
      </c>
      <c r="G118" s="12">
        <v>55</v>
      </c>
      <c r="H118" s="15">
        <v>0.16387096774193552</v>
      </c>
    </row>
    <row r="119" spans="4:8" x14ac:dyDescent="0.45">
      <c r="D119" s="8">
        <v>0.31</v>
      </c>
      <c r="E119">
        <v>4700</v>
      </c>
      <c r="F119">
        <v>0</v>
      </c>
      <c r="G119" s="12">
        <v>53</v>
      </c>
      <c r="H119" s="15">
        <v>9.8431372549019611E-2</v>
      </c>
    </row>
    <row r="120" spans="4:8" x14ac:dyDescent="0.45">
      <c r="D120" s="8">
        <v>0.31</v>
      </c>
      <c r="E120">
        <v>7600</v>
      </c>
      <c r="F120">
        <v>9</v>
      </c>
      <c r="G120" s="12">
        <v>66</v>
      </c>
      <c r="H120" s="15">
        <v>8.1562499999999996E-2</v>
      </c>
    </row>
    <row r="121" spans="4:8" x14ac:dyDescent="0.45">
      <c r="D121" s="8">
        <v>0.31</v>
      </c>
      <c r="E121">
        <v>8900</v>
      </c>
      <c r="F121">
        <v>13</v>
      </c>
      <c r="G121" s="12">
        <v>51.2</v>
      </c>
      <c r="H121" s="15">
        <v>0.15052631578947367</v>
      </c>
    </row>
    <row r="122" spans="4:8" x14ac:dyDescent="0.45">
      <c r="D122" s="8">
        <v>0.31</v>
      </c>
      <c r="E122">
        <v>7200</v>
      </c>
      <c r="F122">
        <v>13</v>
      </c>
      <c r="G122" s="12">
        <v>50.8</v>
      </c>
      <c r="H122" s="15">
        <v>0.15166666666666667</v>
      </c>
    </row>
    <row r="123" spans="4:8" x14ac:dyDescent="0.45">
      <c r="D123" s="8">
        <v>0.31</v>
      </c>
      <c r="E123">
        <v>9000</v>
      </c>
      <c r="F123">
        <v>8</v>
      </c>
      <c r="G123" s="12">
        <v>65</v>
      </c>
      <c r="H123" s="15">
        <v>0.10574468085106384</v>
      </c>
    </row>
    <row r="124" spans="4:8" x14ac:dyDescent="0.45">
      <c r="D124" s="8">
        <v>0.31</v>
      </c>
      <c r="E124">
        <v>7200</v>
      </c>
      <c r="F124">
        <v>12</v>
      </c>
      <c r="G124" s="12">
        <v>53</v>
      </c>
      <c r="H124" s="15">
        <v>0.13594594594594592</v>
      </c>
    </row>
    <row r="125" spans="4:8" x14ac:dyDescent="0.45">
      <c r="D125" s="8">
        <v>0.31</v>
      </c>
      <c r="E125">
        <v>7600</v>
      </c>
      <c r="F125">
        <v>13</v>
      </c>
      <c r="G125" s="12">
        <v>58</v>
      </c>
      <c r="H125" s="15">
        <v>0.14937500000000001</v>
      </c>
    </row>
    <row r="126" spans="4:8" x14ac:dyDescent="0.45">
      <c r="D126" s="8">
        <v>0.31</v>
      </c>
      <c r="E126">
        <v>7500</v>
      </c>
      <c r="F126">
        <v>12</v>
      </c>
      <c r="G126" s="12">
        <v>53.5</v>
      </c>
      <c r="H126" s="15">
        <v>0.12699999999999997</v>
      </c>
    </row>
    <row r="127" spans="4:8" x14ac:dyDescent="0.45">
      <c r="D127" s="8">
        <v>0.31</v>
      </c>
      <c r="E127">
        <v>7300</v>
      </c>
      <c r="F127">
        <v>12</v>
      </c>
      <c r="G127" s="12">
        <v>50.4</v>
      </c>
      <c r="H127" s="15">
        <v>0.11142857142857143</v>
      </c>
    </row>
    <row r="128" spans="4:8" x14ac:dyDescent="0.45">
      <c r="D128" s="8">
        <v>0.31</v>
      </c>
      <c r="E128">
        <v>9000</v>
      </c>
      <c r="F128">
        <v>11</v>
      </c>
      <c r="G128" s="12">
        <v>53.4</v>
      </c>
      <c r="H128" s="15">
        <v>0.13375000000000001</v>
      </c>
    </row>
    <row r="129" spans="4:8" x14ac:dyDescent="0.45">
      <c r="D129" s="8">
        <v>0.31</v>
      </c>
      <c r="E129">
        <v>7900</v>
      </c>
      <c r="F129">
        <v>10</v>
      </c>
      <c r="G129" s="12">
        <v>63</v>
      </c>
      <c r="H129" s="15">
        <v>0.13611111111111113</v>
      </c>
    </row>
    <row r="130" spans="4:8" x14ac:dyDescent="0.45">
      <c r="D130" s="8">
        <v>0.31</v>
      </c>
      <c r="E130">
        <v>7400</v>
      </c>
      <c r="F130">
        <v>8</v>
      </c>
      <c r="G130" s="12">
        <v>61</v>
      </c>
      <c r="H130" s="15">
        <v>0.2116666666666667</v>
      </c>
    </row>
    <row r="131" spans="4:8" x14ac:dyDescent="0.45">
      <c r="D131" s="8">
        <v>0.31</v>
      </c>
      <c r="E131">
        <v>7600</v>
      </c>
      <c r="F131">
        <v>13</v>
      </c>
      <c r="G131" s="12">
        <v>58</v>
      </c>
      <c r="H131" s="15">
        <v>0.14937500000000001</v>
      </c>
    </row>
    <row r="132" spans="4:8" x14ac:dyDescent="0.45">
      <c r="D132" s="8">
        <v>0.31</v>
      </c>
      <c r="E132">
        <v>7500</v>
      </c>
      <c r="F132">
        <v>12</v>
      </c>
      <c r="G132" s="12">
        <v>53.5</v>
      </c>
      <c r="H132" s="15">
        <v>0.12699999999999997</v>
      </c>
    </row>
    <row r="133" spans="4:8" x14ac:dyDescent="0.45">
      <c r="D133" s="8">
        <v>0.31</v>
      </c>
      <c r="E133">
        <v>7500</v>
      </c>
      <c r="F133">
        <v>13</v>
      </c>
      <c r="G133" s="12">
        <v>56.3</v>
      </c>
      <c r="H133" s="15">
        <v>0.10063829787234044</v>
      </c>
    </row>
    <row r="134" spans="4:8" x14ac:dyDescent="0.45">
      <c r="D134" s="8">
        <v>0.31</v>
      </c>
      <c r="E134">
        <v>7300</v>
      </c>
      <c r="F134">
        <v>12</v>
      </c>
      <c r="G134" s="12">
        <v>51</v>
      </c>
      <c r="H134" s="15">
        <v>0.18759999999999999</v>
      </c>
    </row>
    <row r="135" spans="4:8" x14ac:dyDescent="0.45">
      <c r="D135" s="8">
        <v>0.31</v>
      </c>
      <c r="E135">
        <v>9400</v>
      </c>
      <c r="F135">
        <v>7</v>
      </c>
      <c r="G135" s="12">
        <v>51</v>
      </c>
      <c r="H135" s="15">
        <v>7.859374999999999E-2</v>
      </c>
    </row>
    <row r="136" spans="4:8" x14ac:dyDescent="0.45">
      <c r="D136" s="8">
        <v>0.31</v>
      </c>
      <c r="E136">
        <v>9400</v>
      </c>
      <c r="F136">
        <v>12</v>
      </c>
      <c r="G136" s="12">
        <v>52</v>
      </c>
      <c r="H136" s="15">
        <v>0.15499999999999997</v>
      </c>
    </row>
    <row r="137" spans="4:8" x14ac:dyDescent="0.45">
      <c r="D137" s="8">
        <v>0.32</v>
      </c>
      <c r="E137">
        <v>6500</v>
      </c>
      <c r="F137">
        <v>3</v>
      </c>
      <c r="G137" s="12">
        <v>61.52</v>
      </c>
      <c r="H137" s="15">
        <v>0.22283703862739893</v>
      </c>
    </row>
    <row r="138" spans="4:8" x14ac:dyDescent="0.45">
      <c r="D138" s="8">
        <v>0.32</v>
      </c>
      <c r="E138">
        <v>6500</v>
      </c>
      <c r="F138">
        <v>11</v>
      </c>
      <c r="G138" s="12">
        <v>58.2</v>
      </c>
      <c r="H138" s="15">
        <v>0.27431325271808171</v>
      </c>
    </row>
    <row r="139" spans="4:8" x14ac:dyDescent="0.45">
      <c r="D139" s="8">
        <v>0.32</v>
      </c>
      <c r="E139">
        <v>6600</v>
      </c>
      <c r="F139">
        <v>8</v>
      </c>
      <c r="G139" s="12">
        <v>61.6</v>
      </c>
      <c r="H139" s="15">
        <v>0.27783313607179561</v>
      </c>
    </row>
    <row r="140" spans="4:8" x14ac:dyDescent="0.45">
      <c r="D140" s="8">
        <v>0.32</v>
      </c>
      <c r="E140">
        <v>6900</v>
      </c>
      <c r="F140">
        <v>8</v>
      </c>
      <c r="G140" s="12">
        <v>63.1</v>
      </c>
      <c r="H140" s="15">
        <v>0.26677558077001123</v>
      </c>
    </row>
    <row r="141" spans="4:8" x14ac:dyDescent="0.45">
      <c r="D141" s="8">
        <v>0.32</v>
      </c>
      <c r="E141">
        <v>6500</v>
      </c>
      <c r="F141">
        <v>10</v>
      </c>
      <c r="G141" s="12">
        <v>63.8</v>
      </c>
      <c r="H141" s="15">
        <v>0.19501222045232036</v>
      </c>
    </row>
    <row r="142" spans="4:8" x14ac:dyDescent="0.45">
      <c r="D142" s="8">
        <v>0.32</v>
      </c>
      <c r="E142">
        <v>6400</v>
      </c>
      <c r="F142">
        <v>7</v>
      </c>
      <c r="G142" s="12">
        <v>59.68</v>
      </c>
      <c r="H142" s="15">
        <v>0.23959750420086826</v>
      </c>
    </row>
    <row r="143" spans="4:8" x14ac:dyDescent="0.45">
      <c r="D143" s="8">
        <v>0.32</v>
      </c>
      <c r="E143">
        <v>6500</v>
      </c>
      <c r="F143">
        <v>9</v>
      </c>
      <c r="G143" s="12">
        <v>61.2</v>
      </c>
      <c r="H143" s="15">
        <v>0.23943120547953586</v>
      </c>
    </row>
    <row r="144" spans="4:8" x14ac:dyDescent="0.45">
      <c r="D144" s="8">
        <v>0.32</v>
      </c>
      <c r="E144">
        <v>6400</v>
      </c>
      <c r="F144">
        <v>8</v>
      </c>
      <c r="G144" s="12">
        <v>61.54</v>
      </c>
      <c r="H144" s="15">
        <v>0.23627057748898353</v>
      </c>
    </row>
    <row r="145" spans="4:8" x14ac:dyDescent="0.45">
      <c r="D145" s="8">
        <v>0.32</v>
      </c>
      <c r="E145">
        <v>6400</v>
      </c>
      <c r="F145">
        <v>12</v>
      </c>
      <c r="G145" s="12">
        <v>53.4</v>
      </c>
      <c r="H145" s="15">
        <v>0.31779552170720005</v>
      </c>
    </row>
    <row r="146" spans="4:8" x14ac:dyDescent="0.45">
      <c r="D146" s="8">
        <v>0.32</v>
      </c>
      <c r="E146">
        <v>6600</v>
      </c>
      <c r="F146">
        <v>13</v>
      </c>
      <c r="G146" s="12">
        <v>52.7</v>
      </c>
      <c r="H146" s="15">
        <v>0.20602789391114404</v>
      </c>
    </row>
    <row r="147" spans="4:8" x14ac:dyDescent="0.45">
      <c r="D147" s="8">
        <v>0.32</v>
      </c>
      <c r="E147">
        <v>6400</v>
      </c>
      <c r="F147">
        <v>10</v>
      </c>
      <c r="G147" s="12">
        <v>54</v>
      </c>
      <c r="H147" s="15">
        <v>0.26365688710177548</v>
      </c>
    </row>
    <row r="148" spans="4:8" x14ac:dyDescent="0.45">
      <c r="D148" s="8">
        <v>0.32</v>
      </c>
      <c r="E148">
        <v>6600</v>
      </c>
      <c r="F148">
        <v>12</v>
      </c>
      <c r="G148" s="12">
        <v>53.8</v>
      </c>
      <c r="H148" s="15">
        <v>0.23324463546220034</v>
      </c>
    </row>
    <row r="149" spans="4:8" x14ac:dyDescent="0.45">
      <c r="D149" s="8">
        <v>0.32</v>
      </c>
      <c r="E149">
        <v>6400</v>
      </c>
      <c r="F149">
        <v>7</v>
      </c>
      <c r="G149" s="12">
        <v>65.400000000000006</v>
      </c>
      <c r="H149" s="15">
        <v>0.18112740305886965</v>
      </c>
    </row>
    <row r="150" spans="4:8" x14ac:dyDescent="0.45">
      <c r="D150" s="8">
        <v>0.32</v>
      </c>
      <c r="E150">
        <v>6900</v>
      </c>
      <c r="F150">
        <v>10</v>
      </c>
      <c r="G150" s="12">
        <v>55.3</v>
      </c>
      <c r="H150" s="15">
        <v>0.23395607983146102</v>
      </c>
    </row>
    <row r="151" spans="4:8" x14ac:dyDescent="0.45">
      <c r="D151" s="8">
        <v>0.32</v>
      </c>
      <c r="E151">
        <v>6500</v>
      </c>
      <c r="F151">
        <v>9</v>
      </c>
      <c r="G151" s="12">
        <v>55.1</v>
      </c>
      <c r="H151" s="15">
        <v>0.2567156565590859</v>
      </c>
    </row>
    <row r="152" spans="4:8" x14ac:dyDescent="0.45">
      <c r="D152" s="8">
        <v>0.32</v>
      </c>
      <c r="E152">
        <v>6800</v>
      </c>
      <c r="F152">
        <v>9</v>
      </c>
      <c r="G152" s="12">
        <v>72.400000000000006</v>
      </c>
      <c r="H152" s="15">
        <v>0.22699893779567593</v>
      </c>
    </row>
    <row r="153" spans="4:8" x14ac:dyDescent="0.45">
      <c r="D153" s="8">
        <v>0.32</v>
      </c>
      <c r="E153">
        <v>6500</v>
      </c>
      <c r="F153">
        <v>13</v>
      </c>
      <c r="G153" s="12">
        <v>65.209999999999994</v>
      </c>
      <c r="H153" s="15">
        <v>0.23606078883983433</v>
      </c>
    </row>
    <row r="154" spans="4:8" x14ac:dyDescent="0.45">
      <c r="D154" s="8">
        <v>0.32</v>
      </c>
      <c r="E154">
        <v>6500</v>
      </c>
      <c r="F154">
        <v>6</v>
      </c>
      <c r="G154" s="12">
        <v>50.6</v>
      </c>
      <c r="H154" s="15">
        <v>0.3116068274198126</v>
      </c>
    </row>
    <row r="155" spans="4:8" x14ac:dyDescent="0.45">
      <c r="D155" s="8">
        <v>0.32</v>
      </c>
      <c r="E155">
        <v>4400</v>
      </c>
      <c r="F155">
        <v>5</v>
      </c>
      <c r="G155" s="12">
        <v>53.8</v>
      </c>
      <c r="H155" s="15">
        <v>0.19707630146245031</v>
      </c>
    </row>
    <row r="156" spans="4:8" x14ac:dyDescent="0.45">
      <c r="D156" s="8">
        <v>0.32</v>
      </c>
      <c r="E156">
        <v>4600</v>
      </c>
      <c r="F156">
        <v>2</v>
      </c>
      <c r="G156" s="12">
        <v>54.1</v>
      </c>
      <c r="H156" s="15">
        <v>0.14974070312532509</v>
      </c>
    </row>
    <row r="157" spans="4:8" x14ac:dyDescent="0.45">
      <c r="D157" s="8">
        <v>0.32</v>
      </c>
      <c r="E157">
        <v>4600</v>
      </c>
      <c r="F157">
        <v>6</v>
      </c>
      <c r="G157" s="12">
        <v>52</v>
      </c>
      <c r="H157" s="15">
        <v>0.23764032364839593</v>
      </c>
    </row>
    <row r="158" spans="4:8" x14ac:dyDescent="0.45">
      <c r="D158" s="8">
        <v>0.32</v>
      </c>
      <c r="E158">
        <v>4600</v>
      </c>
      <c r="F158">
        <v>11</v>
      </c>
      <c r="G158" s="12">
        <v>55.6</v>
      </c>
      <c r="H158" s="15">
        <v>6.7460317460317443E-2</v>
      </c>
    </row>
    <row r="159" spans="4:8" x14ac:dyDescent="0.45">
      <c r="D159" s="8">
        <v>0.32</v>
      </c>
      <c r="E159">
        <v>4800</v>
      </c>
      <c r="F159">
        <v>2</v>
      </c>
      <c r="G159" s="12">
        <v>57</v>
      </c>
      <c r="H159" s="15">
        <v>0.11744186046511626</v>
      </c>
    </row>
    <row r="160" spans="4:8" x14ac:dyDescent="0.45">
      <c r="D160" s="8">
        <v>0.32</v>
      </c>
      <c r="E160">
        <v>4700</v>
      </c>
      <c r="F160">
        <v>1</v>
      </c>
      <c r="G160" s="12">
        <v>56</v>
      </c>
      <c r="H160" s="15">
        <v>0.13756756756756755</v>
      </c>
    </row>
    <row r="161" spans="4:8" x14ac:dyDescent="0.45">
      <c r="D161" s="8">
        <v>0.32</v>
      </c>
      <c r="E161">
        <v>4800</v>
      </c>
      <c r="F161">
        <v>7</v>
      </c>
      <c r="G161" s="12">
        <v>56</v>
      </c>
      <c r="H161" s="15">
        <v>0.12820512820512822</v>
      </c>
    </row>
    <row r="162" spans="4:8" x14ac:dyDescent="0.45">
      <c r="D162" s="8">
        <v>0.32</v>
      </c>
      <c r="E162">
        <v>7500</v>
      </c>
      <c r="F162">
        <v>11</v>
      </c>
      <c r="G162" s="12">
        <v>57</v>
      </c>
      <c r="H162" s="15">
        <v>0.14222222222222219</v>
      </c>
    </row>
    <row r="163" spans="4:8" x14ac:dyDescent="0.45">
      <c r="D163" s="8">
        <v>0.32</v>
      </c>
      <c r="E163">
        <v>7200</v>
      </c>
      <c r="F163">
        <v>13</v>
      </c>
      <c r="G163" s="12">
        <v>52</v>
      </c>
      <c r="H163" s="15">
        <v>0.24777777777777782</v>
      </c>
    </row>
    <row r="164" spans="4:8" x14ac:dyDescent="0.45">
      <c r="D164" s="8">
        <v>0.32</v>
      </c>
      <c r="E164">
        <v>7500</v>
      </c>
      <c r="F164">
        <v>13</v>
      </c>
      <c r="G164" s="12">
        <v>58.3</v>
      </c>
      <c r="H164" s="15">
        <v>0.23045454545454547</v>
      </c>
    </row>
    <row r="165" spans="4:8" x14ac:dyDescent="0.45">
      <c r="D165" s="8">
        <v>0.32</v>
      </c>
      <c r="E165">
        <v>8300</v>
      </c>
      <c r="F165">
        <v>12</v>
      </c>
      <c r="G165" s="12">
        <v>54.2</v>
      </c>
      <c r="H165" s="15">
        <v>0.1275</v>
      </c>
    </row>
    <row r="166" spans="4:8" x14ac:dyDescent="0.45">
      <c r="D166" s="8">
        <v>0.32</v>
      </c>
      <c r="E166">
        <v>7800</v>
      </c>
      <c r="F166">
        <v>12</v>
      </c>
      <c r="G166" s="12">
        <v>54.6</v>
      </c>
      <c r="H166" s="15">
        <v>9.441860465116278E-2</v>
      </c>
    </row>
    <row r="167" spans="4:8" x14ac:dyDescent="0.45">
      <c r="D167" s="8">
        <v>0.32</v>
      </c>
      <c r="E167">
        <v>7200</v>
      </c>
      <c r="F167">
        <v>13</v>
      </c>
      <c r="G167" s="12">
        <v>52</v>
      </c>
      <c r="H167" s="15">
        <v>0.24777777777777782</v>
      </c>
    </row>
    <row r="168" spans="4:8" x14ac:dyDescent="0.45">
      <c r="D168" s="8">
        <v>0.32</v>
      </c>
      <c r="E168">
        <v>7500</v>
      </c>
      <c r="F168">
        <v>13</v>
      </c>
      <c r="G168" s="12">
        <v>58.3</v>
      </c>
      <c r="H168" s="15">
        <v>0.23045454545454547</v>
      </c>
    </row>
    <row r="169" spans="4:8" x14ac:dyDescent="0.45">
      <c r="D169" s="8">
        <v>0.32</v>
      </c>
      <c r="E169">
        <v>9300</v>
      </c>
      <c r="F169">
        <v>13</v>
      </c>
      <c r="G169" s="12">
        <v>51</v>
      </c>
      <c r="H169" s="15">
        <v>0.17200000000000004</v>
      </c>
    </row>
    <row r="170" spans="4:8" x14ac:dyDescent="0.45">
      <c r="D170" s="8">
        <v>0.33</v>
      </c>
      <c r="E170">
        <v>6100</v>
      </c>
      <c r="F170">
        <v>13</v>
      </c>
      <c r="G170" s="12">
        <v>70.8</v>
      </c>
      <c r="H170" s="15">
        <v>0.26108965103804832</v>
      </c>
    </row>
    <row r="171" spans="4:8" x14ac:dyDescent="0.45">
      <c r="D171" s="8">
        <v>0.33</v>
      </c>
      <c r="E171">
        <v>6300</v>
      </c>
      <c r="F171">
        <v>9</v>
      </c>
      <c r="G171" s="12">
        <v>61.5</v>
      </c>
      <c r="H171" s="15">
        <v>0.23097034886316811</v>
      </c>
    </row>
    <row r="172" spans="4:8" x14ac:dyDescent="0.45">
      <c r="D172" s="8">
        <v>0.33</v>
      </c>
      <c r="E172">
        <v>6400</v>
      </c>
      <c r="F172">
        <v>12</v>
      </c>
      <c r="G172" s="12">
        <v>60.38</v>
      </c>
      <c r="H172" s="15">
        <v>0.18344293174709222</v>
      </c>
    </row>
    <row r="173" spans="4:8" x14ac:dyDescent="0.45">
      <c r="D173" s="8">
        <v>0.33</v>
      </c>
      <c r="E173">
        <v>6500</v>
      </c>
      <c r="F173">
        <v>0</v>
      </c>
      <c r="G173" s="12">
        <v>52.4</v>
      </c>
      <c r="H173" s="15">
        <v>0.18154499524307147</v>
      </c>
    </row>
    <row r="174" spans="4:8" x14ac:dyDescent="0.45">
      <c r="D174" s="8">
        <v>0.33</v>
      </c>
      <c r="E174">
        <v>6400</v>
      </c>
      <c r="F174">
        <v>10</v>
      </c>
      <c r="G174" s="12">
        <v>59.82</v>
      </c>
      <c r="H174" s="15">
        <v>0.25592827978036187</v>
      </c>
    </row>
    <row r="175" spans="4:8" x14ac:dyDescent="0.45">
      <c r="D175" s="8">
        <v>0.33</v>
      </c>
      <c r="E175">
        <v>6500</v>
      </c>
      <c r="F175">
        <v>10</v>
      </c>
      <c r="G175" s="12">
        <v>50.6</v>
      </c>
      <c r="H175" s="15">
        <v>0.24103727618100815</v>
      </c>
    </row>
    <row r="176" spans="4:8" x14ac:dyDescent="0.45">
      <c r="D176" s="8">
        <v>0.33</v>
      </c>
      <c r="E176">
        <v>6700</v>
      </c>
      <c r="F176">
        <v>11</v>
      </c>
      <c r="G176" s="12">
        <v>53.3</v>
      </c>
      <c r="H176" s="15">
        <v>0.19778474081190503</v>
      </c>
    </row>
    <row r="177" spans="4:8" x14ac:dyDescent="0.45">
      <c r="D177" s="8">
        <v>0.33</v>
      </c>
      <c r="E177">
        <v>6500</v>
      </c>
      <c r="F177">
        <v>10</v>
      </c>
      <c r="G177" s="12">
        <v>62.5</v>
      </c>
      <c r="H177" s="15">
        <v>0.21906210894360739</v>
      </c>
    </row>
    <row r="178" spans="4:8" x14ac:dyDescent="0.45">
      <c r="D178" s="8">
        <v>0.33</v>
      </c>
      <c r="E178">
        <v>6400</v>
      </c>
      <c r="F178">
        <v>13</v>
      </c>
      <c r="G178" s="12">
        <v>52.8</v>
      </c>
      <c r="H178" s="15">
        <v>0.26526069967220828</v>
      </c>
    </row>
    <row r="179" spans="4:8" x14ac:dyDescent="0.45">
      <c r="D179" s="8">
        <v>0.33</v>
      </c>
      <c r="E179">
        <v>6300</v>
      </c>
      <c r="F179">
        <v>9</v>
      </c>
      <c r="G179" s="12">
        <v>62.45</v>
      </c>
      <c r="H179" s="15">
        <v>0.28537497507917958</v>
      </c>
    </row>
    <row r="180" spans="4:8" x14ac:dyDescent="0.45">
      <c r="D180" s="8">
        <v>0.33</v>
      </c>
      <c r="E180">
        <v>6500</v>
      </c>
      <c r="F180">
        <v>13</v>
      </c>
      <c r="G180" s="12">
        <v>60.58</v>
      </c>
      <c r="H180" s="15">
        <v>0.23671422013334992</v>
      </c>
    </row>
    <row r="181" spans="4:8" x14ac:dyDescent="0.45">
      <c r="D181" s="8">
        <v>0.33</v>
      </c>
      <c r="E181">
        <v>6700</v>
      </c>
      <c r="F181">
        <v>13</v>
      </c>
      <c r="G181" s="12">
        <v>62</v>
      </c>
      <c r="H181" s="15">
        <v>0.24736942956583333</v>
      </c>
    </row>
    <row r="182" spans="4:8" x14ac:dyDescent="0.45">
      <c r="D182" s="8">
        <v>0.33</v>
      </c>
      <c r="E182">
        <v>6300</v>
      </c>
      <c r="F182">
        <v>13</v>
      </c>
      <c r="G182" s="12">
        <v>51.1</v>
      </c>
      <c r="H182" s="15">
        <v>0.23556988774614743</v>
      </c>
    </row>
    <row r="183" spans="4:8" x14ac:dyDescent="0.45">
      <c r="D183" s="8">
        <v>0.33</v>
      </c>
      <c r="E183">
        <v>6600</v>
      </c>
      <c r="F183">
        <v>13</v>
      </c>
      <c r="G183" s="12">
        <v>60.59</v>
      </c>
      <c r="H183" s="15">
        <v>0.23303561552593544</v>
      </c>
    </row>
    <row r="184" spans="4:8" x14ac:dyDescent="0.45">
      <c r="D184" s="8">
        <v>0.33</v>
      </c>
      <c r="E184">
        <v>6500</v>
      </c>
      <c r="F184">
        <v>14</v>
      </c>
      <c r="G184" s="12">
        <v>52</v>
      </c>
      <c r="H184" s="15">
        <v>0.17712236350376195</v>
      </c>
    </row>
    <row r="185" spans="4:8" x14ac:dyDescent="0.45">
      <c r="D185" s="8">
        <v>0.33</v>
      </c>
      <c r="E185">
        <v>4200</v>
      </c>
      <c r="F185">
        <v>11</v>
      </c>
      <c r="G185" s="12">
        <v>58.7</v>
      </c>
      <c r="H185" s="15">
        <v>0.27048021062639283</v>
      </c>
    </row>
    <row r="186" spans="4:8" x14ac:dyDescent="0.45">
      <c r="D186" s="8">
        <v>0.33</v>
      </c>
      <c r="E186">
        <v>4700</v>
      </c>
      <c r="F186">
        <v>6</v>
      </c>
      <c r="G186" s="12">
        <v>70.8</v>
      </c>
      <c r="H186" s="15">
        <v>0.2174956277134806</v>
      </c>
    </row>
    <row r="187" spans="4:8" x14ac:dyDescent="0.45">
      <c r="D187" s="8">
        <v>0.33</v>
      </c>
      <c r="E187">
        <v>4600</v>
      </c>
      <c r="F187">
        <v>1</v>
      </c>
      <c r="G187" s="12">
        <v>54.9</v>
      </c>
      <c r="H187" s="15">
        <v>0.19664567984726455</v>
      </c>
    </row>
    <row r="188" spans="4:8" x14ac:dyDescent="0.45">
      <c r="D188" s="8">
        <v>0.33</v>
      </c>
      <c r="E188">
        <v>4600</v>
      </c>
      <c r="F188">
        <v>4</v>
      </c>
      <c r="G188" s="12">
        <v>50.81</v>
      </c>
      <c r="H188" s="15">
        <v>0.22738906461947886</v>
      </c>
    </row>
    <row r="189" spans="4:8" x14ac:dyDescent="0.45">
      <c r="D189" s="8">
        <v>0.33</v>
      </c>
      <c r="E189">
        <v>4700</v>
      </c>
      <c r="F189">
        <v>2</v>
      </c>
      <c r="G189" s="12">
        <v>54</v>
      </c>
      <c r="H189" s="15">
        <v>0.21123915662655429</v>
      </c>
    </row>
    <row r="190" spans="4:8" x14ac:dyDescent="0.45">
      <c r="D190" s="8">
        <v>0.33</v>
      </c>
      <c r="E190">
        <v>4600</v>
      </c>
      <c r="F190">
        <v>4</v>
      </c>
      <c r="G190" s="12">
        <v>54</v>
      </c>
      <c r="H190" s="15">
        <v>0.19887970669654612</v>
      </c>
    </row>
    <row r="191" spans="4:8" x14ac:dyDescent="0.45">
      <c r="D191" s="8">
        <v>0.33</v>
      </c>
      <c r="E191">
        <v>4200</v>
      </c>
      <c r="F191">
        <v>11</v>
      </c>
      <c r="G191" s="12">
        <v>58.7</v>
      </c>
      <c r="H191" s="15">
        <v>0.20148353788090087</v>
      </c>
    </row>
    <row r="192" spans="4:8" x14ac:dyDescent="0.45">
      <c r="D192" s="8">
        <v>0.33</v>
      </c>
      <c r="E192">
        <v>4700</v>
      </c>
      <c r="F192">
        <v>6</v>
      </c>
      <c r="G192" s="12">
        <v>70.8</v>
      </c>
      <c r="H192" s="15">
        <v>0.29074832662793343</v>
      </c>
    </row>
    <row r="193" spans="4:8" x14ac:dyDescent="0.45">
      <c r="D193" s="8">
        <v>0.33</v>
      </c>
      <c r="E193">
        <v>6900</v>
      </c>
      <c r="F193">
        <v>13</v>
      </c>
      <c r="G193" s="12">
        <v>54.3</v>
      </c>
      <c r="H193" s="15">
        <v>0.12051282051282051</v>
      </c>
    </row>
    <row r="194" spans="4:8" x14ac:dyDescent="0.45">
      <c r="D194" s="8">
        <v>0.33</v>
      </c>
      <c r="E194">
        <v>6800</v>
      </c>
      <c r="F194">
        <v>12</v>
      </c>
      <c r="G194" s="12">
        <v>52</v>
      </c>
      <c r="H194" s="15">
        <v>0.11808510638297874</v>
      </c>
    </row>
    <row r="195" spans="4:8" x14ac:dyDescent="0.45">
      <c r="D195" s="8">
        <v>0.33</v>
      </c>
      <c r="E195">
        <v>9200</v>
      </c>
      <c r="F195">
        <v>9</v>
      </c>
      <c r="G195" s="12">
        <v>55</v>
      </c>
      <c r="H195" s="15">
        <v>0.21080000000000002</v>
      </c>
    </row>
    <row r="196" spans="4:8" x14ac:dyDescent="0.45">
      <c r="D196" s="8">
        <v>0.33</v>
      </c>
      <c r="E196">
        <v>7400</v>
      </c>
      <c r="F196">
        <v>10</v>
      </c>
      <c r="G196" s="12">
        <v>51.4</v>
      </c>
      <c r="H196" s="15">
        <v>0.10999999999999999</v>
      </c>
    </row>
    <row r="197" spans="4:8" x14ac:dyDescent="0.45">
      <c r="D197" s="8">
        <v>0.34</v>
      </c>
      <c r="E197">
        <v>6400</v>
      </c>
      <c r="F197">
        <v>6</v>
      </c>
      <c r="G197" s="12">
        <v>60.1</v>
      </c>
      <c r="H197" s="15">
        <v>0.21282167002279564</v>
      </c>
    </row>
    <row r="198" spans="4:8" x14ac:dyDescent="0.45">
      <c r="D198" s="8">
        <v>0.34</v>
      </c>
      <c r="E198">
        <v>6300</v>
      </c>
      <c r="F198">
        <v>7</v>
      </c>
      <c r="G198" s="12">
        <v>60.2</v>
      </c>
      <c r="H198" s="15">
        <v>0.2620648434335035</v>
      </c>
    </row>
    <row r="199" spans="4:8" x14ac:dyDescent="0.45">
      <c r="D199" s="8">
        <v>0.34</v>
      </c>
      <c r="E199">
        <v>6500</v>
      </c>
      <c r="F199">
        <v>12</v>
      </c>
      <c r="G199" s="12">
        <v>58.3</v>
      </c>
      <c r="H199" s="15">
        <v>0.25128023838392116</v>
      </c>
    </row>
    <row r="200" spans="4:8" x14ac:dyDescent="0.45">
      <c r="D200" s="8">
        <v>0.34</v>
      </c>
      <c r="E200">
        <v>6600</v>
      </c>
      <c r="F200">
        <v>5</v>
      </c>
      <c r="G200" s="12">
        <v>60.2</v>
      </c>
      <c r="H200" s="15">
        <v>0.23355295301968218</v>
      </c>
    </row>
    <row r="201" spans="4:8" x14ac:dyDescent="0.45">
      <c r="D201" s="8">
        <v>0.34</v>
      </c>
      <c r="E201">
        <v>6500</v>
      </c>
      <c r="F201">
        <v>0</v>
      </c>
      <c r="G201" s="12">
        <v>62.5</v>
      </c>
      <c r="H201" s="15">
        <v>0.18749842370912684</v>
      </c>
    </row>
    <row r="202" spans="4:8" x14ac:dyDescent="0.45">
      <c r="D202" s="8">
        <v>0.34</v>
      </c>
      <c r="E202">
        <v>6500</v>
      </c>
      <c r="F202">
        <v>9</v>
      </c>
      <c r="G202" s="12">
        <v>61.5</v>
      </c>
      <c r="H202" s="15">
        <v>0.29074530529788856</v>
      </c>
    </row>
    <row r="203" spans="4:8" x14ac:dyDescent="0.45">
      <c r="D203" s="8">
        <v>0.34</v>
      </c>
      <c r="E203">
        <v>6500</v>
      </c>
      <c r="F203">
        <v>12</v>
      </c>
      <c r="G203" s="12">
        <v>52.1</v>
      </c>
      <c r="H203" s="15">
        <v>0.20099621001414439</v>
      </c>
    </row>
    <row r="204" spans="4:8" x14ac:dyDescent="0.45">
      <c r="D204" s="8">
        <v>0.34</v>
      </c>
      <c r="E204">
        <v>6600</v>
      </c>
      <c r="F204">
        <v>4</v>
      </c>
      <c r="G204" s="12">
        <v>58.24</v>
      </c>
      <c r="H204" s="15">
        <v>0.21309040123524076</v>
      </c>
    </row>
    <row r="205" spans="4:8" x14ac:dyDescent="0.45">
      <c r="D205" s="8">
        <v>0.34</v>
      </c>
      <c r="E205">
        <v>6500</v>
      </c>
      <c r="F205">
        <v>11</v>
      </c>
      <c r="G205" s="12">
        <v>54.9</v>
      </c>
      <c r="H205" s="15">
        <v>0.18263076374937526</v>
      </c>
    </row>
    <row r="206" spans="4:8" x14ac:dyDescent="0.45">
      <c r="D206" s="8">
        <v>0.34</v>
      </c>
      <c r="E206">
        <v>6400</v>
      </c>
      <c r="F206">
        <v>4</v>
      </c>
      <c r="G206" s="12">
        <v>64.28</v>
      </c>
      <c r="H206" s="15">
        <v>0.24467225332882694</v>
      </c>
    </row>
    <row r="207" spans="4:8" x14ac:dyDescent="0.45">
      <c r="D207" s="8">
        <v>0.34</v>
      </c>
      <c r="E207">
        <v>6500</v>
      </c>
      <c r="F207">
        <v>7</v>
      </c>
      <c r="G207" s="12">
        <v>63.74</v>
      </c>
      <c r="H207" s="15">
        <v>0.2399306491187482</v>
      </c>
    </row>
    <row r="208" spans="4:8" x14ac:dyDescent="0.45">
      <c r="D208" s="8">
        <v>0.34</v>
      </c>
      <c r="E208">
        <v>6500</v>
      </c>
      <c r="F208">
        <v>14</v>
      </c>
      <c r="G208" s="12">
        <v>60.58</v>
      </c>
      <c r="H208" s="15">
        <v>0.23017344284384517</v>
      </c>
    </row>
    <row r="209" spans="4:8" x14ac:dyDescent="0.45">
      <c r="D209" s="8">
        <v>0.34</v>
      </c>
      <c r="E209">
        <v>6500</v>
      </c>
      <c r="F209">
        <v>14</v>
      </c>
      <c r="G209" s="12">
        <v>53.2</v>
      </c>
      <c r="H209" s="15">
        <v>0.24630993523840181</v>
      </c>
    </row>
    <row r="210" spans="4:8" x14ac:dyDescent="0.45">
      <c r="D210" s="8">
        <v>0.34</v>
      </c>
      <c r="E210">
        <v>6700</v>
      </c>
      <c r="F210">
        <v>6</v>
      </c>
      <c r="G210" s="12">
        <v>53.3</v>
      </c>
      <c r="H210" s="15">
        <v>0.24904356433033717</v>
      </c>
    </row>
    <row r="211" spans="4:8" x14ac:dyDescent="0.45">
      <c r="D211" s="8">
        <v>0.34</v>
      </c>
      <c r="E211">
        <v>6400</v>
      </c>
      <c r="F211">
        <v>6</v>
      </c>
      <c r="G211" s="12">
        <v>52.5</v>
      </c>
      <c r="H211" s="15">
        <v>0.31865048330616252</v>
      </c>
    </row>
    <row r="212" spans="4:8" x14ac:dyDescent="0.45">
      <c r="D212" s="8">
        <v>0.34</v>
      </c>
      <c r="E212">
        <v>6400</v>
      </c>
      <c r="F212">
        <v>9</v>
      </c>
      <c r="G212" s="12">
        <v>50.7</v>
      </c>
      <c r="H212" s="15">
        <v>0.22982583769075551</v>
      </c>
    </row>
    <row r="213" spans="4:8" x14ac:dyDescent="0.45">
      <c r="D213" s="8">
        <v>0.34</v>
      </c>
      <c r="E213">
        <v>4300</v>
      </c>
      <c r="F213">
        <v>7</v>
      </c>
      <c r="G213" s="12">
        <v>57.3</v>
      </c>
      <c r="H213" s="15">
        <v>0.22597617339744897</v>
      </c>
    </row>
    <row r="214" spans="4:8" x14ac:dyDescent="0.45">
      <c r="D214" s="8">
        <v>0.34</v>
      </c>
      <c r="E214">
        <v>4400</v>
      </c>
      <c r="F214">
        <v>7</v>
      </c>
      <c r="G214" s="12">
        <v>52.5</v>
      </c>
      <c r="H214" s="15">
        <v>0.22706377113761025</v>
      </c>
    </row>
    <row r="215" spans="4:8" x14ac:dyDescent="0.45">
      <c r="D215" s="8">
        <v>0.34</v>
      </c>
      <c r="E215">
        <v>4200</v>
      </c>
      <c r="F215">
        <v>12</v>
      </c>
      <c r="G215" s="12">
        <v>50.1</v>
      </c>
      <c r="H215" s="15">
        <v>0.17715691453229304</v>
      </c>
    </row>
    <row r="216" spans="4:8" x14ac:dyDescent="0.45">
      <c r="D216" s="8">
        <v>0.34</v>
      </c>
      <c r="E216">
        <v>4700</v>
      </c>
      <c r="F216">
        <v>9</v>
      </c>
      <c r="G216" s="12">
        <v>53.8</v>
      </c>
      <c r="H216" s="15">
        <v>0.19310273242983025</v>
      </c>
    </row>
    <row r="217" spans="4:8" x14ac:dyDescent="0.45">
      <c r="D217" s="8">
        <v>0.34</v>
      </c>
      <c r="E217">
        <v>4300</v>
      </c>
      <c r="F217">
        <v>7</v>
      </c>
      <c r="G217" s="12">
        <v>57.3</v>
      </c>
      <c r="H217" s="15">
        <v>0.25442254632723527</v>
      </c>
    </row>
    <row r="218" spans="4:8" x14ac:dyDescent="0.45">
      <c r="D218" s="8">
        <v>0.34</v>
      </c>
      <c r="E218">
        <v>4400</v>
      </c>
      <c r="F218">
        <v>7</v>
      </c>
      <c r="G218" s="12">
        <v>52.5</v>
      </c>
      <c r="H218" s="15">
        <v>0.28380558696080332</v>
      </c>
    </row>
    <row r="219" spans="4:8" x14ac:dyDescent="0.45">
      <c r="D219" s="8">
        <v>0.34</v>
      </c>
      <c r="E219">
        <v>4400</v>
      </c>
      <c r="F219">
        <v>11</v>
      </c>
      <c r="G219" s="12">
        <v>51</v>
      </c>
      <c r="H219" s="15">
        <v>0.19764384378539021</v>
      </c>
    </row>
    <row r="220" spans="4:8" x14ac:dyDescent="0.45">
      <c r="D220" s="8">
        <v>0.34</v>
      </c>
      <c r="E220">
        <v>5200</v>
      </c>
      <c r="F220">
        <v>1</v>
      </c>
      <c r="G220" s="12">
        <v>50.7</v>
      </c>
      <c r="H220" s="15">
        <v>0.16437847427345886</v>
      </c>
    </row>
    <row r="221" spans="4:8" x14ac:dyDescent="0.45">
      <c r="D221" s="8">
        <v>0.34</v>
      </c>
      <c r="E221">
        <v>4700</v>
      </c>
      <c r="F221">
        <v>2</v>
      </c>
      <c r="G221" s="12">
        <v>56</v>
      </c>
      <c r="H221" s="15">
        <v>8.2962962962962961E-2</v>
      </c>
    </row>
    <row r="222" spans="4:8" x14ac:dyDescent="0.45">
      <c r="D222" s="8">
        <v>0.34</v>
      </c>
      <c r="E222">
        <v>4300</v>
      </c>
      <c r="F222">
        <v>1</v>
      </c>
      <c r="G222" s="12">
        <v>53</v>
      </c>
      <c r="H222" s="15">
        <v>8.2549019607843138E-2</v>
      </c>
    </row>
    <row r="223" spans="4:8" x14ac:dyDescent="0.45">
      <c r="D223" s="8">
        <v>0.34</v>
      </c>
      <c r="E223">
        <v>4600</v>
      </c>
      <c r="F223">
        <v>7</v>
      </c>
      <c r="G223" s="12">
        <v>56</v>
      </c>
      <c r="H223" s="15">
        <v>0.14472222222222222</v>
      </c>
    </row>
    <row r="224" spans="4:8" x14ac:dyDescent="0.45">
      <c r="D224" s="8">
        <v>0.34</v>
      </c>
      <c r="E224">
        <v>8700</v>
      </c>
      <c r="F224">
        <v>12</v>
      </c>
      <c r="G224" s="12">
        <v>73</v>
      </c>
      <c r="H224" s="15">
        <v>0.10460000000000001</v>
      </c>
    </row>
    <row r="225" spans="4:8" x14ac:dyDescent="0.45">
      <c r="D225" s="8">
        <v>0.35</v>
      </c>
      <c r="E225">
        <v>6700</v>
      </c>
      <c r="F225">
        <v>10</v>
      </c>
      <c r="G225" s="12">
        <v>61.2</v>
      </c>
      <c r="H225" s="15">
        <v>0.21175275679675357</v>
      </c>
    </row>
    <row r="226" spans="4:8" x14ac:dyDescent="0.45">
      <c r="D226" s="8">
        <v>0.35</v>
      </c>
      <c r="E226">
        <v>6700</v>
      </c>
      <c r="F226">
        <v>9</v>
      </c>
      <c r="G226" s="12">
        <v>53.1</v>
      </c>
      <c r="H226" s="15">
        <v>0.22717170103347015</v>
      </c>
    </row>
    <row r="227" spans="4:8" x14ac:dyDescent="0.45">
      <c r="D227" s="8">
        <v>0.35</v>
      </c>
      <c r="E227">
        <v>7400</v>
      </c>
      <c r="F227">
        <v>12</v>
      </c>
      <c r="G227" s="12">
        <v>67.3</v>
      </c>
      <c r="H227" s="15">
        <v>0.24844768164066264</v>
      </c>
    </row>
    <row r="228" spans="4:8" x14ac:dyDescent="0.45">
      <c r="D228" s="8">
        <v>0.35</v>
      </c>
      <c r="E228">
        <v>6400</v>
      </c>
      <c r="F228">
        <v>12</v>
      </c>
      <c r="G228" s="12">
        <v>53.3</v>
      </c>
      <c r="H228" s="15">
        <v>0.24429846517190754</v>
      </c>
    </row>
    <row r="229" spans="4:8" x14ac:dyDescent="0.45">
      <c r="D229" s="8">
        <v>0.35</v>
      </c>
      <c r="E229">
        <v>6600</v>
      </c>
      <c r="F229">
        <v>13</v>
      </c>
      <c r="G229" s="12">
        <v>65.89</v>
      </c>
      <c r="H229" s="15">
        <v>0.28457177776859177</v>
      </c>
    </row>
    <row r="230" spans="4:8" x14ac:dyDescent="0.45">
      <c r="D230" s="8">
        <v>0.35</v>
      </c>
      <c r="E230">
        <v>6400</v>
      </c>
      <c r="F230">
        <v>7</v>
      </c>
      <c r="G230" s="12">
        <v>60.83</v>
      </c>
      <c r="H230" s="15">
        <v>0.26478797230546913</v>
      </c>
    </row>
    <row r="231" spans="4:8" x14ac:dyDescent="0.45">
      <c r="D231" s="8">
        <v>0.35</v>
      </c>
      <c r="E231">
        <v>6500</v>
      </c>
      <c r="F231">
        <v>6</v>
      </c>
      <c r="G231" s="12">
        <v>54.9</v>
      </c>
      <c r="H231" s="15">
        <v>0.26996244091275967</v>
      </c>
    </row>
    <row r="232" spans="4:8" x14ac:dyDescent="0.45">
      <c r="D232" s="8">
        <v>0.35</v>
      </c>
      <c r="E232">
        <v>6300</v>
      </c>
      <c r="F232">
        <v>7</v>
      </c>
      <c r="G232" s="12">
        <v>54.1</v>
      </c>
      <c r="H232" s="15">
        <v>0.22303545403866154</v>
      </c>
    </row>
    <row r="233" spans="4:8" x14ac:dyDescent="0.45">
      <c r="D233" s="8">
        <v>0.35</v>
      </c>
      <c r="E233">
        <v>6700</v>
      </c>
      <c r="F233">
        <v>12</v>
      </c>
      <c r="G233" s="12">
        <v>53</v>
      </c>
      <c r="H233" s="15">
        <v>0.19988448137107992</v>
      </c>
    </row>
    <row r="234" spans="4:8" x14ac:dyDescent="0.45">
      <c r="D234" s="8">
        <v>0.35</v>
      </c>
      <c r="E234">
        <v>6600</v>
      </c>
      <c r="F234">
        <v>10</v>
      </c>
      <c r="G234" s="12">
        <v>63.25</v>
      </c>
      <c r="H234" s="15">
        <v>0.23410492973471644</v>
      </c>
    </row>
    <row r="235" spans="4:8" x14ac:dyDescent="0.45">
      <c r="D235" s="8">
        <v>0.35</v>
      </c>
      <c r="E235">
        <v>6500</v>
      </c>
      <c r="F235">
        <v>13</v>
      </c>
      <c r="G235" s="12">
        <v>52.8</v>
      </c>
      <c r="H235" s="15">
        <v>0.21919358695578015</v>
      </c>
    </row>
    <row r="236" spans="4:8" x14ac:dyDescent="0.45">
      <c r="D236" s="8">
        <v>0.35</v>
      </c>
      <c r="E236">
        <v>6500</v>
      </c>
      <c r="F236">
        <v>15</v>
      </c>
      <c r="G236" s="12">
        <v>61.25</v>
      </c>
      <c r="H236" s="15">
        <v>0.22039229818066874</v>
      </c>
    </row>
    <row r="237" spans="4:8" x14ac:dyDescent="0.45">
      <c r="D237" s="8">
        <v>0.35</v>
      </c>
      <c r="E237">
        <v>7100</v>
      </c>
      <c r="F237">
        <v>12</v>
      </c>
      <c r="G237" s="12">
        <v>52.3</v>
      </c>
      <c r="H237" s="15">
        <v>0.19612435176383741</v>
      </c>
    </row>
    <row r="238" spans="4:8" x14ac:dyDescent="0.45">
      <c r="D238" s="8">
        <v>0.35</v>
      </c>
      <c r="E238">
        <v>4200</v>
      </c>
      <c r="F238">
        <v>2</v>
      </c>
      <c r="G238" s="12">
        <v>50.3</v>
      </c>
      <c r="H238" s="15">
        <v>0.22160446576401291</v>
      </c>
    </row>
    <row r="239" spans="4:8" x14ac:dyDescent="0.45">
      <c r="D239" s="8">
        <v>0.35</v>
      </c>
      <c r="E239">
        <v>4500</v>
      </c>
      <c r="F239">
        <v>3</v>
      </c>
      <c r="G239" s="12">
        <v>52</v>
      </c>
      <c r="H239" s="15">
        <v>0.22740334134490617</v>
      </c>
    </row>
    <row r="240" spans="4:8" x14ac:dyDescent="0.45">
      <c r="D240" s="8">
        <v>0.35</v>
      </c>
      <c r="E240">
        <v>4800</v>
      </c>
      <c r="F240">
        <v>3</v>
      </c>
      <c r="G240" s="12">
        <v>50.6</v>
      </c>
      <c r="H240" s="15">
        <v>0.20668014487811689</v>
      </c>
    </row>
    <row r="241" spans="4:8" x14ac:dyDescent="0.45">
      <c r="D241" s="8">
        <v>0.35</v>
      </c>
      <c r="E241">
        <v>4600</v>
      </c>
      <c r="F241">
        <v>7</v>
      </c>
      <c r="G241" s="12">
        <v>54.8</v>
      </c>
      <c r="H241" s="15">
        <v>0.23297051185495676</v>
      </c>
    </row>
    <row r="242" spans="4:8" x14ac:dyDescent="0.45">
      <c r="D242" s="8">
        <v>0.35</v>
      </c>
      <c r="E242">
        <v>4900</v>
      </c>
      <c r="F242">
        <v>0</v>
      </c>
      <c r="G242" s="12">
        <v>54</v>
      </c>
      <c r="H242" s="15">
        <v>0.12275</v>
      </c>
    </row>
    <row r="243" spans="4:8" x14ac:dyDescent="0.45">
      <c r="D243" s="8">
        <v>0.36</v>
      </c>
      <c r="E243">
        <v>6500</v>
      </c>
      <c r="F243">
        <v>6</v>
      </c>
      <c r="G243" s="12">
        <v>61.3</v>
      </c>
      <c r="H243" s="15">
        <v>0.21271559050920663</v>
      </c>
    </row>
    <row r="244" spans="4:8" x14ac:dyDescent="0.45">
      <c r="D244" s="8">
        <v>0.36</v>
      </c>
      <c r="E244">
        <v>6400</v>
      </c>
      <c r="F244">
        <v>11</v>
      </c>
      <c r="G244" s="12">
        <v>59</v>
      </c>
      <c r="H244" s="15">
        <v>0.18876566626566874</v>
      </c>
    </row>
    <row r="245" spans="4:8" x14ac:dyDescent="0.45">
      <c r="D245" s="8">
        <v>0.36</v>
      </c>
      <c r="E245">
        <v>6500</v>
      </c>
      <c r="F245">
        <v>8</v>
      </c>
      <c r="G245" s="12">
        <v>54.6</v>
      </c>
      <c r="H245" s="15">
        <v>0.21345008197465218</v>
      </c>
    </row>
    <row r="246" spans="4:8" x14ac:dyDescent="0.45">
      <c r="D246" s="8">
        <v>0.36</v>
      </c>
      <c r="E246">
        <v>6300</v>
      </c>
      <c r="F246">
        <v>0</v>
      </c>
      <c r="G246" s="12">
        <v>51.6</v>
      </c>
      <c r="H246" s="15">
        <v>0.20681092023534106</v>
      </c>
    </row>
    <row r="247" spans="4:8" x14ac:dyDescent="0.45">
      <c r="D247" s="8">
        <v>0.36</v>
      </c>
      <c r="E247">
        <v>6800</v>
      </c>
      <c r="F247">
        <v>13</v>
      </c>
      <c r="G247" s="12">
        <v>61.3</v>
      </c>
      <c r="H247" s="15">
        <v>0.24137873519332428</v>
      </c>
    </row>
    <row r="248" spans="4:8" x14ac:dyDescent="0.45">
      <c r="D248" s="8">
        <v>0.36</v>
      </c>
      <c r="E248">
        <v>6500</v>
      </c>
      <c r="F248">
        <v>14</v>
      </c>
      <c r="G248" s="12">
        <v>60.1</v>
      </c>
      <c r="H248" s="15">
        <v>0.1559410439258789</v>
      </c>
    </row>
    <row r="249" spans="4:8" x14ac:dyDescent="0.45">
      <c r="D249" s="8">
        <v>0.36</v>
      </c>
      <c r="E249">
        <v>6100</v>
      </c>
      <c r="F249">
        <v>6</v>
      </c>
      <c r="G249" s="12">
        <v>53.8</v>
      </c>
      <c r="H249" s="15">
        <v>0.20184220848453932</v>
      </c>
    </row>
    <row r="250" spans="4:8" x14ac:dyDescent="0.45">
      <c r="D250" s="8">
        <v>0.36</v>
      </c>
      <c r="E250">
        <v>6500</v>
      </c>
      <c r="F250">
        <v>11</v>
      </c>
      <c r="G250" s="12">
        <v>61</v>
      </c>
      <c r="H250" s="15">
        <v>0.27186624273106796</v>
      </c>
    </row>
    <row r="251" spans="4:8" x14ac:dyDescent="0.45">
      <c r="D251" s="8">
        <v>0.36</v>
      </c>
      <c r="E251">
        <v>6500</v>
      </c>
      <c r="F251">
        <v>13</v>
      </c>
      <c r="G251" s="12">
        <v>62.3</v>
      </c>
      <c r="H251" s="15">
        <v>0.24133579658508125</v>
      </c>
    </row>
    <row r="252" spans="4:8" x14ac:dyDescent="0.45">
      <c r="D252" s="8">
        <v>0.36</v>
      </c>
      <c r="E252">
        <v>4300</v>
      </c>
      <c r="F252">
        <v>10</v>
      </c>
      <c r="G252" s="12">
        <v>70.900000000000006</v>
      </c>
      <c r="H252" s="15">
        <v>0.27187322357907734</v>
      </c>
    </row>
    <row r="253" spans="4:8" x14ac:dyDescent="0.45">
      <c r="D253" s="8">
        <v>0.36</v>
      </c>
      <c r="E253">
        <v>4300</v>
      </c>
      <c r="F253">
        <v>10</v>
      </c>
      <c r="G253" s="12">
        <v>70.900000000000006</v>
      </c>
      <c r="H253" s="15">
        <v>0.23911830301894851</v>
      </c>
    </row>
    <row r="254" spans="4:8" x14ac:dyDescent="0.45">
      <c r="D254" s="8">
        <v>0.36</v>
      </c>
      <c r="E254">
        <v>5600</v>
      </c>
      <c r="F254">
        <v>3</v>
      </c>
      <c r="G254" s="12">
        <v>52.5</v>
      </c>
      <c r="H254" s="15">
        <v>0.10461538461538464</v>
      </c>
    </row>
    <row r="255" spans="4:8" x14ac:dyDescent="0.45">
      <c r="D255" s="8">
        <v>0.37</v>
      </c>
      <c r="E255">
        <v>6800</v>
      </c>
      <c r="F255">
        <v>6</v>
      </c>
      <c r="G255" s="12">
        <v>62.6</v>
      </c>
      <c r="H255" s="15">
        <v>0.21656748600076098</v>
      </c>
    </row>
    <row r="256" spans="4:8" x14ac:dyDescent="0.45">
      <c r="D256" s="8">
        <v>0.37</v>
      </c>
      <c r="E256">
        <v>6600</v>
      </c>
      <c r="F256">
        <v>13</v>
      </c>
      <c r="G256" s="12">
        <v>60.22</v>
      </c>
      <c r="H256" s="15">
        <v>0.22938238518532941</v>
      </c>
    </row>
    <row r="257" spans="4:8" x14ac:dyDescent="0.45">
      <c r="D257" s="8">
        <v>0.37</v>
      </c>
      <c r="E257">
        <v>6300</v>
      </c>
      <c r="F257">
        <v>12</v>
      </c>
      <c r="G257" s="12">
        <v>60.21</v>
      </c>
      <c r="H257" s="15">
        <v>0.20494467996443499</v>
      </c>
    </row>
    <row r="258" spans="4:8" x14ac:dyDescent="0.45">
      <c r="D258" s="8">
        <v>0.37</v>
      </c>
      <c r="E258">
        <v>7000</v>
      </c>
      <c r="F258">
        <v>11</v>
      </c>
      <c r="G258" s="12">
        <v>71.5</v>
      </c>
      <c r="H258" s="15">
        <v>0.23196797116821191</v>
      </c>
    </row>
    <row r="259" spans="4:8" x14ac:dyDescent="0.45">
      <c r="D259" s="8">
        <v>0.37</v>
      </c>
      <c r="E259">
        <v>6400</v>
      </c>
      <c r="F259">
        <v>7</v>
      </c>
      <c r="G259" s="12">
        <v>59.68</v>
      </c>
      <c r="H259" s="15">
        <v>0.1790119471242009</v>
      </c>
    </row>
    <row r="260" spans="4:8" x14ac:dyDescent="0.45">
      <c r="D260" s="8">
        <v>0.37</v>
      </c>
      <c r="E260">
        <v>6400</v>
      </c>
      <c r="F260">
        <v>5</v>
      </c>
      <c r="G260" s="12">
        <v>53</v>
      </c>
      <c r="H260" s="15">
        <v>0.23319274877879445</v>
      </c>
    </row>
    <row r="261" spans="4:8" x14ac:dyDescent="0.45">
      <c r="D261" s="8">
        <v>0.37</v>
      </c>
      <c r="E261">
        <v>6300</v>
      </c>
      <c r="F261">
        <v>9</v>
      </c>
      <c r="G261" s="12">
        <v>63.6</v>
      </c>
      <c r="H261" s="15">
        <v>0.24054481923333595</v>
      </c>
    </row>
    <row r="262" spans="4:8" x14ac:dyDescent="0.45">
      <c r="D262" s="8">
        <v>0.37</v>
      </c>
      <c r="E262">
        <v>6700</v>
      </c>
      <c r="F262">
        <v>12</v>
      </c>
      <c r="G262" s="12">
        <v>50.7</v>
      </c>
      <c r="H262" s="15">
        <v>0.21392274879570999</v>
      </c>
    </row>
    <row r="263" spans="4:8" x14ac:dyDescent="0.45">
      <c r="D263" s="8">
        <v>0.37</v>
      </c>
      <c r="E263">
        <v>6500</v>
      </c>
      <c r="F263">
        <v>14</v>
      </c>
      <c r="G263" s="12">
        <v>51.8</v>
      </c>
      <c r="H263" s="15">
        <v>0.24000191406756685</v>
      </c>
    </row>
    <row r="264" spans="4:8" x14ac:dyDescent="0.45">
      <c r="D264" s="8">
        <v>0.37</v>
      </c>
      <c r="E264">
        <v>6900</v>
      </c>
      <c r="F264">
        <v>6</v>
      </c>
      <c r="G264" s="12">
        <v>60.1</v>
      </c>
      <c r="H264" s="15">
        <v>0.18656412923128954</v>
      </c>
    </row>
    <row r="265" spans="4:8" x14ac:dyDescent="0.45">
      <c r="D265" s="8">
        <v>0.37</v>
      </c>
      <c r="E265">
        <v>6400</v>
      </c>
      <c r="F265">
        <v>14</v>
      </c>
      <c r="G265" s="12">
        <v>54.9</v>
      </c>
      <c r="H265" s="15">
        <v>0.24025909224782319</v>
      </c>
    </row>
    <row r="266" spans="4:8" x14ac:dyDescent="0.45">
      <c r="D266" s="8">
        <v>0.37</v>
      </c>
      <c r="E266">
        <v>6900</v>
      </c>
      <c r="F266">
        <v>10</v>
      </c>
      <c r="G266" s="12">
        <v>50.3</v>
      </c>
      <c r="H266" s="15">
        <v>0.1866299478555653</v>
      </c>
    </row>
    <row r="267" spans="4:8" x14ac:dyDescent="0.45">
      <c r="D267" s="8">
        <v>0.37</v>
      </c>
      <c r="E267">
        <v>6900</v>
      </c>
      <c r="F267">
        <v>13</v>
      </c>
      <c r="G267" s="12">
        <v>51.4</v>
      </c>
      <c r="H267" s="15">
        <v>0.29989608087429448</v>
      </c>
    </row>
    <row r="268" spans="4:8" x14ac:dyDescent="0.45">
      <c r="D268" s="8">
        <v>0.38</v>
      </c>
      <c r="E268">
        <v>6400</v>
      </c>
      <c r="F268">
        <v>7</v>
      </c>
      <c r="G268" s="12">
        <v>60.1</v>
      </c>
      <c r="H268" s="15">
        <v>0.18711234271585667</v>
      </c>
    </row>
    <row r="269" spans="4:8" x14ac:dyDescent="0.45">
      <c r="D269" s="8">
        <v>0.38</v>
      </c>
      <c r="E269">
        <v>6600</v>
      </c>
      <c r="F269">
        <v>4</v>
      </c>
      <c r="G269" s="12">
        <v>63.2</v>
      </c>
      <c r="H269" s="15">
        <v>0.26123743710423547</v>
      </c>
    </row>
    <row r="270" spans="4:8" x14ac:dyDescent="0.45">
      <c r="D270" s="8">
        <v>0.38</v>
      </c>
      <c r="E270">
        <v>6400</v>
      </c>
      <c r="F270">
        <v>10</v>
      </c>
      <c r="G270" s="12">
        <v>59.66</v>
      </c>
      <c r="H270" s="15">
        <v>0.24072489359345689</v>
      </c>
    </row>
    <row r="271" spans="4:8" x14ac:dyDescent="0.45">
      <c r="D271" s="8">
        <v>0.38</v>
      </c>
      <c r="E271">
        <v>6600</v>
      </c>
      <c r="F271">
        <v>13</v>
      </c>
      <c r="G271" s="12">
        <v>51.7</v>
      </c>
      <c r="H271" s="15">
        <v>0.28182422741069735</v>
      </c>
    </row>
    <row r="272" spans="4:8" x14ac:dyDescent="0.45">
      <c r="D272" s="8">
        <v>0.38</v>
      </c>
      <c r="E272">
        <v>6200</v>
      </c>
      <c r="F272">
        <v>8</v>
      </c>
      <c r="G272" s="12">
        <v>52.6</v>
      </c>
      <c r="H272" s="15">
        <v>0.20104634525713874</v>
      </c>
    </row>
    <row r="273" spans="4:8" x14ac:dyDescent="0.45">
      <c r="D273" s="8">
        <v>0.38</v>
      </c>
      <c r="E273">
        <v>6300</v>
      </c>
      <c r="F273">
        <v>12</v>
      </c>
      <c r="G273" s="12">
        <v>59</v>
      </c>
      <c r="H273" s="15">
        <v>0.19337936925796481</v>
      </c>
    </row>
    <row r="274" spans="4:8" x14ac:dyDescent="0.45">
      <c r="D274" s="8">
        <v>0.38</v>
      </c>
      <c r="E274">
        <v>6200</v>
      </c>
      <c r="F274">
        <v>8</v>
      </c>
      <c r="G274" s="12">
        <v>52.2</v>
      </c>
      <c r="H274" s="15">
        <v>0.21065282447183434</v>
      </c>
    </row>
    <row r="275" spans="4:8" x14ac:dyDescent="0.45">
      <c r="D275" s="8">
        <v>0.38</v>
      </c>
      <c r="E275">
        <v>4500</v>
      </c>
      <c r="F275">
        <v>2</v>
      </c>
      <c r="G275" s="12">
        <v>50.7</v>
      </c>
      <c r="H275" s="15">
        <v>0.21771307404664755</v>
      </c>
    </row>
    <row r="276" spans="4:8" x14ac:dyDescent="0.45">
      <c r="D276" s="8">
        <v>0.38</v>
      </c>
      <c r="E276">
        <v>4600</v>
      </c>
      <c r="F276">
        <v>7</v>
      </c>
      <c r="G276" s="12">
        <v>52.3</v>
      </c>
      <c r="H276" s="15">
        <v>0.19405985220224795</v>
      </c>
    </row>
    <row r="277" spans="4:8" x14ac:dyDescent="0.45">
      <c r="D277" s="8">
        <v>0.39</v>
      </c>
      <c r="E277">
        <v>6300</v>
      </c>
      <c r="F277">
        <v>9</v>
      </c>
      <c r="G277" s="12">
        <v>61.3</v>
      </c>
      <c r="H277" s="15">
        <v>0.22356729045539611</v>
      </c>
    </row>
    <row r="278" spans="4:8" x14ac:dyDescent="0.45">
      <c r="D278" s="8">
        <v>0.39</v>
      </c>
      <c r="E278">
        <v>6400</v>
      </c>
      <c r="F278">
        <v>0</v>
      </c>
      <c r="G278" s="12">
        <v>52.8</v>
      </c>
      <c r="H278" s="15">
        <v>0.24952503474159987</v>
      </c>
    </row>
    <row r="279" spans="4:8" x14ac:dyDescent="0.45">
      <c r="D279" s="8">
        <v>0.39</v>
      </c>
      <c r="E279">
        <v>6500</v>
      </c>
      <c r="F279">
        <v>12</v>
      </c>
      <c r="G279" s="12">
        <v>51.5</v>
      </c>
      <c r="H279" s="15">
        <v>0.25304322725493134</v>
      </c>
    </row>
    <row r="280" spans="4:8" x14ac:dyDescent="0.45">
      <c r="D280" s="8">
        <v>0.39</v>
      </c>
      <c r="E280">
        <v>6100</v>
      </c>
      <c r="F280">
        <v>10</v>
      </c>
      <c r="G280" s="12">
        <v>72.3</v>
      </c>
      <c r="H280" s="15">
        <v>0.26141427158840741</v>
      </c>
    </row>
    <row r="281" spans="4:8" x14ac:dyDescent="0.45">
      <c r="D281" s="8">
        <v>0.4</v>
      </c>
      <c r="E281">
        <v>6600</v>
      </c>
      <c r="F281">
        <v>11</v>
      </c>
      <c r="G281" s="12">
        <v>65.3</v>
      </c>
      <c r="H281" s="15">
        <v>0.28127959472558034</v>
      </c>
    </row>
    <row r="282" spans="4:8" x14ac:dyDescent="0.45">
      <c r="D282" s="8">
        <v>0.4</v>
      </c>
      <c r="E282">
        <v>6100</v>
      </c>
      <c r="F282">
        <v>6</v>
      </c>
      <c r="G282" s="12">
        <v>52.1</v>
      </c>
      <c r="H282" s="15">
        <v>0.21695921635711782</v>
      </c>
    </row>
    <row r="283" spans="4:8" x14ac:dyDescent="0.45">
      <c r="D283" s="8">
        <v>0.4</v>
      </c>
      <c r="E283">
        <v>7300</v>
      </c>
      <c r="F283">
        <v>8</v>
      </c>
      <c r="G283" s="12">
        <v>57.5</v>
      </c>
      <c r="H283" s="15">
        <v>0.25271010709418801</v>
      </c>
    </row>
    <row r="284" spans="4:8" x14ac:dyDescent="0.45">
      <c r="D284" s="8">
        <v>0.4</v>
      </c>
      <c r="E284" s="6">
        <v>6500</v>
      </c>
      <c r="F284" s="6">
        <v>8</v>
      </c>
      <c r="G284" s="14">
        <v>61.5</v>
      </c>
      <c r="H284" s="17">
        <v>0.15900813673073039</v>
      </c>
    </row>
    <row r="285" spans="4:8" x14ac:dyDescent="0.45">
      <c r="D285" s="8">
        <v>0.4</v>
      </c>
      <c r="E285">
        <v>6200</v>
      </c>
      <c r="F285">
        <v>15</v>
      </c>
      <c r="G285" s="12">
        <v>57.3</v>
      </c>
      <c r="H285" s="15">
        <v>0.24725235870822374</v>
      </c>
    </row>
    <row r="286" spans="4:8" x14ac:dyDescent="0.45">
      <c r="D286" s="8">
        <v>0.4</v>
      </c>
      <c r="E286" s="2">
        <v>6500</v>
      </c>
      <c r="F286" s="2">
        <v>8</v>
      </c>
      <c r="G286" s="13">
        <v>62.8</v>
      </c>
      <c r="H286" s="18">
        <v>0.22960230709497578</v>
      </c>
    </row>
    <row r="287" spans="4:8" x14ac:dyDescent="0.45">
      <c r="D287" s="8">
        <v>0.4</v>
      </c>
      <c r="E287">
        <v>6300</v>
      </c>
      <c r="F287">
        <v>13</v>
      </c>
      <c r="G287" s="12">
        <v>51.7</v>
      </c>
      <c r="H287" s="15">
        <v>0.20466933001662968</v>
      </c>
    </row>
    <row r="288" spans="4:8" x14ac:dyDescent="0.45">
      <c r="D288" s="8">
        <v>0.41</v>
      </c>
      <c r="E288" s="2">
        <v>6600</v>
      </c>
      <c r="F288" s="2">
        <v>11</v>
      </c>
      <c r="G288" s="13">
        <v>64.5</v>
      </c>
      <c r="H288" s="18">
        <v>0.20031227115093694</v>
      </c>
    </row>
    <row r="289" spans="4:8" x14ac:dyDescent="0.45">
      <c r="D289" s="8">
        <v>0.41</v>
      </c>
      <c r="E289" s="2">
        <v>6200</v>
      </c>
      <c r="F289" s="2">
        <v>9</v>
      </c>
      <c r="G289" s="13">
        <v>50.7</v>
      </c>
      <c r="H289" s="18">
        <v>0.28943342036760572</v>
      </c>
    </row>
    <row r="290" spans="4:8" x14ac:dyDescent="0.45">
      <c r="D290" s="8">
        <v>0.41</v>
      </c>
      <c r="E290">
        <v>6000</v>
      </c>
      <c r="F290">
        <v>15</v>
      </c>
      <c r="G290" s="12">
        <v>49.5</v>
      </c>
      <c r="H290" s="15">
        <v>0.23570864087897919</v>
      </c>
    </row>
    <row r="291" spans="4:8" x14ac:dyDescent="0.45">
      <c r="D291" s="8">
        <v>0.41</v>
      </c>
      <c r="E291" s="2">
        <v>6400</v>
      </c>
      <c r="F291" s="2">
        <v>9</v>
      </c>
      <c r="G291" s="13">
        <v>63.8</v>
      </c>
      <c r="H291" s="18">
        <v>0.23852053227513662</v>
      </c>
    </row>
    <row r="292" spans="4:8" x14ac:dyDescent="0.45">
      <c r="D292" s="8">
        <v>0.41</v>
      </c>
      <c r="E292">
        <v>5800</v>
      </c>
      <c r="F292">
        <v>9</v>
      </c>
      <c r="G292" s="12">
        <v>50.9</v>
      </c>
      <c r="H292" s="15">
        <v>0.25600991020299585</v>
      </c>
    </row>
    <row r="293" spans="4:8" x14ac:dyDescent="0.45">
      <c r="D293" s="8">
        <v>0.42</v>
      </c>
      <c r="E293">
        <v>6500</v>
      </c>
      <c r="F293">
        <v>12</v>
      </c>
      <c r="G293" s="12">
        <v>65.3</v>
      </c>
      <c r="H293" s="15">
        <v>0.14485041718438071</v>
      </c>
    </row>
    <row r="294" spans="4:8" x14ac:dyDescent="0.45">
      <c r="D294" s="8">
        <v>0.42</v>
      </c>
      <c r="E294">
        <v>6400</v>
      </c>
      <c r="F294">
        <v>5</v>
      </c>
      <c r="G294" s="12">
        <v>60.21</v>
      </c>
      <c r="H294" s="15">
        <v>0.21117017439636679</v>
      </c>
    </row>
    <row r="295" spans="4:8" x14ac:dyDescent="0.45">
      <c r="D295" s="8">
        <v>0.42</v>
      </c>
      <c r="E295">
        <v>6200</v>
      </c>
      <c r="F295">
        <v>10</v>
      </c>
      <c r="G295" s="12">
        <v>52.6</v>
      </c>
      <c r="H295" s="15">
        <v>0.21128457721210006</v>
      </c>
    </row>
    <row r="296" spans="4:8" x14ac:dyDescent="0.45">
      <c r="D296" s="8">
        <v>0.43</v>
      </c>
      <c r="E296">
        <v>6400</v>
      </c>
      <c r="F296">
        <v>12</v>
      </c>
      <c r="G296" s="12">
        <v>51.1</v>
      </c>
      <c r="H296" s="15">
        <v>0.2242540799050744</v>
      </c>
    </row>
    <row r="297" spans="4:8" x14ac:dyDescent="0.45">
      <c r="D297" s="8">
        <v>0.44</v>
      </c>
      <c r="E297">
        <v>6300</v>
      </c>
      <c r="F297">
        <v>8</v>
      </c>
      <c r="G297" s="12">
        <v>60.25</v>
      </c>
      <c r="H297" s="15">
        <v>0.23748511032879865</v>
      </c>
    </row>
    <row r="298" spans="4:8" x14ac:dyDescent="0.45">
      <c r="D298" s="8">
        <v>0.44</v>
      </c>
      <c r="E298">
        <v>6600</v>
      </c>
      <c r="F298">
        <v>10</v>
      </c>
      <c r="G298" s="12">
        <v>59</v>
      </c>
      <c r="H298" s="15">
        <v>0.15895481426998961</v>
      </c>
    </row>
    <row r="299" spans="4:8" x14ac:dyDescent="0.45">
      <c r="D299" s="8">
        <v>0.45</v>
      </c>
      <c r="E299">
        <v>6300</v>
      </c>
      <c r="F299">
        <v>9</v>
      </c>
      <c r="G299" s="12">
        <v>56.4</v>
      </c>
      <c r="H299" s="15">
        <v>0.25810070901599569</v>
      </c>
    </row>
    <row r="300" spans="4:8" x14ac:dyDescent="0.45">
      <c r="D300" s="8">
        <v>0.46</v>
      </c>
      <c r="E300">
        <v>6500</v>
      </c>
      <c r="F300">
        <v>11</v>
      </c>
      <c r="G300" s="12">
        <v>71.900000000000006</v>
      </c>
      <c r="H300" s="15">
        <v>0.1824360478039018</v>
      </c>
    </row>
    <row r="301" spans="4:8" x14ac:dyDescent="0.45">
      <c r="D301" s="8">
        <v>0.46</v>
      </c>
      <c r="E301">
        <v>6300</v>
      </c>
      <c r="F301">
        <v>13</v>
      </c>
      <c r="G301" s="12">
        <v>67.099999999999994</v>
      </c>
      <c r="H301" s="15">
        <v>0.22400716005216761</v>
      </c>
    </row>
    <row r="302" spans="4:8" x14ac:dyDescent="0.45">
      <c r="D302" s="8">
        <v>0.46</v>
      </c>
      <c r="E302">
        <v>5400</v>
      </c>
      <c r="F302">
        <v>9</v>
      </c>
      <c r="G302" s="12">
        <v>72.400000000000006</v>
      </c>
      <c r="H302" s="15">
        <v>0.23293013853769032</v>
      </c>
    </row>
    <row r="303" spans="4:8" x14ac:dyDescent="0.45">
      <c r="D303" s="8">
        <v>0.47</v>
      </c>
      <c r="E303">
        <v>6500</v>
      </c>
      <c r="F303">
        <v>8</v>
      </c>
      <c r="G303" s="12">
        <v>61.2</v>
      </c>
      <c r="H303" s="15">
        <v>0.23227331980418861</v>
      </c>
    </row>
    <row r="304" spans="4:8" x14ac:dyDescent="0.45">
      <c r="D304" s="8">
        <v>0.47</v>
      </c>
      <c r="E304">
        <v>7000</v>
      </c>
      <c r="F304">
        <v>9</v>
      </c>
      <c r="G304" s="12">
        <v>63.2</v>
      </c>
      <c r="H304" s="15">
        <v>0.19485851585663999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DDA2-030C-4543-BD3F-ABCAE45E11F6}">
  <dimension ref="A1:U315"/>
  <sheetViews>
    <sheetView workbookViewId="0">
      <pane xSplit="1" ySplit="3" topLeftCell="B271" activePane="bottomRight" state="frozen"/>
      <selection pane="topRight" activeCell="B1" sqref="B1"/>
      <selection pane="bottomLeft" activeCell="A4" sqref="A4"/>
      <selection pane="bottomRight" activeCell="E291" sqref="E291"/>
    </sheetView>
  </sheetViews>
  <sheetFormatPr defaultRowHeight="14.25" x14ac:dyDescent="0.45"/>
  <cols>
    <col min="4" max="4" width="12.46484375" customWidth="1"/>
    <col min="5" max="5" width="13.796875" customWidth="1"/>
    <col min="6" max="6" width="17.265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N1" t="s">
        <v>11</v>
      </c>
      <c r="O1" t="s">
        <v>12</v>
      </c>
      <c r="P1" t="s">
        <v>12</v>
      </c>
      <c r="Q1" t="s">
        <v>13</v>
      </c>
    </row>
    <row r="2" spans="1:2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M2" t="s">
        <v>14</v>
      </c>
      <c r="N2" t="s">
        <v>14</v>
      </c>
      <c r="O2" t="s">
        <v>22</v>
      </c>
      <c r="P2" t="s">
        <v>22</v>
      </c>
      <c r="Q2" t="s">
        <v>14</v>
      </c>
    </row>
    <row r="3" spans="1:21" ht="14.65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1" t="s">
        <v>27</v>
      </c>
      <c r="L3" s="1"/>
      <c r="M3" t="s">
        <v>10</v>
      </c>
      <c r="N3" t="s">
        <v>11</v>
      </c>
      <c r="O3" t="s">
        <v>12</v>
      </c>
      <c r="P3" t="s">
        <v>12</v>
      </c>
      <c r="Q3" t="s">
        <v>13</v>
      </c>
    </row>
    <row r="4" spans="1:21" x14ac:dyDescent="0.45">
      <c r="A4">
        <f t="shared" ref="A4:A67" ca="1" si="0">RANDBETWEEN(16,22)</f>
        <v>17</v>
      </c>
      <c r="B4">
        <v>0</v>
      </c>
      <c r="C4">
        <f t="shared" ref="C4:C67" ca="1" si="1">RANDBETWEEN(145,165)/10</f>
        <v>14.9</v>
      </c>
      <c r="D4">
        <v>31.77</v>
      </c>
      <c r="E4">
        <v>4778</v>
      </c>
      <c r="F4">
        <v>6.74</v>
      </c>
      <c r="G4">
        <v>10.17</v>
      </c>
      <c r="H4">
        <v>51.2</v>
      </c>
      <c r="I4">
        <v>12.54</v>
      </c>
      <c r="K4" t="e">
        <f t="shared" ref="K4:K67" si="2">(I4-J4)/M4</f>
        <v>#DIV/0!</v>
      </c>
      <c r="N4">
        <f t="shared" ref="N4:N67" ca="1" si="3">U4</f>
        <v>43.78708968144624</v>
      </c>
      <c r="O4">
        <f t="shared" ref="O4:O67" ca="1" si="4">C4/N4*60</f>
        <v>20.416976933244587</v>
      </c>
      <c r="P4">
        <v>37.847999999999999</v>
      </c>
      <c r="Q4">
        <v>4.5</v>
      </c>
      <c r="R4">
        <f t="shared" ref="R4:R67" ca="1" si="5">RANDBETWEEN(190,200)/10</f>
        <v>19.600000000000001</v>
      </c>
      <c r="S4">
        <f t="shared" ref="S4:S67" ca="1" si="6">RAND()</f>
        <v>0.8169769332445872</v>
      </c>
      <c r="T4">
        <f t="shared" ref="T4:T67" ca="1" si="7">R4+S4</f>
        <v>20.416976933244587</v>
      </c>
      <c r="U4">
        <f t="shared" ref="U4:U67" ca="1" si="8">C4*60/T4</f>
        <v>43.78708968144624</v>
      </c>
    </row>
    <row r="5" spans="1:21" x14ac:dyDescent="0.45">
      <c r="A5">
        <f t="shared" ca="1" si="0"/>
        <v>19</v>
      </c>
      <c r="B5">
        <v>0.21</v>
      </c>
      <c r="C5">
        <f t="shared" ca="1" si="1"/>
        <v>14.8</v>
      </c>
      <c r="D5">
        <v>38.5</v>
      </c>
      <c r="E5">
        <v>6355</v>
      </c>
      <c r="F5">
        <v>7.88</v>
      </c>
      <c r="G5">
        <v>10.52</v>
      </c>
      <c r="H5">
        <v>62.2</v>
      </c>
      <c r="I5">
        <v>12.31</v>
      </c>
      <c r="J5">
        <v>7.39</v>
      </c>
      <c r="K5">
        <f t="shared" ca="1" si="2"/>
        <v>0.24926563796008466</v>
      </c>
      <c r="M5">
        <f ca="1">N5-A5-Q5</f>
        <v>19.73797929094362</v>
      </c>
      <c r="N5">
        <f t="shared" ca="1" si="3"/>
        <v>43.23797929094362</v>
      </c>
      <c r="O5">
        <f t="shared" ca="1" si="4"/>
        <v>20.537500007221556</v>
      </c>
      <c r="P5">
        <v>9.0466666666666704</v>
      </c>
      <c r="Q5">
        <v>4.5</v>
      </c>
      <c r="R5">
        <f t="shared" ca="1" si="5"/>
        <v>19.600000000000001</v>
      </c>
      <c r="S5">
        <f t="shared" ca="1" si="6"/>
        <v>0.93750000722155302</v>
      </c>
      <c r="T5">
        <f t="shared" ca="1" si="7"/>
        <v>20.537500007221553</v>
      </c>
      <c r="U5">
        <f t="shared" ca="1" si="8"/>
        <v>43.23797929094362</v>
      </c>
    </row>
    <row r="6" spans="1:21" x14ac:dyDescent="0.45">
      <c r="A6">
        <f t="shared" ca="1" si="0"/>
        <v>16</v>
      </c>
      <c r="B6">
        <v>0.22</v>
      </c>
      <c r="C6">
        <f t="shared" ca="1" si="1"/>
        <v>16.2</v>
      </c>
      <c r="D6">
        <v>31.15</v>
      </c>
      <c r="E6">
        <v>4877</v>
      </c>
      <c r="F6">
        <v>0.5</v>
      </c>
      <c r="G6">
        <v>7.07</v>
      </c>
      <c r="H6">
        <v>53</v>
      </c>
      <c r="I6">
        <v>12.26</v>
      </c>
      <c r="J6">
        <v>7.15</v>
      </c>
      <c r="K6">
        <f t="shared" si="2"/>
        <v>0.11355555555555555</v>
      </c>
      <c r="M6">
        <v>45</v>
      </c>
      <c r="N6">
        <f t="shared" ca="1" si="3"/>
        <v>47.667303792337727</v>
      </c>
      <c r="O6">
        <f t="shared" ca="1" si="4"/>
        <v>20.391335835450462</v>
      </c>
      <c r="P6">
        <v>13.474285714285701</v>
      </c>
      <c r="Q6">
        <v>4.5</v>
      </c>
      <c r="R6">
        <f t="shared" ca="1" si="5"/>
        <v>19.8</v>
      </c>
      <c r="S6">
        <f t="shared" ca="1" si="6"/>
        <v>0.59133583545046065</v>
      </c>
      <c r="T6">
        <f t="shared" ca="1" si="7"/>
        <v>20.391335835450462</v>
      </c>
      <c r="U6">
        <f t="shared" ca="1" si="8"/>
        <v>47.667303792337727</v>
      </c>
    </row>
    <row r="7" spans="1:21" s="2" customFormat="1" x14ac:dyDescent="0.45">
      <c r="A7" s="2">
        <f t="shared" ca="1" si="0"/>
        <v>22</v>
      </c>
      <c r="B7" s="2">
        <v>0.24</v>
      </c>
      <c r="C7" s="2">
        <f t="shared" ca="1" si="1"/>
        <v>16.100000000000001</v>
      </c>
      <c r="D7" s="2">
        <v>33.200000000000003</v>
      </c>
      <c r="E7" s="2">
        <v>6255</v>
      </c>
      <c r="F7" s="2">
        <v>13.24</v>
      </c>
      <c r="G7" s="2">
        <v>8.14</v>
      </c>
      <c r="H7" s="2">
        <v>61.3</v>
      </c>
      <c r="I7" s="2">
        <v>10.81</v>
      </c>
      <c r="J7" s="2">
        <v>7.06</v>
      </c>
      <c r="K7" s="2">
        <f t="shared" ca="1" si="2"/>
        <v>0.18590219827069729</v>
      </c>
      <c r="M7" s="2">
        <f ca="1">N7-A7-Q7</f>
        <v>20.171897023721705</v>
      </c>
      <c r="N7" s="2">
        <f t="shared" ca="1" si="3"/>
        <v>46.671897023721705</v>
      </c>
      <c r="O7" s="2">
        <f t="shared" ca="1" si="4"/>
        <v>20.697680223047623</v>
      </c>
      <c r="P7" s="2">
        <v>10.275</v>
      </c>
      <c r="Q7" s="2">
        <v>4.5</v>
      </c>
      <c r="R7" s="2">
        <f t="shared" ca="1" si="5"/>
        <v>20</v>
      </c>
      <c r="S7" s="2">
        <f t="shared" ca="1" si="6"/>
        <v>0.69768022304762656</v>
      </c>
      <c r="T7" s="2">
        <f t="shared" ca="1" si="7"/>
        <v>20.697680223047627</v>
      </c>
      <c r="U7" s="2">
        <f t="shared" ca="1" si="8"/>
        <v>46.671897023721705</v>
      </c>
    </row>
    <row r="8" spans="1:21" s="2" customFormat="1" x14ac:dyDescent="0.45">
      <c r="A8" s="2">
        <f t="shared" ca="1" si="0"/>
        <v>20</v>
      </c>
      <c r="B8" s="2">
        <v>0.24</v>
      </c>
      <c r="C8" s="2">
        <f t="shared" ca="1" si="1"/>
        <v>15</v>
      </c>
      <c r="D8" s="2">
        <v>32.1</v>
      </c>
      <c r="E8" s="2">
        <v>6453</v>
      </c>
      <c r="F8" s="2">
        <v>13.23</v>
      </c>
      <c r="G8" s="2">
        <v>8.74</v>
      </c>
      <c r="H8" s="2">
        <v>56.2</v>
      </c>
      <c r="I8" s="2">
        <v>12.53</v>
      </c>
      <c r="J8" s="2">
        <v>7.2</v>
      </c>
      <c r="K8" s="2">
        <f t="shared" ca="1" si="2"/>
        <v>0.25481808055954236</v>
      </c>
      <c r="M8" s="2">
        <f ca="1">N8-A8-Q8</f>
        <v>20.916883088892739</v>
      </c>
      <c r="N8" s="2">
        <f t="shared" ca="1" si="3"/>
        <v>45.416883088892739</v>
      </c>
      <c r="O8" s="2">
        <f t="shared" ca="1" si="4"/>
        <v>19.816419331077039</v>
      </c>
      <c r="P8" s="2">
        <v>10.425882352941199</v>
      </c>
      <c r="Q8" s="2">
        <v>4.5</v>
      </c>
      <c r="R8" s="2">
        <f t="shared" ca="1" si="5"/>
        <v>19.7</v>
      </c>
      <c r="S8" s="2">
        <f t="shared" ca="1" si="6"/>
        <v>0.11641933107703994</v>
      </c>
      <c r="T8" s="2">
        <f t="shared" ca="1" si="7"/>
        <v>19.816419331077039</v>
      </c>
      <c r="U8" s="2">
        <f t="shared" ca="1" si="8"/>
        <v>45.416883088892739</v>
      </c>
    </row>
    <row r="9" spans="1:21" s="2" customFormat="1" x14ac:dyDescent="0.45">
      <c r="A9" s="2">
        <f t="shared" ca="1" si="0"/>
        <v>19</v>
      </c>
      <c r="B9" s="2">
        <v>0.24</v>
      </c>
      <c r="C9" s="2">
        <f t="shared" ca="1" si="1"/>
        <v>15.9</v>
      </c>
      <c r="D9" s="2">
        <v>325.36</v>
      </c>
      <c r="E9" s="2">
        <v>22.61</v>
      </c>
      <c r="F9" s="2">
        <v>35.729999999999997</v>
      </c>
      <c r="G9" s="2">
        <v>7438</v>
      </c>
      <c r="H9" s="2">
        <v>54.2</v>
      </c>
      <c r="I9" s="2">
        <v>12.46</v>
      </c>
      <c r="J9" s="2">
        <v>7.49</v>
      </c>
      <c r="K9" s="2">
        <f t="shared" ca="1" si="2"/>
        <v>0.19640704222381822</v>
      </c>
      <c r="M9" s="2">
        <f ca="1">N9-A9-Q9</f>
        <v>25.304591646649676</v>
      </c>
      <c r="N9" s="2">
        <f t="shared" ca="1" si="3"/>
        <v>48.804591646649676</v>
      </c>
      <c r="O9" s="2">
        <f t="shared" ca="1" si="4"/>
        <v>19.547341096654581</v>
      </c>
      <c r="P9" s="2">
        <v>16.9294117647059</v>
      </c>
      <c r="Q9" s="2">
        <v>4.5</v>
      </c>
      <c r="R9" s="2">
        <f t="shared" ca="1" si="5"/>
        <v>19.3</v>
      </c>
      <c r="S9" s="2">
        <f t="shared" ca="1" si="6"/>
        <v>0.24734109665457971</v>
      </c>
      <c r="T9" s="2">
        <f t="shared" ca="1" si="7"/>
        <v>19.547341096654581</v>
      </c>
      <c r="U9" s="2">
        <f t="shared" ca="1" si="8"/>
        <v>48.804591646649676</v>
      </c>
    </row>
    <row r="10" spans="1:21" x14ac:dyDescent="0.45">
      <c r="A10">
        <f t="shared" ca="1" si="0"/>
        <v>16</v>
      </c>
      <c r="B10">
        <v>0.25</v>
      </c>
      <c r="C10">
        <f t="shared" ca="1" si="1"/>
        <v>15.2</v>
      </c>
      <c r="D10">
        <v>40.590000000000003</v>
      </c>
      <c r="E10">
        <v>6538</v>
      </c>
      <c r="F10">
        <v>10.43</v>
      </c>
      <c r="G10">
        <v>9.61</v>
      </c>
      <c r="H10">
        <v>54.3</v>
      </c>
      <c r="I10">
        <v>12.61</v>
      </c>
      <c r="J10">
        <v>7.24</v>
      </c>
      <c r="K10">
        <f t="shared" ca="1" si="2"/>
        <v>0.22706064012639915</v>
      </c>
      <c r="M10">
        <f ca="1">N10-A10-Q10</f>
        <v>23.650069853633156</v>
      </c>
      <c r="N10">
        <f t="shared" ca="1" si="3"/>
        <v>44.150069853633156</v>
      </c>
      <c r="O10">
        <f t="shared" ca="1" si="4"/>
        <v>20.656818959142612</v>
      </c>
      <c r="P10">
        <v>11.0383561643836</v>
      </c>
      <c r="Q10">
        <v>4.5</v>
      </c>
      <c r="R10">
        <f t="shared" ca="1" si="5"/>
        <v>19.8</v>
      </c>
      <c r="S10">
        <f t="shared" ca="1" si="6"/>
        <v>0.85681895914261108</v>
      </c>
      <c r="T10">
        <f t="shared" ca="1" si="7"/>
        <v>20.656818959142612</v>
      </c>
      <c r="U10">
        <f t="shared" ca="1" si="8"/>
        <v>44.150069853633156</v>
      </c>
    </row>
    <row r="11" spans="1:21" x14ac:dyDescent="0.45">
      <c r="A11">
        <f t="shared" ca="1" si="0"/>
        <v>16</v>
      </c>
      <c r="B11">
        <v>0.26</v>
      </c>
      <c r="C11">
        <f t="shared" ca="1" si="1"/>
        <v>15.7</v>
      </c>
      <c r="D11">
        <v>35.799999999999997</v>
      </c>
      <c r="E11">
        <v>6125</v>
      </c>
      <c r="F11">
        <v>4.95</v>
      </c>
      <c r="G11">
        <v>8.1199999999999992</v>
      </c>
      <c r="H11">
        <v>61.25</v>
      </c>
      <c r="I11">
        <v>12.86</v>
      </c>
      <c r="J11">
        <v>7.4</v>
      </c>
      <c r="K11">
        <f t="shared" ca="1" si="2"/>
        <v>0.19241325362385722</v>
      </c>
      <c r="M11">
        <f ca="1">N11-A11-Q11</f>
        <v>28.376423646333564</v>
      </c>
      <c r="N11">
        <f t="shared" ca="1" si="3"/>
        <v>48.876423646333564</v>
      </c>
      <c r="O11">
        <f t="shared" ca="1" si="4"/>
        <v>19.273095896218738</v>
      </c>
      <c r="P11">
        <v>12.4026315789474</v>
      </c>
      <c r="Q11">
        <v>4.5</v>
      </c>
      <c r="R11">
        <f t="shared" ca="1" si="5"/>
        <v>19.2</v>
      </c>
      <c r="S11">
        <f t="shared" ca="1" si="6"/>
        <v>7.3095896218743017E-2</v>
      </c>
      <c r="T11">
        <f t="shared" ca="1" si="7"/>
        <v>19.273095896218742</v>
      </c>
      <c r="U11">
        <f t="shared" ca="1" si="8"/>
        <v>48.876423646333564</v>
      </c>
    </row>
    <row r="12" spans="1:21" x14ac:dyDescent="0.45">
      <c r="A12">
        <f t="shared" ca="1" si="0"/>
        <v>22</v>
      </c>
      <c r="B12">
        <v>0.26</v>
      </c>
      <c r="C12">
        <f t="shared" ca="1" si="1"/>
        <v>15.9</v>
      </c>
      <c r="D12">
        <v>44.71</v>
      </c>
      <c r="E12">
        <v>5559</v>
      </c>
      <c r="F12">
        <v>7.53</v>
      </c>
      <c r="G12">
        <v>5.43</v>
      </c>
      <c r="H12">
        <v>53.2</v>
      </c>
      <c r="I12">
        <v>11.64</v>
      </c>
      <c r="J12">
        <v>7.3</v>
      </c>
      <c r="K12">
        <f t="shared" si="2"/>
        <v>3.586776859504133E-2</v>
      </c>
      <c r="M12">
        <v>121</v>
      </c>
      <c r="N12">
        <f t="shared" ca="1" si="3"/>
        <v>46.811882754468783</v>
      </c>
      <c r="O12">
        <f t="shared" ca="1" si="4"/>
        <v>20.379440942458753</v>
      </c>
      <c r="P12">
        <v>8.4352941176470608</v>
      </c>
      <c r="Q12">
        <v>4.5</v>
      </c>
      <c r="R12">
        <f t="shared" ca="1" si="5"/>
        <v>19.399999999999999</v>
      </c>
      <c r="S12">
        <f t="shared" ca="1" si="6"/>
        <v>0.97944094245875624</v>
      </c>
      <c r="T12">
        <f t="shared" ca="1" si="7"/>
        <v>20.379440942458753</v>
      </c>
      <c r="U12">
        <f t="shared" ca="1" si="8"/>
        <v>46.811882754468783</v>
      </c>
    </row>
    <row r="13" spans="1:21" x14ac:dyDescent="0.45">
      <c r="A13">
        <f t="shared" ca="1" si="0"/>
        <v>16</v>
      </c>
      <c r="B13">
        <v>0.27</v>
      </c>
      <c r="C13">
        <f t="shared" ca="1" si="1"/>
        <v>16.2</v>
      </c>
      <c r="D13">
        <v>36.770000000000003</v>
      </c>
      <c r="E13">
        <v>6587</v>
      </c>
      <c r="F13">
        <v>9.6</v>
      </c>
      <c r="G13">
        <v>9.91</v>
      </c>
      <c r="H13">
        <v>60.26</v>
      </c>
      <c r="I13">
        <v>12.48</v>
      </c>
      <c r="J13">
        <v>7.25</v>
      </c>
      <c r="K13">
        <f t="shared" ca="1" si="2"/>
        <v>0.18793612047211319</v>
      </c>
      <c r="M13">
        <f ca="1">N13-A13-Q13</f>
        <v>27.828604670894286</v>
      </c>
      <c r="N13">
        <f t="shared" ca="1" si="3"/>
        <v>48.328604670894286</v>
      </c>
      <c r="O13">
        <f t="shared" ca="1" si="4"/>
        <v>20.112312503517884</v>
      </c>
      <c r="P13">
        <v>9.5857142857142907</v>
      </c>
      <c r="Q13">
        <v>4.5</v>
      </c>
      <c r="R13">
        <f t="shared" ca="1" si="5"/>
        <v>19.600000000000001</v>
      </c>
      <c r="S13">
        <f t="shared" ca="1" si="6"/>
        <v>0.51231250351788393</v>
      </c>
      <c r="T13">
        <f t="shared" ca="1" si="7"/>
        <v>20.112312503517884</v>
      </c>
      <c r="U13">
        <f t="shared" ca="1" si="8"/>
        <v>48.328604670894286</v>
      </c>
    </row>
    <row r="14" spans="1:21" x14ac:dyDescent="0.45">
      <c r="A14">
        <f t="shared" ca="1" si="0"/>
        <v>18</v>
      </c>
      <c r="B14">
        <v>0.27</v>
      </c>
      <c r="C14">
        <f t="shared" ca="1" si="1"/>
        <v>14.7</v>
      </c>
      <c r="D14">
        <v>34.119999999999997</v>
      </c>
      <c r="E14">
        <v>4351</v>
      </c>
      <c r="F14">
        <v>1.85</v>
      </c>
      <c r="G14">
        <v>12.21</v>
      </c>
      <c r="H14">
        <v>53</v>
      </c>
      <c r="I14">
        <v>12.37</v>
      </c>
      <c r="J14">
        <v>7.17</v>
      </c>
      <c r="K14">
        <f t="shared" ca="1" si="2"/>
        <v>0.23493961959226362</v>
      </c>
      <c r="M14">
        <f ca="1">N14-A14-Q14</f>
        <v>22.133346470146542</v>
      </c>
      <c r="N14">
        <f t="shared" ca="1" si="3"/>
        <v>44.633346470146542</v>
      </c>
      <c r="O14">
        <f t="shared" ca="1" si="4"/>
        <v>19.761009867139013</v>
      </c>
      <c r="P14">
        <v>9.9296703296703299</v>
      </c>
      <c r="Q14">
        <v>4.5</v>
      </c>
      <c r="R14">
        <f t="shared" ca="1" si="5"/>
        <v>19.399999999999999</v>
      </c>
      <c r="S14">
        <f t="shared" ca="1" si="6"/>
        <v>0.36100986713901384</v>
      </c>
      <c r="T14">
        <f t="shared" ca="1" si="7"/>
        <v>19.761009867139013</v>
      </c>
      <c r="U14">
        <f t="shared" ca="1" si="8"/>
        <v>44.633346470146542</v>
      </c>
    </row>
    <row r="15" spans="1:21" x14ac:dyDescent="0.45">
      <c r="A15">
        <f t="shared" ca="1" si="0"/>
        <v>21</v>
      </c>
      <c r="B15">
        <v>0.28000000000000003</v>
      </c>
      <c r="C15">
        <f t="shared" ca="1" si="1"/>
        <v>15.8</v>
      </c>
      <c r="D15">
        <v>38</v>
      </c>
      <c r="E15">
        <v>6634</v>
      </c>
      <c r="F15">
        <v>11.24</v>
      </c>
      <c r="G15">
        <v>10.55</v>
      </c>
      <c r="H15">
        <v>61.58</v>
      </c>
      <c r="I15">
        <v>12.37</v>
      </c>
      <c r="J15">
        <v>7.35</v>
      </c>
      <c r="K15">
        <f t="shared" ca="1" si="2"/>
        <v>0.22775805139126809</v>
      </c>
      <c r="M15">
        <f ca="1">N15-A15-Q15</f>
        <v>22.040933215467696</v>
      </c>
      <c r="N15">
        <f t="shared" ca="1" si="3"/>
        <v>47.540933215467696</v>
      </c>
      <c r="O15">
        <f t="shared" ca="1" si="4"/>
        <v>19.94071079133893</v>
      </c>
      <c r="P15">
        <v>7.0074626865671599</v>
      </c>
      <c r="Q15">
        <v>4.5</v>
      </c>
      <c r="R15">
        <f t="shared" ca="1" si="5"/>
        <v>19.2</v>
      </c>
      <c r="S15">
        <f t="shared" ca="1" si="6"/>
        <v>0.7407107913389317</v>
      </c>
      <c r="T15">
        <f t="shared" ca="1" si="7"/>
        <v>19.94071079133893</v>
      </c>
      <c r="U15">
        <f t="shared" ca="1" si="8"/>
        <v>47.540933215467696</v>
      </c>
    </row>
    <row r="16" spans="1:21" x14ac:dyDescent="0.45">
      <c r="A16">
        <f t="shared" ca="1" si="0"/>
        <v>21</v>
      </c>
      <c r="B16">
        <v>0.28000000000000003</v>
      </c>
      <c r="C16">
        <f t="shared" ca="1" si="1"/>
        <v>15.6</v>
      </c>
      <c r="D16">
        <v>410.9</v>
      </c>
      <c r="E16">
        <v>67.25</v>
      </c>
      <c r="F16">
        <v>12.71</v>
      </c>
      <c r="G16">
        <v>7835</v>
      </c>
      <c r="H16">
        <v>50.2</v>
      </c>
      <c r="I16">
        <v>11.6</v>
      </c>
      <c r="J16">
        <v>7.3</v>
      </c>
      <c r="K16">
        <f t="shared" ca="1" si="2"/>
        <v>0.20569406858133168</v>
      </c>
      <c r="M16">
        <f ca="1">N16-A16-Q16</f>
        <v>20.904832257230474</v>
      </c>
      <c r="N16">
        <f t="shared" ca="1" si="3"/>
        <v>46.404832257230474</v>
      </c>
      <c r="O16">
        <f t="shared" ca="1" si="4"/>
        <v>20.170313186600495</v>
      </c>
      <c r="P16">
        <v>7.1882352941176499</v>
      </c>
      <c r="Q16">
        <v>4.5</v>
      </c>
      <c r="R16">
        <f t="shared" ca="1" si="5"/>
        <v>19.7</v>
      </c>
      <c r="S16">
        <f t="shared" ca="1" si="6"/>
        <v>0.47031318660049959</v>
      </c>
      <c r="T16">
        <f t="shared" ca="1" si="7"/>
        <v>20.170313186600499</v>
      </c>
      <c r="U16">
        <f t="shared" ca="1" si="8"/>
        <v>46.404832257230474</v>
      </c>
    </row>
    <row r="17" spans="1:21" x14ac:dyDescent="0.45">
      <c r="A17">
        <f t="shared" ca="1" si="0"/>
        <v>18</v>
      </c>
      <c r="B17">
        <v>0.28000000000000003</v>
      </c>
      <c r="C17">
        <f t="shared" ca="1" si="1"/>
        <v>15.3</v>
      </c>
      <c r="D17">
        <v>32.07</v>
      </c>
      <c r="E17">
        <v>7403</v>
      </c>
      <c r="F17">
        <v>12.73</v>
      </c>
      <c r="G17">
        <v>11.86</v>
      </c>
      <c r="H17">
        <v>52.7</v>
      </c>
      <c r="I17">
        <v>12.29</v>
      </c>
      <c r="J17">
        <v>7.25</v>
      </c>
      <c r="K17">
        <f t="shared" si="2"/>
        <v>0.12599999999999997</v>
      </c>
      <c r="M17">
        <v>40</v>
      </c>
      <c r="N17">
        <f t="shared" ca="1" si="3"/>
        <v>45.828575820469545</v>
      </c>
      <c r="O17">
        <f t="shared" ca="1" si="4"/>
        <v>20.031170150174535</v>
      </c>
      <c r="P17">
        <v>15.222580645161299</v>
      </c>
      <c r="Q17">
        <v>4.5</v>
      </c>
      <c r="R17">
        <f t="shared" ca="1" si="5"/>
        <v>19.7</v>
      </c>
      <c r="S17">
        <f t="shared" ca="1" si="6"/>
        <v>0.33117015017453599</v>
      </c>
      <c r="T17">
        <f t="shared" ca="1" si="7"/>
        <v>20.031170150174535</v>
      </c>
      <c r="U17">
        <f t="shared" ca="1" si="8"/>
        <v>45.828575820469545</v>
      </c>
    </row>
    <row r="18" spans="1:21" x14ac:dyDescent="0.45">
      <c r="A18">
        <f t="shared" ca="1" si="0"/>
        <v>22</v>
      </c>
      <c r="B18">
        <v>0.28000000000000003</v>
      </c>
      <c r="C18">
        <f t="shared" ca="1" si="1"/>
        <v>14.9</v>
      </c>
      <c r="D18">
        <v>32.85</v>
      </c>
      <c r="E18">
        <v>9198</v>
      </c>
      <c r="F18">
        <v>7.22</v>
      </c>
      <c r="G18">
        <v>6.83</v>
      </c>
      <c r="H18">
        <v>30</v>
      </c>
      <c r="I18">
        <v>12.41</v>
      </c>
      <c r="J18">
        <v>7.3</v>
      </c>
      <c r="K18">
        <f t="shared" si="2"/>
        <v>9.6415094339622642E-2</v>
      </c>
      <c r="M18">
        <v>53</v>
      </c>
      <c r="N18">
        <f t="shared" ca="1" si="3"/>
        <v>44.288752858793316</v>
      </c>
      <c r="O18">
        <f t="shared" ca="1" si="4"/>
        <v>20.185711773152821</v>
      </c>
      <c r="P18">
        <v>10.4866666666667</v>
      </c>
      <c r="Q18">
        <v>4.5</v>
      </c>
      <c r="R18">
        <f t="shared" ca="1" si="5"/>
        <v>19.7</v>
      </c>
      <c r="S18">
        <f t="shared" ca="1" si="6"/>
        <v>0.48571177315282488</v>
      </c>
      <c r="T18">
        <f t="shared" ca="1" si="7"/>
        <v>20.185711773152825</v>
      </c>
      <c r="U18">
        <f t="shared" ca="1" si="8"/>
        <v>44.288752858793316</v>
      </c>
    </row>
    <row r="19" spans="1:21" x14ac:dyDescent="0.45">
      <c r="A19">
        <f t="shared" ca="1" si="0"/>
        <v>18</v>
      </c>
      <c r="B19">
        <v>0.28000000000000003</v>
      </c>
      <c r="C19">
        <f t="shared" ca="1" si="1"/>
        <v>15.3</v>
      </c>
      <c r="D19">
        <v>31.78</v>
      </c>
      <c r="E19">
        <v>7792</v>
      </c>
      <c r="F19">
        <v>13.15</v>
      </c>
      <c r="G19">
        <v>12.37</v>
      </c>
      <c r="H19">
        <v>52.8</v>
      </c>
      <c r="I19">
        <v>12.4</v>
      </c>
      <c r="J19">
        <v>7.3</v>
      </c>
      <c r="K19">
        <f t="shared" si="2"/>
        <v>9.4444444444444456E-2</v>
      </c>
      <c r="M19">
        <v>54</v>
      </c>
      <c r="N19">
        <f t="shared" ca="1" si="3"/>
        <v>46.268302024073414</v>
      </c>
      <c r="O19">
        <f t="shared" ca="1" si="4"/>
        <v>19.84079725947938</v>
      </c>
      <c r="P19">
        <v>12.2337662337662</v>
      </c>
      <c r="Q19">
        <v>4.5</v>
      </c>
      <c r="R19">
        <f t="shared" ca="1" si="5"/>
        <v>19.8</v>
      </c>
      <c r="S19">
        <f t="shared" ca="1" si="6"/>
        <v>4.0797259479380843E-2</v>
      </c>
      <c r="T19">
        <f t="shared" ca="1" si="7"/>
        <v>19.84079725947938</v>
      </c>
      <c r="U19">
        <f t="shared" ca="1" si="8"/>
        <v>46.268302024073414</v>
      </c>
    </row>
    <row r="20" spans="1:21" x14ac:dyDescent="0.45">
      <c r="A20">
        <f t="shared" ca="1" si="0"/>
        <v>16</v>
      </c>
      <c r="B20">
        <v>0.28000000000000003</v>
      </c>
      <c r="C20">
        <f t="shared" ca="1" si="1"/>
        <v>15.6</v>
      </c>
      <c r="D20">
        <v>31.93</v>
      </c>
      <c r="E20">
        <v>7941</v>
      </c>
      <c r="F20">
        <v>12.33</v>
      </c>
      <c r="G20">
        <v>11.24</v>
      </c>
      <c r="H20">
        <v>59.3</v>
      </c>
      <c r="I20">
        <v>12.45</v>
      </c>
      <c r="J20">
        <v>7.29</v>
      </c>
      <c r="K20">
        <f t="shared" si="2"/>
        <v>8.8965517241379299E-2</v>
      </c>
      <c r="M20">
        <v>58</v>
      </c>
      <c r="N20">
        <f t="shared" ca="1" si="3"/>
        <v>45.373116792617438</v>
      </c>
      <c r="O20">
        <f t="shared" ca="1" si="4"/>
        <v>20.628955341068714</v>
      </c>
      <c r="P20">
        <v>11.6296296296296</v>
      </c>
      <c r="Q20">
        <v>4.5</v>
      </c>
      <c r="R20">
        <f t="shared" ca="1" si="5"/>
        <v>19.7</v>
      </c>
      <c r="S20">
        <f t="shared" ca="1" si="6"/>
        <v>0.92895534106871647</v>
      </c>
      <c r="T20">
        <f t="shared" ca="1" si="7"/>
        <v>20.628955341068714</v>
      </c>
      <c r="U20">
        <f t="shared" ca="1" si="8"/>
        <v>45.373116792617438</v>
      </c>
    </row>
    <row r="21" spans="1:21" x14ac:dyDescent="0.45">
      <c r="A21">
        <f t="shared" ca="1" si="0"/>
        <v>17</v>
      </c>
      <c r="B21">
        <v>0.28000000000000003</v>
      </c>
      <c r="C21">
        <f t="shared" ca="1" si="1"/>
        <v>14.7</v>
      </c>
      <c r="D21">
        <v>31.99</v>
      </c>
      <c r="E21">
        <v>8222</v>
      </c>
      <c r="F21">
        <v>11.74</v>
      </c>
      <c r="G21">
        <v>8.2899999999999991</v>
      </c>
      <c r="H21">
        <v>50.6</v>
      </c>
      <c r="I21">
        <v>12.58</v>
      </c>
      <c r="J21">
        <v>7.17</v>
      </c>
      <c r="K21">
        <f t="shared" si="2"/>
        <v>8.7258064516129039E-2</v>
      </c>
      <c r="M21">
        <v>62</v>
      </c>
      <c r="N21">
        <f t="shared" ca="1" si="3"/>
        <v>42.402423114945201</v>
      </c>
      <c r="O21">
        <f t="shared" ca="1" si="4"/>
        <v>20.800698054662099</v>
      </c>
      <c r="P21">
        <v>11.061176470588199</v>
      </c>
      <c r="Q21">
        <v>4.5</v>
      </c>
      <c r="R21">
        <f t="shared" ca="1" si="5"/>
        <v>20</v>
      </c>
      <c r="S21">
        <f t="shared" ca="1" si="6"/>
        <v>0.8006980546621022</v>
      </c>
      <c r="T21">
        <f t="shared" ca="1" si="7"/>
        <v>20.800698054662103</v>
      </c>
      <c r="U21">
        <f t="shared" ca="1" si="8"/>
        <v>42.402423114945201</v>
      </c>
    </row>
    <row r="22" spans="1:21" x14ac:dyDescent="0.45">
      <c r="A22">
        <f t="shared" ca="1" si="0"/>
        <v>16</v>
      </c>
      <c r="B22">
        <v>0.28000000000000003</v>
      </c>
      <c r="C22">
        <f t="shared" ca="1" si="1"/>
        <v>15.5</v>
      </c>
      <c r="D22">
        <v>31.47</v>
      </c>
      <c r="E22">
        <v>7914</v>
      </c>
      <c r="F22">
        <v>11.88</v>
      </c>
      <c r="G22">
        <v>11.56</v>
      </c>
      <c r="H22">
        <v>50.8</v>
      </c>
      <c r="I22">
        <v>12.7</v>
      </c>
      <c r="J22">
        <v>7.25</v>
      </c>
      <c r="K22">
        <f t="shared" si="2"/>
        <v>7.5694444444444439E-2</v>
      </c>
      <c r="M22">
        <v>72</v>
      </c>
      <c r="N22">
        <f t="shared" ca="1" si="3"/>
        <v>46.480383601812505</v>
      </c>
      <c r="O22">
        <f t="shared" ca="1" si="4"/>
        <v>20.008440721296772</v>
      </c>
      <c r="P22">
        <v>9.7113402061855698</v>
      </c>
      <c r="Q22">
        <v>4.5</v>
      </c>
      <c r="R22">
        <f t="shared" ca="1" si="5"/>
        <v>19.3</v>
      </c>
      <c r="S22">
        <f t="shared" ca="1" si="6"/>
        <v>0.70844072129677105</v>
      </c>
      <c r="T22">
        <f t="shared" ca="1" si="7"/>
        <v>20.008440721296772</v>
      </c>
      <c r="U22">
        <f t="shared" ca="1" si="8"/>
        <v>46.480383601812505</v>
      </c>
    </row>
    <row r="23" spans="1:21" x14ac:dyDescent="0.45">
      <c r="A23">
        <f t="shared" ca="1" si="0"/>
        <v>16</v>
      </c>
      <c r="B23">
        <v>0.28999999999999998</v>
      </c>
      <c r="C23">
        <f t="shared" ca="1" si="1"/>
        <v>15.8</v>
      </c>
      <c r="D23">
        <v>35.07</v>
      </c>
      <c r="E23">
        <v>6324</v>
      </c>
      <c r="F23">
        <v>11.47</v>
      </c>
      <c r="G23">
        <v>12.97</v>
      </c>
      <c r="H23">
        <v>62.1</v>
      </c>
      <c r="I23">
        <v>11.56</v>
      </c>
      <c r="J23">
        <v>7.39</v>
      </c>
      <c r="K23">
        <f t="shared" ca="1" si="2"/>
        <v>0.155952084795933</v>
      </c>
      <c r="M23">
        <f t="shared" ref="M23:M34" ca="1" si="9">N23-A23-Q23</f>
        <v>26.738982075530089</v>
      </c>
      <c r="N23">
        <f t="shared" ca="1" si="3"/>
        <v>47.238982075530089</v>
      </c>
      <c r="O23">
        <f t="shared" ca="1" si="4"/>
        <v>20.068171631730955</v>
      </c>
      <c r="P23">
        <v>8.8043478260869605</v>
      </c>
      <c r="Q23">
        <v>4.5</v>
      </c>
      <c r="R23">
        <f t="shared" ca="1" si="5"/>
        <v>19.7</v>
      </c>
      <c r="S23">
        <f t="shared" ca="1" si="6"/>
        <v>0.36817163173095468</v>
      </c>
      <c r="T23">
        <f t="shared" ca="1" si="7"/>
        <v>20.068171631730955</v>
      </c>
      <c r="U23">
        <f t="shared" ca="1" si="8"/>
        <v>47.238982075530089</v>
      </c>
    </row>
    <row r="24" spans="1:21" x14ac:dyDescent="0.45">
      <c r="A24">
        <f t="shared" ca="1" si="0"/>
        <v>22</v>
      </c>
      <c r="B24">
        <v>0.28999999999999998</v>
      </c>
      <c r="C24">
        <f t="shared" ca="1" si="1"/>
        <v>16.2</v>
      </c>
      <c r="D24">
        <v>36.5</v>
      </c>
      <c r="E24">
        <v>6527</v>
      </c>
      <c r="F24">
        <v>8.14</v>
      </c>
      <c r="G24">
        <v>10.58</v>
      </c>
      <c r="H24">
        <v>61.3</v>
      </c>
      <c r="I24">
        <v>12</v>
      </c>
      <c r="J24">
        <v>7.28</v>
      </c>
      <c r="K24">
        <f t="shared" ca="1" si="2"/>
        <v>0.21903778607871943</v>
      </c>
      <c r="M24">
        <f t="shared" ca="1" si="9"/>
        <v>21.548793404548434</v>
      </c>
      <c r="N24">
        <f t="shared" ca="1" si="3"/>
        <v>48.048793404548434</v>
      </c>
      <c r="O24">
        <f t="shared" ca="1" si="4"/>
        <v>20.22943618617461</v>
      </c>
      <c r="P24">
        <v>9.0066666666666695</v>
      </c>
      <c r="Q24">
        <v>4.5</v>
      </c>
      <c r="R24">
        <f t="shared" ca="1" si="5"/>
        <v>19.8</v>
      </c>
      <c r="S24">
        <f t="shared" ca="1" si="6"/>
        <v>0.42943618617460977</v>
      </c>
      <c r="T24">
        <f t="shared" ca="1" si="7"/>
        <v>20.22943618617461</v>
      </c>
      <c r="U24">
        <f t="shared" ca="1" si="8"/>
        <v>48.048793404548434</v>
      </c>
    </row>
    <row r="25" spans="1:21" x14ac:dyDescent="0.45">
      <c r="A25">
        <f t="shared" ca="1" si="0"/>
        <v>20</v>
      </c>
      <c r="B25">
        <v>0.28999999999999998</v>
      </c>
      <c r="C25">
        <f t="shared" ca="1" si="1"/>
        <v>15</v>
      </c>
      <c r="D25">
        <v>35.33</v>
      </c>
      <c r="E25">
        <v>6521</v>
      </c>
      <c r="F25">
        <v>11.73</v>
      </c>
      <c r="G25">
        <v>10.85</v>
      </c>
      <c r="H25">
        <v>56.8</v>
      </c>
      <c r="I25">
        <v>12.65</v>
      </c>
      <c r="J25">
        <v>7.35</v>
      </c>
      <c r="K25">
        <f t="shared" ca="1" si="2"/>
        <v>0.23986939032185145</v>
      </c>
      <c r="M25">
        <f t="shared" ca="1" si="9"/>
        <v>22.0953577815351</v>
      </c>
      <c r="N25">
        <f t="shared" ca="1" si="3"/>
        <v>46.5953577815351</v>
      </c>
      <c r="O25">
        <f t="shared" ca="1" si="4"/>
        <v>19.315228873650881</v>
      </c>
      <c r="P25">
        <v>11.117647058823501</v>
      </c>
      <c r="Q25">
        <v>4.5</v>
      </c>
      <c r="R25">
        <f t="shared" ca="1" si="5"/>
        <v>19.2</v>
      </c>
      <c r="S25">
        <f t="shared" ca="1" si="6"/>
        <v>0.11522887365088308</v>
      </c>
      <c r="T25">
        <f t="shared" ca="1" si="7"/>
        <v>19.315228873650881</v>
      </c>
      <c r="U25">
        <f t="shared" ca="1" si="8"/>
        <v>46.5953577815351</v>
      </c>
    </row>
    <row r="26" spans="1:21" x14ac:dyDescent="0.45">
      <c r="A26">
        <f t="shared" ca="1" si="0"/>
        <v>20</v>
      </c>
      <c r="B26">
        <v>0.28999999999999998</v>
      </c>
      <c r="C26">
        <f t="shared" ca="1" si="1"/>
        <v>14.9</v>
      </c>
      <c r="D26">
        <v>37.54</v>
      </c>
      <c r="E26">
        <v>6684</v>
      </c>
      <c r="F26">
        <v>9.57</v>
      </c>
      <c r="G26">
        <v>11.63</v>
      </c>
      <c r="H26">
        <v>52.5</v>
      </c>
      <c r="I26">
        <v>11.3</v>
      </c>
      <c r="J26">
        <v>7.4</v>
      </c>
      <c r="K26">
        <f t="shared" ca="1" si="2"/>
        <v>0.18744284848358814</v>
      </c>
      <c r="M26">
        <f t="shared" ca="1" si="9"/>
        <v>20.806341941295621</v>
      </c>
      <c r="N26">
        <f t="shared" ca="1" si="3"/>
        <v>45.306341941295621</v>
      </c>
      <c r="O26">
        <f t="shared" ca="1" si="4"/>
        <v>19.732336836162464</v>
      </c>
      <c r="P26">
        <v>12.0379746835443</v>
      </c>
      <c r="Q26">
        <v>4.5</v>
      </c>
      <c r="R26">
        <f t="shared" ca="1" si="5"/>
        <v>19.399999999999999</v>
      </c>
      <c r="S26">
        <f t="shared" ca="1" si="6"/>
        <v>0.33233683616246501</v>
      </c>
      <c r="T26">
        <f t="shared" ca="1" si="7"/>
        <v>19.732336836162464</v>
      </c>
      <c r="U26">
        <f t="shared" ca="1" si="8"/>
        <v>45.306341941295621</v>
      </c>
    </row>
    <row r="27" spans="1:21" x14ac:dyDescent="0.45">
      <c r="A27">
        <f t="shared" ca="1" si="0"/>
        <v>20</v>
      </c>
      <c r="B27">
        <v>0.28999999999999998</v>
      </c>
      <c r="C27">
        <f t="shared" ca="1" si="1"/>
        <v>14.6</v>
      </c>
      <c r="D27">
        <v>41.59</v>
      </c>
      <c r="E27">
        <v>6346</v>
      </c>
      <c r="F27">
        <v>11.03</v>
      </c>
      <c r="G27">
        <v>11.38</v>
      </c>
      <c r="H27">
        <v>63.78</v>
      </c>
      <c r="I27">
        <v>12.57</v>
      </c>
      <c r="J27">
        <v>7.37</v>
      </c>
      <c r="K27">
        <f t="shared" ca="1" si="2"/>
        <v>0.27036060148990942</v>
      </c>
      <c r="M27">
        <f t="shared" ca="1" si="9"/>
        <v>19.233571649655019</v>
      </c>
      <c r="N27">
        <f t="shared" ca="1" si="3"/>
        <v>43.733571649655019</v>
      </c>
      <c r="O27">
        <f t="shared" ca="1" si="4"/>
        <v>20.030378653212743</v>
      </c>
      <c r="P27">
        <v>15.858823529411801</v>
      </c>
      <c r="Q27">
        <v>4.5</v>
      </c>
      <c r="R27">
        <f t="shared" ca="1" si="5"/>
        <v>19.899999999999999</v>
      </c>
      <c r="S27">
        <f t="shared" ca="1" si="6"/>
        <v>0.13037865321274722</v>
      </c>
      <c r="T27">
        <f t="shared" ca="1" si="7"/>
        <v>20.030378653212747</v>
      </c>
      <c r="U27">
        <f t="shared" ca="1" si="8"/>
        <v>43.733571649655019</v>
      </c>
    </row>
    <row r="28" spans="1:21" x14ac:dyDescent="0.45">
      <c r="A28">
        <f t="shared" ca="1" si="0"/>
        <v>21</v>
      </c>
      <c r="B28">
        <v>0.28999999999999998</v>
      </c>
      <c r="C28">
        <f t="shared" ca="1" si="1"/>
        <v>15.8</v>
      </c>
      <c r="D28">
        <v>46.49</v>
      </c>
      <c r="E28">
        <v>6296</v>
      </c>
      <c r="F28">
        <v>9.74</v>
      </c>
      <c r="G28">
        <v>9.4600000000000009</v>
      </c>
      <c r="H28">
        <v>62.8</v>
      </c>
      <c r="I28">
        <v>12.56</v>
      </c>
      <c r="J28">
        <v>7.21</v>
      </c>
      <c r="K28">
        <f t="shared" ca="1" si="2"/>
        <v>0.24770759552080071</v>
      </c>
      <c r="M28">
        <f t="shared" ca="1" si="9"/>
        <v>21.598045827992166</v>
      </c>
      <c r="N28">
        <f t="shared" ca="1" si="3"/>
        <v>47.098045827992166</v>
      </c>
      <c r="O28">
        <f t="shared" ca="1" si="4"/>
        <v>20.128223652043065</v>
      </c>
      <c r="P28">
        <v>9.7476923076923097</v>
      </c>
      <c r="Q28">
        <v>4.5</v>
      </c>
      <c r="R28">
        <f t="shared" ca="1" si="5"/>
        <v>20</v>
      </c>
      <c r="S28">
        <f t="shared" ca="1" si="6"/>
        <v>0.1282236520430623</v>
      </c>
      <c r="T28">
        <f t="shared" ca="1" si="7"/>
        <v>20.128223652043062</v>
      </c>
      <c r="U28">
        <f t="shared" ca="1" si="8"/>
        <v>47.098045827992166</v>
      </c>
    </row>
    <row r="29" spans="1:21" x14ac:dyDescent="0.45">
      <c r="A29">
        <f t="shared" ca="1" si="0"/>
        <v>21</v>
      </c>
      <c r="B29">
        <v>0.28999999999999998</v>
      </c>
      <c r="C29">
        <f t="shared" ca="1" si="1"/>
        <v>14.9</v>
      </c>
      <c r="D29">
        <v>38.229999999999997</v>
      </c>
      <c r="E29">
        <v>6584</v>
      </c>
      <c r="F29">
        <v>13.34</v>
      </c>
      <c r="G29">
        <v>12.41</v>
      </c>
      <c r="H29">
        <v>56.2</v>
      </c>
      <c r="I29">
        <v>12.63</v>
      </c>
      <c r="J29">
        <v>7.18</v>
      </c>
      <c r="K29">
        <f t="shared" ca="1" si="2"/>
        <v>0.29225663065649427</v>
      </c>
      <c r="M29">
        <f t="shared" ca="1" si="9"/>
        <v>18.647994359469962</v>
      </c>
      <c r="N29">
        <f t="shared" ca="1" si="3"/>
        <v>44.147994359469962</v>
      </c>
      <c r="O29">
        <f t="shared" ca="1" si="4"/>
        <v>20.250070540480454</v>
      </c>
      <c r="P29">
        <v>14.1272727272727</v>
      </c>
      <c r="Q29">
        <v>4.5</v>
      </c>
      <c r="R29">
        <f t="shared" ca="1" si="5"/>
        <v>19.3</v>
      </c>
      <c r="S29">
        <f t="shared" ca="1" si="6"/>
        <v>0.95007054048045447</v>
      </c>
      <c r="T29">
        <f t="shared" ca="1" si="7"/>
        <v>20.250070540480454</v>
      </c>
      <c r="U29">
        <f t="shared" ca="1" si="8"/>
        <v>44.147994359469962</v>
      </c>
    </row>
    <row r="30" spans="1:21" x14ac:dyDescent="0.45">
      <c r="A30">
        <f t="shared" ca="1" si="0"/>
        <v>20</v>
      </c>
      <c r="B30">
        <v>0.28999999999999998</v>
      </c>
      <c r="C30">
        <f t="shared" ca="1" si="1"/>
        <v>15.8</v>
      </c>
      <c r="D30">
        <v>36.299999999999997</v>
      </c>
      <c r="E30">
        <v>6482</v>
      </c>
      <c r="F30">
        <v>5.93</v>
      </c>
      <c r="G30">
        <v>6.95</v>
      </c>
      <c r="H30">
        <v>58.9</v>
      </c>
      <c r="I30">
        <v>12.14</v>
      </c>
      <c r="J30">
        <v>7.1</v>
      </c>
      <c r="K30">
        <f t="shared" ca="1" si="2"/>
        <v>0.20122579296212659</v>
      </c>
      <c r="M30">
        <f t="shared" ca="1" si="9"/>
        <v>25.04649093840866</v>
      </c>
      <c r="N30">
        <f t="shared" ca="1" si="3"/>
        <v>49.54649093840866</v>
      </c>
      <c r="O30">
        <f t="shared" ca="1" si="4"/>
        <v>19.13354471820135</v>
      </c>
      <c r="P30">
        <v>11.756521739130401</v>
      </c>
      <c r="Q30">
        <v>4.5</v>
      </c>
      <c r="R30">
        <f t="shared" ca="1" si="5"/>
        <v>19</v>
      </c>
      <c r="S30">
        <f t="shared" ca="1" si="6"/>
        <v>0.13354471820135105</v>
      </c>
      <c r="T30">
        <f t="shared" ca="1" si="7"/>
        <v>19.13354471820135</v>
      </c>
      <c r="U30">
        <f t="shared" ca="1" si="8"/>
        <v>49.54649093840866</v>
      </c>
    </row>
    <row r="31" spans="1:21" x14ac:dyDescent="0.45">
      <c r="A31">
        <f t="shared" ca="1" si="0"/>
        <v>16</v>
      </c>
      <c r="B31">
        <v>0.28999999999999998</v>
      </c>
      <c r="C31">
        <f t="shared" ca="1" si="1"/>
        <v>16.2</v>
      </c>
      <c r="D31">
        <v>37.65</v>
      </c>
      <c r="E31">
        <v>6421</v>
      </c>
      <c r="F31">
        <v>11.44</v>
      </c>
      <c r="G31">
        <v>12.68</v>
      </c>
      <c r="H31">
        <v>61.28</v>
      </c>
      <c r="I31">
        <v>13.07</v>
      </c>
      <c r="J31">
        <v>7.23</v>
      </c>
      <c r="K31">
        <f t="shared" ca="1" si="2"/>
        <v>0.21051598984077635</v>
      </c>
      <c r="M31">
        <f t="shared" ca="1" si="9"/>
        <v>27.741360665368369</v>
      </c>
      <c r="N31">
        <f t="shared" ca="1" si="3"/>
        <v>48.241360665368369</v>
      </c>
      <c r="O31">
        <f t="shared" ca="1" si="4"/>
        <v>20.148685414211002</v>
      </c>
      <c r="P31">
        <v>12.64</v>
      </c>
      <c r="Q31">
        <v>4.5</v>
      </c>
      <c r="R31">
        <f t="shared" ca="1" si="5"/>
        <v>19.3</v>
      </c>
      <c r="S31">
        <f t="shared" ca="1" si="6"/>
        <v>0.84868541421100119</v>
      </c>
      <c r="T31">
        <f t="shared" ca="1" si="7"/>
        <v>20.148685414211002</v>
      </c>
      <c r="U31">
        <f t="shared" ca="1" si="8"/>
        <v>48.241360665368369</v>
      </c>
    </row>
    <row r="32" spans="1:21" x14ac:dyDescent="0.45">
      <c r="A32">
        <f t="shared" ca="1" si="0"/>
        <v>19</v>
      </c>
      <c r="B32">
        <v>0.28999999999999998</v>
      </c>
      <c r="C32">
        <f t="shared" ca="1" si="1"/>
        <v>14.5</v>
      </c>
      <c r="D32">
        <v>35.01</v>
      </c>
      <c r="E32">
        <v>6919</v>
      </c>
      <c r="F32">
        <v>15.23</v>
      </c>
      <c r="G32">
        <v>13.24</v>
      </c>
      <c r="H32">
        <v>57.7</v>
      </c>
      <c r="I32">
        <v>13.1</v>
      </c>
      <c r="J32">
        <v>7.07</v>
      </c>
      <c r="K32">
        <f t="shared" ca="1" si="2"/>
        <v>0.27348323907284328</v>
      </c>
      <c r="M32">
        <f t="shared" ca="1" si="9"/>
        <v>22.048883216546542</v>
      </c>
      <c r="N32">
        <f t="shared" ca="1" si="3"/>
        <v>45.548883216546542</v>
      </c>
      <c r="O32">
        <f t="shared" ca="1" si="4"/>
        <v>19.100358528306465</v>
      </c>
      <c r="P32">
        <v>10.088888888888899</v>
      </c>
      <c r="Q32">
        <v>4.5</v>
      </c>
      <c r="R32">
        <f t="shared" ca="1" si="5"/>
        <v>19</v>
      </c>
      <c r="S32">
        <f t="shared" ca="1" si="6"/>
        <v>0.10035852830646474</v>
      </c>
      <c r="T32">
        <f t="shared" ca="1" si="7"/>
        <v>19.100358528306465</v>
      </c>
      <c r="U32">
        <f t="shared" ca="1" si="8"/>
        <v>45.548883216546542</v>
      </c>
    </row>
    <row r="33" spans="1:21" x14ac:dyDescent="0.45">
      <c r="A33">
        <f t="shared" ca="1" si="0"/>
        <v>22</v>
      </c>
      <c r="B33">
        <v>0.28999999999999998</v>
      </c>
      <c r="C33">
        <f t="shared" ca="1" si="1"/>
        <v>16</v>
      </c>
      <c r="D33">
        <v>39.39</v>
      </c>
      <c r="E33">
        <v>6571</v>
      </c>
      <c r="F33">
        <v>10.08</v>
      </c>
      <c r="G33">
        <v>11.89</v>
      </c>
      <c r="H33">
        <v>56.3</v>
      </c>
      <c r="I33">
        <v>12.34</v>
      </c>
      <c r="J33">
        <v>7.19</v>
      </c>
      <c r="K33">
        <f t="shared" ca="1" si="2"/>
        <v>0.26333416590723674</v>
      </c>
      <c r="M33">
        <f t="shared" ca="1" si="9"/>
        <v>19.556900192792156</v>
      </c>
      <c r="N33">
        <f t="shared" ca="1" si="3"/>
        <v>46.056900192792156</v>
      </c>
      <c r="O33">
        <f t="shared" ca="1" si="4"/>
        <v>20.84378227760623</v>
      </c>
      <c r="P33">
        <v>13.6941176470588</v>
      </c>
      <c r="Q33">
        <v>4.5</v>
      </c>
      <c r="R33">
        <f t="shared" ca="1" si="5"/>
        <v>20</v>
      </c>
      <c r="S33">
        <f t="shared" ca="1" si="6"/>
        <v>0.84378227760622559</v>
      </c>
      <c r="T33">
        <f t="shared" ca="1" si="7"/>
        <v>20.843782277606227</v>
      </c>
      <c r="U33">
        <f t="shared" ca="1" si="8"/>
        <v>46.056900192792156</v>
      </c>
    </row>
    <row r="34" spans="1:21" x14ac:dyDescent="0.45">
      <c r="A34">
        <f t="shared" ca="1" si="0"/>
        <v>18</v>
      </c>
      <c r="B34">
        <v>0.28999999999999998</v>
      </c>
      <c r="C34">
        <f t="shared" ca="1" si="1"/>
        <v>15.6</v>
      </c>
      <c r="D34">
        <v>31.48</v>
      </c>
      <c r="E34">
        <v>4604</v>
      </c>
      <c r="F34">
        <v>6.05</v>
      </c>
      <c r="G34">
        <v>14.08</v>
      </c>
      <c r="H34">
        <v>52</v>
      </c>
      <c r="I34">
        <v>11.98</v>
      </c>
      <c r="J34">
        <v>7.33</v>
      </c>
      <c r="K34">
        <f t="shared" ca="1" si="2"/>
        <v>0.19458227900490413</v>
      </c>
      <c r="M34">
        <f t="shared" ca="1" si="9"/>
        <v>23.897345759234348</v>
      </c>
      <c r="N34">
        <f t="shared" ca="1" si="3"/>
        <v>46.397345759234348</v>
      </c>
      <c r="O34">
        <f t="shared" ca="1" si="4"/>
        <v>20.17356779107801</v>
      </c>
      <c r="P34">
        <v>15.125806451612901</v>
      </c>
      <c r="Q34">
        <v>4.5</v>
      </c>
      <c r="R34">
        <f t="shared" ca="1" si="5"/>
        <v>19.600000000000001</v>
      </c>
      <c r="S34">
        <f t="shared" ca="1" si="6"/>
        <v>0.57356779107800915</v>
      </c>
      <c r="T34">
        <f t="shared" ca="1" si="7"/>
        <v>20.17356779107801</v>
      </c>
      <c r="U34">
        <f t="shared" ca="1" si="8"/>
        <v>46.397345759234348</v>
      </c>
    </row>
    <row r="35" spans="1:21" x14ac:dyDescent="0.45">
      <c r="A35">
        <f t="shared" ca="1" si="0"/>
        <v>21</v>
      </c>
      <c r="B35">
        <v>0.28999999999999998</v>
      </c>
      <c r="C35">
        <f t="shared" ca="1" si="1"/>
        <v>15.7</v>
      </c>
      <c r="D35">
        <v>31.08</v>
      </c>
      <c r="E35">
        <v>7184</v>
      </c>
      <c r="F35">
        <v>13.35</v>
      </c>
      <c r="G35">
        <v>9.6999999999999993</v>
      </c>
      <c r="H35">
        <v>57.7</v>
      </c>
      <c r="I35">
        <v>12.95</v>
      </c>
      <c r="J35">
        <v>7.27</v>
      </c>
      <c r="K35">
        <f t="shared" si="2"/>
        <v>0.14564102564102563</v>
      </c>
      <c r="M35">
        <v>39</v>
      </c>
      <c r="N35">
        <f t="shared" ca="1" si="3"/>
        <v>49.15536139357534</v>
      </c>
      <c r="O35">
        <f t="shared" ca="1" si="4"/>
        <v>19.163728498660177</v>
      </c>
      <c r="P35">
        <v>15.540983606557401</v>
      </c>
      <c r="Q35">
        <v>4.5</v>
      </c>
      <c r="R35">
        <f t="shared" ca="1" si="5"/>
        <v>19.100000000000001</v>
      </c>
      <c r="S35">
        <f t="shared" ca="1" si="6"/>
        <v>6.3728498660176713E-2</v>
      </c>
      <c r="T35">
        <f t="shared" ca="1" si="7"/>
        <v>19.163728498660177</v>
      </c>
      <c r="U35">
        <f t="shared" ca="1" si="8"/>
        <v>49.15536139357534</v>
      </c>
    </row>
    <row r="36" spans="1:21" x14ac:dyDescent="0.45">
      <c r="A36">
        <f t="shared" ca="1" si="0"/>
        <v>16</v>
      </c>
      <c r="B36">
        <v>0.28999999999999998</v>
      </c>
      <c r="C36">
        <f t="shared" ca="1" si="1"/>
        <v>16.3</v>
      </c>
      <c r="D36">
        <v>32.590000000000003</v>
      </c>
      <c r="E36">
        <v>8786</v>
      </c>
      <c r="F36">
        <v>12.97</v>
      </c>
      <c r="G36">
        <v>9.19</v>
      </c>
      <c r="H36">
        <v>69.7</v>
      </c>
      <c r="I36">
        <v>12.94</v>
      </c>
      <c r="J36">
        <v>7.32</v>
      </c>
      <c r="K36">
        <f t="shared" si="2"/>
        <v>0.17030303030303029</v>
      </c>
      <c r="M36">
        <v>33</v>
      </c>
      <c r="N36">
        <f t="shared" ca="1" si="3"/>
        <v>47.396131480260216</v>
      </c>
      <c r="O36">
        <f t="shared" ca="1" si="4"/>
        <v>20.634595471305978</v>
      </c>
      <c r="P36">
        <v>17.116363636363602</v>
      </c>
      <c r="Q36">
        <v>4.5</v>
      </c>
      <c r="R36">
        <f t="shared" ca="1" si="5"/>
        <v>19.7</v>
      </c>
      <c r="S36">
        <f t="shared" ca="1" si="6"/>
        <v>0.93459547130597487</v>
      </c>
      <c r="T36">
        <f t="shared" ca="1" si="7"/>
        <v>20.634595471305975</v>
      </c>
      <c r="U36">
        <f t="shared" ca="1" si="8"/>
        <v>47.396131480260216</v>
      </c>
    </row>
    <row r="37" spans="1:21" x14ac:dyDescent="0.45">
      <c r="A37">
        <f t="shared" ca="1" si="0"/>
        <v>17</v>
      </c>
      <c r="B37">
        <v>0.28999999999999998</v>
      </c>
      <c r="C37">
        <f t="shared" ca="1" si="1"/>
        <v>15.4</v>
      </c>
      <c r="D37">
        <v>32.56</v>
      </c>
      <c r="E37">
        <v>9200</v>
      </c>
      <c r="F37">
        <v>13.24</v>
      </c>
      <c r="G37">
        <v>12.11</v>
      </c>
      <c r="H37">
        <v>72</v>
      </c>
      <c r="I37">
        <v>12.98</v>
      </c>
      <c r="J37">
        <v>7.35</v>
      </c>
      <c r="K37">
        <f t="shared" si="2"/>
        <v>0.16558823529411767</v>
      </c>
      <c r="M37">
        <v>34</v>
      </c>
      <c r="N37">
        <f t="shared" ca="1" si="3"/>
        <v>45.599049738664554</v>
      </c>
      <c r="O37">
        <f t="shared" ca="1" si="4"/>
        <v>20.263580168788422</v>
      </c>
      <c r="P37">
        <v>16.832142857142902</v>
      </c>
      <c r="Q37">
        <v>4.5</v>
      </c>
      <c r="R37">
        <f t="shared" ca="1" si="5"/>
        <v>19.600000000000001</v>
      </c>
      <c r="S37">
        <f t="shared" ca="1" si="6"/>
        <v>0.66358016878841952</v>
      </c>
      <c r="T37">
        <f t="shared" ca="1" si="7"/>
        <v>20.263580168788422</v>
      </c>
      <c r="U37">
        <f t="shared" ca="1" si="8"/>
        <v>45.599049738664554</v>
      </c>
    </row>
    <row r="38" spans="1:21" x14ac:dyDescent="0.45">
      <c r="A38">
        <f t="shared" ca="1" si="0"/>
        <v>17</v>
      </c>
      <c r="B38">
        <v>0.28999999999999998</v>
      </c>
      <c r="C38">
        <f t="shared" ca="1" si="1"/>
        <v>15.1</v>
      </c>
      <c r="D38">
        <v>32.119999999999997</v>
      </c>
      <c r="E38">
        <v>9398</v>
      </c>
      <c r="F38">
        <v>13.47</v>
      </c>
      <c r="G38">
        <v>12.58</v>
      </c>
      <c r="H38">
        <v>52.6</v>
      </c>
      <c r="I38">
        <v>12.34</v>
      </c>
      <c r="J38">
        <v>7.36</v>
      </c>
      <c r="K38">
        <f t="shared" si="2"/>
        <v>0.13459459459459458</v>
      </c>
      <c r="M38">
        <v>37</v>
      </c>
      <c r="N38">
        <f t="shared" ca="1" si="3"/>
        <v>46.573532225605504</v>
      </c>
      <c r="O38">
        <f t="shared" ca="1" si="4"/>
        <v>19.453109023624656</v>
      </c>
      <c r="P38">
        <v>15.945762711864401</v>
      </c>
      <c r="Q38">
        <v>4.5</v>
      </c>
      <c r="R38">
        <f t="shared" ca="1" si="5"/>
        <v>19.100000000000001</v>
      </c>
      <c r="S38">
        <f t="shared" ca="1" si="6"/>
        <v>0.35310902362465102</v>
      </c>
      <c r="T38">
        <f t="shared" ca="1" si="7"/>
        <v>19.453109023624652</v>
      </c>
      <c r="U38">
        <f t="shared" ca="1" si="8"/>
        <v>46.573532225605504</v>
      </c>
    </row>
    <row r="39" spans="1:21" x14ac:dyDescent="0.45">
      <c r="A39">
        <f t="shared" ca="1" si="0"/>
        <v>16</v>
      </c>
      <c r="B39">
        <v>0.28999999999999998</v>
      </c>
      <c r="C39">
        <f t="shared" ca="1" si="1"/>
        <v>15.6</v>
      </c>
      <c r="D39">
        <v>31.28</v>
      </c>
      <c r="E39">
        <v>7284</v>
      </c>
      <c r="F39">
        <v>13.42</v>
      </c>
      <c r="G39">
        <v>13.02</v>
      </c>
      <c r="H39">
        <v>51.2</v>
      </c>
      <c r="I39">
        <v>12.94</v>
      </c>
      <c r="J39">
        <v>7.32</v>
      </c>
      <c r="K39">
        <f t="shared" si="2"/>
        <v>0.14789473684210525</v>
      </c>
      <c r="M39">
        <v>38</v>
      </c>
      <c r="N39">
        <f t="shared" ca="1" si="3"/>
        <v>48.27371941419883</v>
      </c>
      <c r="O39">
        <f t="shared" ca="1" si="4"/>
        <v>19.389432000648632</v>
      </c>
      <c r="P39">
        <v>15.472131147541001</v>
      </c>
      <c r="Q39">
        <v>4.5</v>
      </c>
      <c r="R39">
        <f t="shared" ca="1" si="5"/>
        <v>19.100000000000001</v>
      </c>
      <c r="S39">
        <f t="shared" ca="1" si="6"/>
        <v>0.28943200064863017</v>
      </c>
      <c r="T39">
        <f t="shared" ca="1" si="7"/>
        <v>19.389432000648632</v>
      </c>
      <c r="U39">
        <f t="shared" ca="1" si="8"/>
        <v>48.27371941419883</v>
      </c>
    </row>
    <row r="40" spans="1:21" x14ac:dyDescent="0.45">
      <c r="A40">
        <f t="shared" ca="1" si="0"/>
        <v>21</v>
      </c>
      <c r="B40">
        <v>0.28999999999999998</v>
      </c>
      <c r="C40">
        <f t="shared" ca="1" si="1"/>
        <v>16.2</v>
      </c>
      <c r="D40">
        <v>31.23</v>
      </c>
      <c r="E40">
        <v>9886</v>
      </c>
      <c r="F40">
        <v>11.48</v>
      </c>
      <c r="G40">
        <v>9.3800000000000008</v>
      </c>
      <c r="H40">
        <v>51</v>
      </c>
      <c r="I40">
        <v>12.11</v>
      </c>
      <c r="J40">
        <v>7.13</v>
      </c>
      <c r="K40">
        <f t="shared" si="2"/>
        <v>0.11581395348837208</v>
      </c>
      <c r="M40">
        <v>43</v>
      </c>
      <c r="N40">
        <f t="shared" ca="1" si="3"/>
        <v>50.116145881357731</v>
      </c>
      <c r="O40">
        <f t="shared" ca="1" si="4"/>
        <v>19.394947135421397</v>
      </c>
      <c r="P40">
        <v>13.233802816901401</v>
      </c>
      <c r="Q40">
        <v>4.5</v>
      </c>
      <c r="R40">
        <f t="shared" ca="1" si="5"/>
        <v>19.2</v>
      </c>
      <c r="S40">
        <f t="shared" ca="1" si="6"/>
        <v>0.19494713542139752</v>
      </c>
      <c r="T40">
        <f t="shared" ca="1" si="7"/>
        <v>19.394947135421397</v>
      </c>
      <c r="U40">
        <f t="shared" ca="1" si="8"/>
        <v>50.116145881357731</v>
      </c>
    </row>
    <row r="41" spans="1:21" x14ac:dyDescent="0.45">
      <c r="A41">
        <f t="shared" ca="1" si="0"/>
        <v>21</v>
      </c>
      <c r="B41">
        <v>0.28999999999999998</v>
      </c>
      <c r="C41">
        <f t="shared" ca="1" si="1"/>
        <v>16.3</v>
      </c>
      <c r="D41">
        <v>31.7</v>
      </c>
      <c r="E41">
        <v>7907</v>
      </c>
      <c r="F41">
        <v>11.52</v>
      </c>
      <c r="G41">
        <v>13.01</v>
      </c>
      <c r="H41">
        <v>52</v>
      </c>
      <c r="I41">
        <v>11.25</v>
      </c>
      <c r="J41">
        <v>7.14</v>
      </c>
      <c r="K41">
        <f t="shared" si="2"/>
        <v>0.12088235294117648</v>
      </c>
      <c r="M41">
        <v>34</v>
      </c>
      <c r="N41">
        <f t="shared" ca="1" si="3"/>
        <v>50.339203795147448</v>
      </c>
      <c r="O41">
        <f t="shared" ca="1" si="4"/>
        <v>19.428197632602927</v>
      </c>
      <c r="P41">
        <v>17.16</v>
      </c>
      <c r="Q41">
        <v>4.5</v>
      </c>
      <c r="R41">
        <f t="shared" ca="1" si="5"/>
        <v>19.100000000000001</v>
      </c>
      <c r="S41">
        <f t="shared" ca="1" si="6"/>
        <v>0.32819763260292545</v>
      </c>
      <c r="T41">
        <f t="shared" ca="1" si="7"/>
        <v>19.428197632602927</v>
      </c>
      <c r="U41">
        <f t="shared" ca="1" si="8"/>
        <v>50.339203795147448</v>
      </c>
    </row>
    <row r="42" spans="1:21" x14ac:dyDescent="0.45">
      <c r="A42">
        <f t="shared" ca="1" si="0"/>
        <v>21</v>
      </c>
      <c r="B42">
        <v>0.28999999999999998</v>
      </c>
      <c r="C42">
        <f t="shared" ca="1" si="1"/>
        <v>15.4</v>
      </c>
      <c r="D42">
        <v>34.22</v>
      </c>
      <c r="E42">
        <v>7618</v>
      </c>
      <c r="F42">
        <v>12.6</v>
      </c>
      <c r="G42">
        <v>13.98</v>
      </c>
      <c r="H42">
        <v>52.6</v>
      </c>
      <c r="I42">
        <v>12.78</v>
      </c>
      <c r="J42">
        <v>7.23</v>
      </c>
      <c r="K42">
        <f t="shared" si="2"/>
        <v>0.17343749999999997</v>
      </c>
      <c r="M42">
        <v>32</v>
      </c>
      <c r="N42">
        <f t="shared" ca="1" si="3"/>
        <v>44.850520067396559</v>
      </c>
      <c r="O42">
        <f t="shared" ca="1" si="4"/>
        <v>20.601767796928815</v>
      </c>
      <c r="P42">
        <v>17.600000000000001</v>
      </c>
      <c r="Q42">
        <v>4.5</v>
      </c>
      <c r="R42">
        <f t="shared" ca="1" si="5"/>
        <v>19.8</v>
      </c>
      <c r="S42">
        <f t="shared" ca="1" si="6"/>
        <v>0.80176779692881517</v>
      </c>
      <c r="T42">
        <f t="shared" ca="1" si="7"/>
        <v>20.601767796928815</v>
      </c>
      <c r="U42">
        <f t="shared" ca="1" si="8"/>
        <v>44.850520067396559</v>
      </c>
    </row>
    <row r="43" spans="1:21" x14ac:dyDescent="0.45">
      <c r="A43">
        <f t="shared" ca="1" si="0"/>
        <v>22</v>
      </c>
      <c r="B43">
        <v>0.28999999999999998</v>
      </c>
      <c r="C43">
        <f t="shared" ca="1" si="1"/>
        <v>15.4</v>
      </c>
      <c r="D43">
        <v>31.1</v>
      </c>
      <c r="E43">
        <v>7482</v>
      </c>
      <c r="F43">
        <v>12.65</v>
      </c>
      <c r="G43">
        <v>13.4</v>
      </c>
      <c r="H43">
        <v>53.4</v>
      </c>
      <c r="I43">
        <v>12.12</v>
      </c>
      <c r="J43">
        <v>7.37</v>
      </c>
      <c r="K43">
        <f t="shared" si="2"/>
        <v>0.11585365853658534</v>
      </c>
      <c r="M43">
        <v>41</v>
      </c>
      <c r="N43">
        <f t="shared" ca="1" si="3"/>
        <v>45.339109607240829</v>
      </c>
      <c r="O43">
        <f t="shared" ca="1" si="4"/>
        <v>20.379756197339034</v>
      </c>
      <c r="P43">
        <v>14.52</v>
      </c>
      <c r="Q43">
        <v>4.5</v>
      </c>
      <c r="R43">
        <f t="shared" ca="1" si="5"/>
        <v>20</v>
      </c>
      <c r="S43">
        <f t="shared" ca="1" si="6"/>
        <v>0.37975619733903265</v>
      </c>
      <c r="T43">
        <f t="shared" ca="1" si="7"/>
        <v>20.379756197339034</v>
      </c>
      <c r="U43">
        <f t="shared" ca="1" si="8"/>
        <v>45.339109607240829</v>
      </c>
    </row>
    <row r="44" spans="1:21" x14ac:dyDescent="0.45">
      <c r="A44">
        <f t="shared" ca="1" si="0"/>
        <v>21</v>
      </c>
      <c r="B44">
        <v>0.28999999999999998</v>
      </c>
      <c r="C44">
        <f t="shared" ca="1" si="1"/>
        <v>15.2</v>
      </c>
      <c r="D44">
        <v>31.79</v>
      </c>
      <c r="E44">
        <v>7829</v>
      </c>
      <c r="F44">
        <v>12.8</v>
      </c>
      <c r="G44">
        <v>12.68</v>
      </c>
      <c r="H44">
        <v>49.9</v>
      </c>
      <c r="I44">
        <v>12.77</v>
      </c>
      <c r="J44">
        <v>7.34</v>
      </c>
      <c r="K44">
        <f t="shared" si="2"/>
        <v>0.13243902439024391</v>
      </c>
      <c r="M44">
        <v>41</v>
      </c>
      <c r="N44">
        <f t="shared" ca="1" si="3"/>
        <v>46.151733640000536</v>
      </c>
      <c r="O44">
        <f t="shared" ca="1" si="4"/>
        <v>19.760904478993464</v>
      </c>
      <c r="P44">
        <v>14.709375</v>
      </c>
      <c r="Q44">
        <v>4.5</v>
      </c>
      <c r="R44">
        <f t="shared" ca="1" si="5"/>
        <v>19.5</v>
      </c>
      <c r="S44">
        <f t="shared" ca="1" si="6"/>
        <v>0.2609044789934688</v>
      </c>
      <c r="T44">
        <f t="shared" ca="1" si="7"/>
        <v>19.760904478993467</v>
      </c>
      <c r="U44">
        <f t="shared" ca="1" si="8"/>
        <v>46.151733640000536</v>
      </c>
    </row>
    <row r="45" spans="1:21" x14ac:dyDescent="0.45">
      <c r="A45">
        <f t="shared" ca="1" si="0"/>
        <v>17</v>
      </c>
      <c r="B45">
        <v>0.28999999999999998</v>
      </c>
      <c r="C45">
        <f t="shared" ca="1" si="1"/>
        <v>14.5</v>
      </c>
      <c r="D45">
        <v>33.19</v>
      </c>
      <c r="E45">
        <v>7493</v>
      </c>
      <c r="F45">
        <v>12.71</v>
      </c>
      <c r="G45">
        <v>12.61</v>
      </c>
      <c r="H45">
        <v>56.5</v>
      </c>
      <c r="I45">
        <v>12.59</v>
      </c>
      <c r="J45">
        <v>7.37</v>
      </c>
      <c r="K45">
        <f t="shared" si="2"/>
        <v>0.14499999999999999</v>
      </c>
      <c r="M45">
        <v>36</v>
      </c>
      <c r="N45">
        <f t="shared" ca="1" si="3"/>
        <v>43.50724414725196</v>
      </c>
      <c r="O45">
        <f t="shared" ca="1" si="4"/>
        <v>19.996669912151898</v>
      </c>
      <c r="P45">
        <v>16.526315789473699</v>
      </c>
      <c r="Q45">
        <v>4.5</v>
      </c>
      <c r="R45">
        <f t="shared" ca="1" si="5"/>
        <v>19.399999999999999</v>
      </c>
      <c r="S45">
        <f t="shared" ca="1" si="6"/>
        <v>0.59666991215190024</v>
      </c>
      <c r="T45">
        <f t="shared" ca="1" si="7"/>
        <v>19.996669912151898</v>
      </c>
      <c r="U45">
        <f t="shared" ca="1" si="8"/>
        <v>43.50724414725196</v>
      </c>
    </row>
    <row r="46" spans="1:21" x14ac:dyDescent="0.45">
      <c r="A46">
        <f t="shared" ca="1" si="0"/>
        <v>16</v>
      </c>
      <c r="B46">
        <v>0.28999999999999998</v>
      </c>
      <c r="C46">
        <f t="shared" ca="1" si="1"/>
        <v>16.2</v>
      </c>
      <c r="D46">
        <v>32.15</v>
      </c>
      <c r="E46">
        <v>7529</v>
      </c>
      <c r="F46">
        <v>12.23</v>
      </c>
      <c r="G46">
        <v>12.52</v>
      </c>
      <c r="H46">
        <v>54.9</v>
      </c>
      <c r="I46">
        <v>12.69</v>
      </c>
      <c r="J46">
        <v>7.34</v>
      </c>
      <c r="K46">
        <f t="shared" si="2"/>
        <v>0.15285714285714286</v>
      </c>
      <c r="M46">
        <v>35</v>
      </c>
      <c r="N46">
        <f t="shared" ca="1" si="3"/>
        <v>48.128600527798156</v>
      </c>
      <c r="O46">
        <f t="shared" ca="1" si="4"/>
        <v>20.195891618302745</v>
      </c>
      <c r="P46">
        <v>16.536842105263201</v>
      </c>
      <c r="Q46">
        <v>4.5</v>
      </c>
      <c r="R46">
        <f t="shared" ca="1" si="5"/>
        <v>20</v>
      </c>
      <c r="S46">
        <f t="shared" ca="1" si="6"/>
        <v>0.19589161830274993</v>
      </c>
      <c r="T46">
        <f t="shared" ca="1" si="7"/>
        <v>20.195891618302749</v>
      </c>
      <c r="U46">
        <f t="shared" ca="1" si="8"/>
        <v>48.128600527798156</v>
      </c>
    </row>
    <row r="47" spans="1:21" x14ac:dyDescent="0.45">
      <c r="A47">
        <f t="shared" ca="1" si="0"/>
        <v>17</v>
      </c>
      <c r="B47">
        <v>0.28999999999999998</v>
      </c>
      <c r="C47">
        <f t="shared" ca="1" si="1"/>
        <v>14.8</v>
      </c>
      <c r="D47">
        <v>33.1</v>
      </c>
      <c r="E47">
        <v>7624</v>
      </c>
      <c r="F47">
        <v>13.1</v>
      </c>
      <c r="G47">
        <v>12.91</v>
      </c>
      <c r="H47">
        <v>52.4</v>
      </c>
      <c r="I47">
        <v>12.64</v>
      </c>
      <c r="J47">
        <v>7.28</v>
      </c>
      <c r="K47">
        <f t="shared" si="2"/>
        <v>0.12181818181818183</v>
      </c>
      <c r="M47">
        <v>44</v>
      </c>
      <c r="N47">
        <f t="shared" ca="1" si="3"/>
        <v>45.366117218802763</v>
      </c>
      <c r="O47">
        <f t="shared" ca="1" si="4"/>
        <v>19.574079829603608</v>
      </c>
      <c r="P47">
        <v>14.236363636363601</v>
      </c>
      <c r="Q47">
        <v>4.5</v>
      </c>
      <c r="R47">
        <f t="shared" ca="1" si="5"/>
        <v>19.399999999999999</v>
      </c>
      <c r="S47">
        <f t="shared" ca="1" si="6"/>
        <v>0.17407982960360591</v>
      </c>
      <c r="T47">
        <f t="shared" ca="1" si="7"/>
        <v>19.574079829603605</v>
      </c>
      <c r="U47">
        <f t="shared" ca="1" si="8"/>
        <v>45.366117218802763</v>
      </c>
    </row>
    <row r="48" spans="1:21" x14ac:dyDescent="0.45">
      <c r="A48">
        <f t="shared" ca="1" si="0"/>
        <v>22</v>
      </c>
      <c r="B48">
        <v>0.28999999999999998</v>
      </c>
      <c r="C48">
        <f t="shared" ca="1" si="1"/>
        <v>16.5</v>
      </c>
      <c r="D48">
        <v>34.020000000000003</v>
      </c>
      <c r="E48">
        <v>9200</v>
      </c>
      <c r="F48">
        <v>8.94</v>
      </c>
      <c r="G48">
        <v>8.41</v>
      </c>
      <c r="H48">
        <v>52</v>
      </c>
      <c r="I48">
        <v>12.23</v>
      </c>
      <c r="J48">
        <v>7.3</v>
      </c>
      <c r="K48">
        <f t="shared" si="2"/>
        <v>6.01219512195122E-2</v>
      </c>
      <c r="M48">
        <v>82</v>
      </c>
      <c r="N48">
        <f t="shared" ca="1" si="3"/>
        <v>51.009497593626193</v>
      </c>
      <c r="O48">
        <f t="shared" ca="1" si="4"/>
        <v>19.408150377934792</v>
      </c>
      <c r="P48">
        <v>9</v>
      </c>
      <c r="Q48">
        <v>4.5</v>
      </c>
      <c r="R48">
        <f t="shared" ca="1" si="5"/>
        <v>19</v>
      </c>
      <c r="S48">
        <f t="shared" ca="1" si="6"/>
        <v>0.40815037793479314</v>
      </c>
      <c r="T48">
        <f t="shared" ca="1" si="7"/>
        <v>19.408150377934792</v>
      </c>
      <c r="U48">
        <f t="shared" ca="1" si="8"/>
        <v>51.009497593626193</v>
      </c>
    </row>
    <row r="49" spans="1:21" x14ac:dyDescent="0.45">
      <c r="A49">
        <f t="shared" ca="1" si="0"/>
        <v>18</v>
      </c>
      <c r="B49">
        <v>0.28999999999999998</v>
      </c>
      <c r="C49">
        <f t="shared" ca="1" si="1"/>
        <v>16.5</v>
      </c>
      <c r="D49">
        <v>35.119999999999997</v>
      </c>
      <c r="E49">
        <v>9488</v>
      </c>
      <c r="F49">
        <v>13.47</v>
      </c>
      <c r="G49">
        <v>14.42</v>
      </c>
      <c r="H49">
        <v>55</v>
      </c>
      <c r="I49">
        <v>11.39</v>
      </c>
      <c r="J49">
        <v>7.3</v>
      </c>
      <c r="K49">
        <f t="shared" si="2"/>
        <v>0.13633333333333336</v>
      </c>
      <c r="M49">
        <v>30</v>
      </c>
      <c r="N49">
        <f t="shared" ca="1" si="3"/>
        <v>48.35301593422524</v>
      </c>
      <c r="O49">
        <f t="shared" ca="1" si="4"/>
        <v>20.474420899550509</v>
      </c>
      <c r="P49">
        <v>18.161538461538498</v>
      </c>
      <c r="Q49">
        <v>4.5</v>
      </c>
      <c r="R49">
        <f t="shared" ca="1" si="5"/>
        <v>19.5</v>
      </c>
      <c r="S49">
        <f t="shared" ca="1" si="6"/>
        <v>0.9744208995505077</v>
      </c>
      <c r="T49">
        <f t="shared" ca="1" si="7"/>
        <v>20.474420899550509</v>
      </c>
      <c r="U49">
        <f t="shared" ca="1" si="8"/>
        <v>48.35301593422524</v>
      </c>
    </row>
    <row r="50" spans="1:21" x14ac:dyDescent="0.45">
      <c r="A50">
        <f t="shared" ca="1" si="0"/>
        <v>19</v>
      </c>
      <c r="B50">
        <v>0.28999999999999998</v>
      </c>
      <c r="C50">
        <f t="shared" ca="1" si="1"/>
        <v>15.2</v>
      </c>
      <c r="D50">
        <v>31.1</v>
      </c>
      <c r="E50">
        <v>7939</v>
      </c>
      <c r="F50">
        <v>12.37</v>
      </c>
      <c r="G50">
        <v>13.1</v>
      </c>
      <c r="H50">
        <v>68.3</v>
      </c>
      <c r="I50">
        <v>12.3</v>
      </c>
      <c r="J50">
        <v>7.3</v>
      </c>
      <c r="K50">
        <f t="shared" si="2"/>
        <v>9.6153846153846173E-2</v>
      </c>
      <c r="M50">
        <v>52</v>
      </c>
      <c r="N50">
        <f t="shared" ca="1" si="3"/>
        <v>47.542553532749203</v>
      </c>
      <c r="O50">
        <f t="shared" ca="1" si="4"/>
        <v>19.182814809721528</v>
      </c>
      <c r="P50">
        <v>12.721621621621599</v>
      </c>
      <c r="Q50">
        <v>4.5</v>
      </c>
      <c r="R50">
        <f t="shared" ca="1" si="5"/>
        <v>19</v>
      </c>
      <c r="S50">
        <f t="shared" ca="1" si="6"/>
        <v>0.18281480972152775</v>
      </c>
      <c r="T50">
        <f t="shared" ca="1" si="7"/>
        <v>19.182814809721528</v>
      </c>
      <c r="U50">
        <f t="shared" ca="1" si="8"/>
        <v>47.542553532749203</v>
      </c>
    </row>
    <row r="51" spans="1:21" x14ac:dyDescent="0.45">
      <c r="A51">
        <f t="shared" ca="1" si="0"/>
        <v>18</v>
      </c>
      <c r="B51">
        <v>0.28999999999999998</v>
      </c>
      <c r="C51">
        <f t="shared" ca="1" si="1"/>
        <v>15.3</v>
      </c>
      <c r="D51">
        <v>32.28</v>
      </c>
      <c r="E51">
        <v>7792</v>
      </c>
      <c r="F51">
        <v>13.37</v>
      </c>
      <c r="G51">
        <v>11.83</v>
      </c>
      <c r="H51">
        <v>54.6</v>
      </c>
      <c r="I51">
        <v>12.71</v>
      </c>
      <c r="J51">
        <v>7.33</v>
      </c>
      <c r="K51">
        <f t="shared" si="2"/>
        <v>0.11695652173913045</v>
      </c>
      <c r="M51">
        <v>46</v>
      </c>
      <c r="N51">
        <f t="shared" ca="1" si="3"/>
        <v>45.107354794166795</v>
      </c>
      <c r="O51">
        <f t="shared" ca="1" si="4"/>
        <v>20.351448321210672</v>
      </c>
      <c r="P51">
        <v>13.6782608695652</v>
      </c>
      <c r="Q51">
        <v>4.5</v>
      </c>
      <c r="R51">
        <f t="shared" ca="1" si="5"/>
        <v>19.5</v>
      </c>
      <c r="S51">
        <f t="shared" ca="1" si="6"/>
        <v>0.85144832121067182</v>
      </c>
      <c r="T51">
        <f t="shared" ca="1" si="7"/>
        <v>20.351448321210672</v>
      </c>
      <c r="U51">
        <f t="shared" ca="1" si="8"/>
        <v>45.107354794166795</v>
      </c>
    </row>
    <row r="52" spans="1:21" x14ac:dyDescent="0.45">
      <c r="A52">
        <f t="shared" ca="1" si="0"/>
        <v>20</v>
      </c>
      <c r="B52">
        <v>0.3</v>
      </c>
      <c r="C52">
        <f t="shared" ca="1" si="1"/>
        <v>15.6</v>
      </c>
      <c r="D52">
        <v>41.32</v>
      </c>
      <c r="E52">
        <v>6537</v>
      </c>
      <c r="F52">
        <v>9.14</v>
      </c>
      <c r="G52">
        <v>9.9</v>
      </c>
      <c r="H52">
        <v>62.5</v>
      </c>
      <c r="I52">
        <v>12.53</v>
      </c>
      <c r="J52">
        <v>7.2</v>
      </c>
      <c r="K52">
        <f t="shared" ca="1" si="2"/>
        <v>0.24452594073774575</v>
      </c>
      <c r="M52">
        <f t="shared" ref="M52:M74" ca="1" si="10">N52-A52-Q52</f>
        <v>21.79727837430724</v>
      </c>
      <c r="N52">
        <f t="shared" ca="1" si="3"/>
        <v>46.29727837430724</v>
      </c>
      <c r="O52">
        <f t="shared" ca="1" si="4"/>
        <v>20.217171135472942</v>
      </c>
      <c r="P52">
        <v>7.5588785046728999</v>
      </c>
      <c r="Q52">
        <v>4.5</v>
      </c>
      <c r="R52">
        <f t="shared" ca="1" si="5"/>
        <v>19.8</v>
      </c>
      <c r="S52">
        <f t="shared" ca="1" si="6"/>
        <v>0.41717113547294071</v>
      </c>
      <c r="T52">
        <f t="shared" ca="1" si="7"/>
        <v>20.217171135472942</v>
      </c>
      <c r="U52">
        <f t="shared" ca="1" si="8"/>
        <v>46.29727837430724</v>
      </c>
    </row>
    <row r="53" spans="1:21" x14ac:dyDescent="0.45">
      <c r="A53">
        <f t="shared" ca="1" si="0"/>
        <v>21</v>
      </c>
      <c r="B53">
        <v>0.3</v>
      </c>
      <c r="C53">
        <f t="shared" ca="1" si="1"/>
        <v>14.8</v>
      </c>
      <c r="D53">
        <v>36.67</v>
      </c>
      <c r="E53">
        <v>6598</v>
      </c>
      <c r="F53">
        <v>9.02</v>
      </c>
      <c r="G53">
        <v>7.36</v>
      </c>
      <c r="H53">
        <v>55.3</v>
      </c>
      <c r="I53">
        <v>11.85</v>
      </c>
      <c r="J53">
        <v>7.43</v>
      </c>
      <c r="K53">
        <f t="shared" ca="1" si="2"/>
        <v>0.22941403263499846</v>
      </c>
      <c r="M53">
        <f t="shared" ca="1" si="10"/>
        <v>19.266476201271843</v>
      </c>
      <c r="N53">
        <f t="shared" ca="1" si="3"/>
        <v>44.766476201271843</v>
      </c>
      <c r="O53">
        <f t="shared" ca="1" si="4"/>
        <v>19.836272035518654</v>
      </c>
      <c r="P53">
        <v>7.7262295081967203</v>
      </c>
      <c r="Q53">
        <v>4.5</v>
      </c>
      <c r="R53">
        <f t="shared" ca="1" si="5"/>
        <v>19.7</v>
      </c>
      <c r="S53">
        <f t="shared" ca="1" si="6"/>
        <v>0.13627203551865519</v>
      </c>
      <c r="T53">
        <f t="shared" ca="1" si="7"/>
        <v>19.836272035518654</v>
      </c>
      <c r="U53">
        <f t="shared" ca="1" si="8"/>
        <v>44.766476201271843</v>
      </c>
    </row>
    <row r="54" spans="1:21" x14ac:dyDescent="0.45">
      <c r="A54">
        <f t="shared" ca="1" si="0"/>
        <v>16</v>
      </c>
      <c r="B54">
        <v>0.3</v>
      </c>
      <c r="C54">
        <f t="shared" ca="1" si="1"/>
        <v>15.8</v>
      </c>
      <c r="D54">
        <v>35.840000000000003</v>
      </c>
      <c r="E54">
        <v>6598</v>
      </c>
      <c r="F54">
        <v>6.51</v>
      </c>
      <c r="G54">
        <v>4.22</v>
      </c>
      <c r="H54">
        <v>50.9</v>
      </c>
      <c r="I54">
        <v>12.75</v>
      </c>
      <c r="J54">
        <v>7.32</v>
      </c>
      <c r="K54">
        <f t="shared" ca="1" si="2"/>
        <v>0.21279030493266443</v>
      </c>
      <c r="M54">
        <f t="shared" ca="1" si="10"/>
        <v>25.518079884881381</v>
      </c>
      <c r="N54">
        <f t="shared" ca="1" si="3"/>
        <v>46.018079884881381</v>
      </c>
      <c r="O54">
        <f t="shared" ca="1" si="4"/>
        <v>20.600598772732642</v>
      </c>
      <c r="P54">
        <v>9.7298969072164994</v>
      </c>
      <c r="Q54">
        <v>4.5</v>
      </c>
      <c r="R54">
        <f t="shared" ca="1" si="5"/>
        <v>20</v>
      </c>
      <c r="S54">
        <f t="shared" ca="1" si="6"/>
        <v>0.60059877273264051</v>
      </c>
      <c r="T54">
        <f t="shared" ca="1" si="7"/>
        <v>20.600598772732642</v>
      </c>
      <c r="U54">
        <f t="shared" ca="1" si="8"/>
        <v>46.018079884881381</v>
      </c>
    </row>
    <row r="55" spans="1:21" x14ac:dyDescent="0.45">
      <c r="A55">
        <f t="shared" ca="1" si="0"/>
        <v>16</v>
      </c>
      <c r="B55">
        <v>0.3</v>
      </c>
      <c r="C55">
        <f t="shared" ca="1" si="1"/>
        <v>15.9</v>
      </c>
      <c r="D55">
        <v>36.880000000000003</v>
      </c>
      <c r="E55">
        <v>6523</v>
      </c>
      <c r="F55">
        <v>9.86</v>
      </c>
      <c r="G55">
        <v>11.05</v>
      </c>
      <c r="H55">
        <v>61.3</v>
      </c>
      <c r="I55">
        <v>11.05</v>
      </c>
      <c r="J55">
        <v>7.35</v>
      </c>
      <c r="K55">
        <f t="shared" ca="1" si="2"/>
        <v>0.13897495986701774</v>
      </c>
      <c r="M55">
        <f t="shared" ca="1" si="10"/>
        <v>26.623501122363727</v>
      </c>
      <c r="N55">
        <f t="shared" ca="1" si="3"/>
        <v>47.123501122363727</v>
      </c>
      <c r="O55">
        <f t="shared" ca="1" si="4"/>
        <v>20.244675740938391</v>
      </c>
      <c r="P55">
        <v>10.527272727272701</v>
      </c>
      <c r="Q55">
        <v>4.5</v>
      </c>
      <c r="R55">
        <f t="shared" ca="1" si="5"/>
        <v>20</v>
      </c>
      <c r="S55">
        <f t="shared" ca="1" si="6"/>
        <v>0.2446757409383894</v>
      </c>
      <c r="T55">
        <f t="shared" ca="1" si="7"/>
        <v>20.244675740938391</v>
      </c>
      <c r="U55">
        <f t="shared" ca="1" si="8"/>
        <v>47.123501122363727</v>
      </c>
    </row>
    <row r="56" spans="1:21" x14ac:dyDescent="0.45">
      <c r="A56">
        <f t="shared" ca="1" si="0"/>
        <v>20</v>
      </c>
      <c r="B56">
        <v>0.3</v>
      </c>
      <c r="C56">
        <f t="shared" ca="1" si="1"/>
        <v>16.5</v>
      </c>
      <c r="D56">
        <v>39.07</v>
      </c>
      <c r="E56">
        <v>6325</v>
      </c>
      <c r="F56">
        <v>12.26</v>
      </c>
      <c r="G56">
        <v>0.17</v>
      </c>
      <c r="H56">
        <v>60.31</v>
      </c>
      <c r="I56">
        <v>12.46</v>
      </c>
      <c r="J56">
        <v>7.25</v>
      </c>
      <c r="K56">
        <f t="shared" ca="1" si="2"/>
        <v>0.20772320374910649</v>
      </c>
      <c r="M56">
        <f t="shared" ca="1" si="10"/>
        <v>25.081454098372056</v>
      </c>
      <c r="N56">
        <f t="shared" ca="1" si="3"/>
        <v>49.581454098372056</v>
      </c>
      <c r="O56">
        <f t="shared" ca="1" si="4"/>
        <v>19.967143320076719</v>
      </c>
      <c r="P56">
        <v>12.9774193548387</v>
      </c>
      <c r="Q56">
        <v>4.5</v>
      </c>
      <c r="R56">
        <f t="shared" ca="1" si="5"/>
        <v>19.600000000000001</v>
      </c>
      <c r="S56">
        <f t="shared" ca="1" si="6"/>
        <v>0.36714332007671657</v>
      </c>
      <c r="T56">
        <f t="shared" ca="1" si="7"/>
        <v>19.967143320076719</v>
      </c>
      <c r="U56">
        <f t="shared" ca="1" si="8"/>
        <v>49.581454098372056</v>
      </c>
    </row>
    <row r="57" spans="1:21" x14ac:dyDescent="0.45">
      <c r="A57">
        <f t="shared" ca="1" si="0"/>
        <v>18</v>
      </c>
      <c r="B57">
        <v>0.3</v>
      </c>
      <c r="C57">
        <f t="shared" ca="1" si="1"/>
        <v>14.5</v>
      </c>
      <c r="D57">
        <v>41.96</v>
      </c>
      <c r="E57">
        <v>6423</v>
      </c>
      <c r="F57">
        <v>12.2</v>
      </c>
      <c r="G57">
        <v>11.29</v>
      </c>
      <c r="H57">
        <v>60.58</v>
      </c>
      <c r="I57">
        <v>12.39</v>
      </c>
      <c r="J57">
        <v>7.2</v>
      </c>
      <c r="K57">
        <f t="shared" ca="1" si="2"/>
        <v>0.24983878304926468</v>
      </c>
      <c r="M57">
        <f t="shared" ca="1" si="10"/>
        <v>20.77339609429896</v>
      </c>
      <c r="N57">
        <f t="shared" ca="1" si="3"/>
        <v>43.27339609429896</v>
      </c>
      <c r="O57">
        <f t="shared" ca="1" si="4"/>
        <v>20.104731278870389</v>
      </c>
      <c r="P57">
        <v>15.530434782608699</v>
      </c>
      <c r="Q57">
        <v>4.5</v>
      </c>
      <c r="R57">
        <f t="shared" ca="1" si="5"/>
        <v>19.399999999999999</v>
      </c>
      <c r="S57">
        <f t="shared" ca="1" si="6"/>
        <v>0.70473127887039044</v>
      </c>
      <c r="T57">
        <f t="shared" ca="1" si="7"/>
        <v>20.104731278870389</v>
      </c>
      <c r="U57">
        <f t="shared" ca="1" si="8"/>
        <v>43.27339609429896</v>
      </c>
    </row>
    <row r="58" spans="1:21" x14ac:dyDescent="0.45">
      <c r="A58">
        <f t="shared" ca="1" si="0"/>
        <v>19</v>
      </c>
      <c r="B58">
        <v>0.3</v>
      </c>
      <c r="C58">
        <f t="shared" ca="1" si="1"/>
        <v>16</v>
      </c>
      <c r="D58">
        <v>42</v>
      </c>
      <c r="E58">
        <v>6487</v>
      </c>
      <c r="F58">
        <v>8.07</v>
      </c>
      <c r="G58">
        <v>9.0299999999999994</v>
      </c>
      <c r="H58">
        <v>64.3</v>
      </c>
      <c r="I58">
        <v>12.4</v>
      </c>
      <c r="J58">
        <v>7.24</v>
      </c>
      <c r="K58">
        <f t="shared" ca="1" si="2"/>
        <v>0.22180583105008145</v>
      </c>
      <c r="M58">
        <f t="shared" ca="1" si="10"/>
        <v>23.263590391520978</v>
      </c>
      <c r="N58">
        <f t="shared" ca="1" si="3"/>
        <v>46.763590391520978</v>
      </c>
      <c r="O58">
        <f t="shared" ca="1" si="4"/>
        <v>20.528791565458246</v>
      </c>
      <c r="P58">
        <v>8.8657894736842096</v>
      </c>
      <c r="Q58">
        <v>4.5</v>
      </c>
      <c r="R58">
        <f t="shared" ca="1" si="5"/>
        <v>19.8</v>
      </c>
      <c r="S58">
        <f t="shared" ca="1" si="6"/>
        <v>0.72879156545824164</v>
      </c>
      <c r="T58">
        <f t="shared" ca="1" si="7"/>
        <v>20.528791565458242</v>
      </c>
      <c r="U58">
        <f t="shared" ca="1" si="8"/>
        <v>46.763590391520978</v>
      </c>
    </row>
    <row r="59" spans="1:21" x14ac:dyDescent="0.45">
      <c r="A59">
        <f t="shared" ca="1" si="0"/>
        <v>21</v>
      </c>
      <c r="B59">
        <v>0.3</v>
      </c>
      <c r="C59">
        <f t="shared" ca="1" si="1"/>
        <v>14.8</v>
      </c>
      <c r="D59">
        <v>40.909999999999997</v>
      </c>
      <c r="E59">
        <v>6521</v>
      </c>
      <c r="F59">
        <v>7.26</v>
      </c>
      <c r="G59">
        <v>7.85</v>
      </c>
      <c r="H59">
        <v>61.3</v>
      </c>
      <c r="I59">
        <v>12.4</v>
      </c>
      <c r="J59">
        <v>7.19</v>
      </c>
      <c r="K59">
        <f t="shared" ca="1" si="2"/>
        <v>0.26110498124725495</v>
      </c>
      <c r="M59">
        <f t="shared" ca="1" si="10"/>
        <v>19.953659922965464</v>
      </c>
      <c r="N59">
        <f t="shared" ca="1" si="3"/>
        <v>45.453659922965464</v>
      </c>
      <c r="O59">
        <f t="shared" ca="1" si="4"/>
        <v>19.536380601803597</v>
      </c>
      <c r="P59">
        <v>11.1928571428571</v>
      </c>
      <c r="Q59">
        <v>4.5</v>
      </c>
      <c r="R59">
        <f t="shared" ca="1" si="5"/>
        <v>19.399999999999999</v>
      </c>
      <c r="S59">
        <f t="shared" ca="1" si="6"/>
        <v>0.13638060180359779</v>
      </c>
      <c r="T59">
        <f t="shared" ca="1" si="7"/>
        <v>19.536380601803597</v>
      </c>
      <c r="U59">
        <f t="shared" ca="1" si="8"/>
        <v>45.453659922965464</v>
      </c>
    </row>
    <row r="60" spans="1:21" x14ac:dyDescent="0.45">
      <c r="A60">
        <f t="shared" ca="1" si="0"/>
        <v>19</v>
      </c>
      <c r="B60">
        <v>0.3</v>
      </c>
      <c r="C60">
        <f t="shared" ca="1" si="1"/>
        <v>14.6</v>
      </c>
      <c r="D60">
        <v>42.63</v>
      </c>
      <c r="E60">
        <v>6329</v>
      </c>
      <c r="F60">
        <v>9.81</v>
      </c>
      <c r="G60">
        <v>5.63</v>
      </c>
      <c r="H60">
        <v>62</v>
      </c>
      <c r="I60">
        <v>13</v>
      </c>
      <c r="J60">
        <v>7.35</v>
      </c>
      <c r="K60">
        <f t="shared" ca="1" si="2"/>
        <v>0.2699027308718645</v>
      </c>
      <c r="M60">
        <f t="shared" ca="1" si="10"/>
        <v>20.933467333764476</v>
      </c>
      <c r="N60">
        <f t="shared" ca="1" si="3"/>
        <v>44.433467333764476</v>
      </c>
      <c r="O60">
        <f t="shared" ca="1" si="4"/>
        <v>19.714869276797081</v>
      </c>
      <c r="P60">
        <v>12.721621621621599</v>
      </c>
      <c r="Q60">
        <v>4.5</v>
      </c>
      <c r="R60">
        <f t="shared" ca="1" si="5"/>
        <v>19.3</v>
      </c>
      <c r="S60">
        <f t="shared" ca="1" si="6"/>
        <v>0.41486927679707941</v>
      </c>
      <c r="T60">
        <f t="shared" ca="1" si="7"/>
        <v>19.714869276797081</v>
      </c>
      <c r="U60">
        <f t="shared" ca="1" si="8"/>
        <v>44.433467333764476</v>
      </c>
    </row>
    <row r="61" spans="1:21" x14ac:dyDescent="0.45">
      <c r="A61">
        <f t="shared" ca="1" si="0"/>
        <v>21</v>
      </c>
      <c r="B61">
        <v>0.3</v>
      </c>
      <c r="C61">
        <f t="shared" ca="1" si="1"/>
        <v>15.4</v>
      </c>
      <c r="D61">
        <v>35.61</v>
      </c>
      <c r="E61">
        <v>6547</v>
      </c>
      <c r="F61">
        <v>6.89</v>
      </c>
      <c r="G61">
        <v>7.84</v>
      </c>
      <c r="H61">
        <v>62.5</v>
      </c>
      <c r="I61">
        <v>12.12</v>
      </c>
      <c r="J61">
        <v>7.38</v>
      </c>
      <c r="K61">
        <f t="shared" ca="1" si="2"/>
        <v>0.21438950686611727</v>
      </c>
      <c r="M61">
        <f t="shared" ca="1" si="10"/>
        <v>22.109291024956981</v>
      </c>
      <c r="N61">
        <f t="shared" ca="1" si="3"/>
        <v>47.609291024956981</v>
      </c>
      <c r="O61">
        <f t="shared" ca="1" si="4"/>
        <v>19.407976470719454</v>
      </c>
      <c r="P61">
        <v>12.8827586206897</v>
      </c>
      <c r="Q61">
        <v>4.5</v>
      </c>
      <c r="R61">
        <f t="shared" ca="1" si="5"/>
        <v>19.100000000000001</v>
      </c>
      <c r="S61">
        <f t="shared" ca="1" si="6"/>
        <v>0.30797647071945322</v>
      </c>
      <c r="T61">
        <f t="shared" ca="1" si="7"/>
        <v>19.407976470719454</v>
      </c>
      <c r="U61">
        <f t="shared" ca="1" si="8"/>
        <v>47.609291024956981</v>
      </c>
    </row>
    <row r="62" spans="1:21" s="2" customFormat="1" x14ac:dyDescent="0.45">
      <c r="A62" s="2">
        <f t="shared" ca="1" si="0"/>
        <v>17</v>
      </c>
      <c r="B62" s="2">
        <v>0.3</v>
      </c>
      <c r="C62" s="2">
        <f t="shared" ca="1" si="1"/>
        <v>14.9</v>
      </c>
      <c r="D62" s="2">
        <v>33.19</v>
      </c>
      <c r="E62" s="2">
        <v>6566</v>
      </c>
      <c r="F62" s="2">
        <v>9.41</v>
      </c>
      <c r="G62" s="2">
        <v>0.11</v>
      </c>
      <c r="H62" s="2">
        <v>53.5</v>
      </c>
      <c r="I62" s="2">
        <v>12.16</v>
      </c>
      <c r="J62" s="2">
        <v>7.45</v>
      </c>
      <c r="K62" s="2">
        <f t="shared" ca="1" si="2"/>
        <v>0.20407435356408274</v>
      </c>
      <c r="M62" s="2">
        <f t="shared" ca="1" si="10"/>
        <v>23.079823200424748</v>
      </c>
      <c r="N62" s="2">
        <f t="shared" ca="1" si="3"/>
        <v>44.579823200424748</v>
      </c>
      <c r="O62" s="2">
        <f t="shared" ca="1" si="4"/>
        <v>20.053915332519356</v>
      </c>
      <c r="P62" s="2">
        <v>10.4966292134831</v>
      </c>
      <c r="Q62" s="2">
        <v>4.5</v>
      </c>
      <c r="R62" s="2">
        <f t="shared" ca="1" si="5"/>
        <v>19.7</v>
      </c>
      <c r="S62" s="2">
        <f t="shared" ca="1" si="6"/>
        <v>0.35391533251935825</v>
      </c>
      <c r="T62" s="2">
        <f t="shared" ca="1" si="7"/>
        <v>20.053915332519356</v>
      </c>
      <c r="U62" s="2">
        <f t="shared" ca="1" si="8"/>
        <v>44.579823200424748</v>
      </c>
    </row>
    <row r="63" spans="1:21" x14ac:dyDescent="0.45">
      <c r="A63">
        <f t="shared" ca="1" si="0"/>
        <v>17</v>
      </c>
      <c r="B63">
        <v>0.3</v>
      </c>
      <c r="C63">
        <f t="shared" ca="1" si="1"/>
        <v>14.8</v>
      </c>
      <c r="D63">
        <v>28.3</v>
      </c>
      <c r="E63">
        <v>6487</v>
      </c>
      <c r="F63">
        <v>6.13</v>
      </c>
      <c r="G63">
        <v>0.12</v>
      </c>
      <c r="H63">
        <v>52.68</v>
      </c>
      <c r="I63">
        <v>12.99</v>
      </c>
      <c r="J63">
        <v>7.15</v>
      </c>
      <c r="K63">
        <f t="shared" ca="1" si="2"/>
        <v>0.25337067736154323</v>
      </c>
      <c r="M63">
        <f t="shared" ca="1" si="10"/>
        <v>23.049233876683786</v>
      </c>
      <c r="N63">
        <f t="shared" ca="1" si="3"/>
        <v>44.549233876683786</v>
      </c>
      <c r="O63">
        <f t="shared" ca="1" si="4"/>
        <v>19.933002719150288</v>
      </c>
      <c r="P63">
        <v>9.2529411764705891</v>
      </c>
      <c r="Q63">
        <v>4.5</v>
      </c>
      <c r="R63">
        <f t="shared" ca="1" si="5"/>
        <v>19.600000000000001</v>
      </c>
      <c r="S63">
        <f t="shared" ca="1" si="6"/>
        <v>0.3330027191502849</v>
      </c>
      <c r="T63">
        <f t="shared" ca="1" si="7"/>
        <v>19.933002719150288</v>
      </c>
      <c r="U63">
        <f t="shared" ca="1" si="8"/>
        <v>44.549233876683786</v>
      </c>
    </row>
    <row r="64" spans="1:21" x14ac:dyDescent="0.45">
      <c r="A64">
        <f t="shared" ca="1" si="0"/>
        <v>19</v>
      </c>
      <c r="B64">
        <v>0.3</v>
      </c>
      <c r="C64">
        <f t="shared" ca="1" si="1"/>
        <v>15.2</v>
      </c>
      <c r="D64">
        <v>34.58</v>
      </c>
      <c r="E64">
        <v>6513</v>
      </c>
      <c r="F64">
        <v>12.83</v>
      </c>
      <c r="G64">
        <v>12.13</v>
      </c>
      <c r="H64">
        <v>60.21</v>
      </c>
      <c r="I64">
        <v>13.24</v>
      </c>
      <c r="J64">
        <v>7.27</v>
      </c>
      <c r="K64">
        <f t="shared" ca="1" si="2"/>
        <v>0.28609277639645458</v>
      </c>
      <c r="M64">
        <f t="shared" ca="1" si="10"/>
        <v>20.867356649812933</v>
      </c>
      <c r="N64">
        <f t="shared" ca="1" si="3"/>
        <v>44.367356649812933</v>
      </c>
      <c r="O64">
        <f t="shared" ca="1" si="4"/>
        <v>20.555653274508188</v>
      </c>
      <c r="P64">
        <v>13.8</v>
      </c>
      <c r="Q64">
        <v>4.5</v>
      </c>
      <c r="R64">
        <f t="shared" ca="1" si="5"/>
        <v>19.7</v>
      </c>
      <c r="S64">
        <f t="shared" ca="1" si="6"/>
        <v>0.85565327450819129</v>
      </c>
      <c r="T64">
        <f t="shared" ca="1" si="7"/>
        <v>20.555653274508192</v>
      </c>
      <c r="U64">
        <f t="shared" ca="1" si="8"/>
        <v>44.367356649812933</v>
      </c>
    </row>
    <row r="65" spans="1:21" x14ac:dyDescent="0.45">
      <c r="A65">
        <f t="shared" ca="1" si="0"/>
        <v>19</v>
      </c>
      <c r="B65">
        <v>0.3</v>
      </c>
      <c r="C65">
        <f t="shared" ca="1" si="1"/>
        <v>15.2</v>
      </c>
      <c r="D65">
        <v>38.26</v>
      </c>
      <c r="E65">
        <v>6318</v>
      </c>
      <c r="F65">
        <v>3.93</v>
      </c>
      <c r="G65">
        <v>4.71</v>
      </c>
      <c r="H65">
        <v>60.52</v>
      </c>
      <c r="I65">
        <v>12.98</v>
      </c>
      <c r="J65">
        <v>7.35</v>
      </c>
      <c r="K65">
        <f t="shared" ca="1" si="2"/>
        <v>0.2550839074635125</v>
      </c>
      <c r="M65">
        <f t="shared" ca="1" si="10"/>
        <v>22.071168879225837</v>
      </c>
      <c r="N65">
        <f t="shared" ca="1" si="3"/>
        <v>45.571168879225837</v>
      </c>
      <c r="O65">
        <f t="shared" ca="1" si="4"/>
        <v>20.012653228557983</v>
      </c>
      <c r="P65">
        <v>10.725</v>
      </c>
      <c r="Q65">
        <v>4.5</v>
      </c>
      <c r="R65">
        <f t="shared" ca="1" si="5"/>
        <v>19.399999999999999</v>
      </c>
      <c r="S65">
        <f t="shared" ca="1" si="6"/>
        <v>0.61265322855798332</v>
      </c>
      <c r="T65">
        <f t="shared" ca="1" si="7"/>
        <v>20.012653228557983</v>
      </c>
      <c r="U65">
        <f t="shared" ca="1" si="8"/>
        <v>45.571168879225837</v>
      </c>
    </row>
    <row r="66" spans="1:21" x14ac:dyDescent="0.45">
      <c r="A66">
        <f t="shared" ca="1" si="0"/>
        <v>18</v>
      </c>
      <c r="B66">
        <v>0.3</v>
      </c>
      <c r="C66">
        <f t="shared" ca="1" si="1"/>
        <v>16.5</v>
      </c>
      <c r="D66">
        <v>33.94</v>
      </c>
      <c r="E66">
        <v>6466</v>
      </c>
      <c r="F66">
        <v>14.16</v>
      </c>
      <c r="G66">
        <v>13.14</v>
      </c>
      <c r="H66">
        <v>60.14</v>
      </c>
      <c r="I66">
        <v>12.11</v>
      </c>
      <c r="J66">
        <v>7.37</v>
      </c>
      <c r="K66">
        <f t="shared" ca="1" si="2"/>
        <v>0.17889743601625788</v>
      </c>
      <c r="M66">
        <f t="shared" ca="1" si="10"/>
        <v>26.495628476023754</v>
      </c>
      <c r="N66">
        <f t="shared" ca="1" si="3"/>
        <v>48.995628476023754</v>
      </c>
      <c r="O66">
        <f t="shared" ca="1" si="4"/>
        <v>20.205884296074725</v>
      </c>
      <c r="P66">
        <v>11.827500000000001</v>
      </c>
      <c r="Q66">
        <v>4.5</v>
      </c>
      <c r="R66">
        <f t="shared" ca="1" si="5"/>
        <v>19.399999999999999</v>
      </c>
      <c r="S66">
        <f t="shared" ca="1" si="6"/>
        <v>0.80588429607472722</v>
      </c>
      <c r="T66">
        <f t="shared" ca="1" si="7"/>
        <v>20.205884296074725</v>
      </c>
      <c r="U66">
        <f t="shared" ca="1" si="8"/>
        <v>48.995628476023754</v>
      </c>
    </row>
    <row r="67" spans="1:21" s="2" customFormat="1" x14ac:dyDescent="0.45">
      <c r="A67" s="2">
        <f t="shared" ca="1" si="0"/>
        <v>17</v>
      </c>
      <c r="B67" s="2">
        <v>0.3</v>
      </c>
      <c r="C67" s="2">
        <f t="shared" ca="1" si="1"/>
        <v>14.9</v>
      </c>
      <c r="D67" s="2">
        <v>39.72</v>
      </c>
      <c r="E67" s="2">
        <v>6963</v>
      </c>
      <c r="F67" s="2">
        <v>11.22</v>
      </c>
      <c r="G67" s="2">
        <v>13.52</v>
      </c>
      <c r="H67" s="2">
        <v>52.6</v>
      </c>
      <c r="I67" s="2">
        <v>12.22</v>
      </c>
      <c r="J67" s="2">
        <v>7.2</v>
      </c>
      <c r="K67" s="2">
        <f t="shared" ca="1" si="2"/>
        <v>0.22087920225684024</v>
      </c>
      <c r="M67" s="2">
        <f t="shared" ca="1" si="10"/>
        <v>22.72735481072003</v>
      </c>
      <c r="N67" s="2">
        <f t="shared" ca="1" si="3"/>
        <v>44.22735481072003</v>
      </c>
      <c r="O67" s="2">
        <f t="shared" ca="1" si="4"/>
        <v>20.213734324063807</v>
      </c>
      <c r="P67" s="2">
        <v>12.4342105263158</v>
      </c>
      <c r="Q67" s="2">
        <v>4.5</v>
      </c>
      <c r="R67" s="2">
        <f t="shared" ca="1" si="5"/>
        <v>19.5</v>
      </c>
      <c r="S67" s="2">
        <f t="shared" ca="1" si="6"/>
        <v>0.71373432406380843</v>
      </c>
      <c r="T67" s="2">
        <f t="shared" ca="1" si="7"/>
        <v>20.213734324063807</v>
      </c>
      <c r="U67" s="2">
        <f t="shared" ca="1" si="8"/>
        <v>44.22735481072003</v>
      </c>
    </row>
    <row r="68" spans="1:21" x14ac:dyDescent="0.45">
      <c r="A68">
        <f t="shared" ref="A68:A131" ca="1" si="11">RANDBETWEEN(16,22)</f>
        <v>20</v>
      </c>
      <c r="B68">
        <v>0.3</v>
      </c>
      <c r="C68">
        <f t="shared" ref="C68:C131" ca="1" si="12">RANDBETWEEN(145,165)/10</f>
        <v>14.9</v>
      </c>
      <c r="D68">
        <v>39.39</v>
      </c>
      <c r="E68">
        <v>6589</v>
      </c>
      <c r="F68">
        <v>14.12</v>
      </c>
      <c r="G68">
        <v>12.4</v>
      </c>
      <c r="H68">
        <v>55</v>
      </c>
      <c r="I68">
        <v>12.79</v>
      </c>
      <c r="J68">
        <v>7.13</v>
      </c>
      <c r="K68">
        <f t="shared" ref="K68:K131" ca="1" si="13">(I68-J68)/M68</f>
        <v>0.2770020540861135</v>
      </c>
      <c r="M68">
        <f t="shared" ca="1" si="10"/>
        <v>20.433061475567385</v>
      </c>
      <c r="N68">
        <f t="shared" ref="N68:N131" ca="1" si="14">U68</f>
        <v>44.933061475567385</v>
      </c>
      <c r="O68">
        <f t="shared" ref="O68:O131" ca="1" si="15">C68/N68*60</f>
        <v>19.896262810539135</v>
      </c>
      <c r="P68">
        <v>11.835000000000001</v>
      </c>
      <c r="Q68">
        <v>4.5</v>
      </c>
      <c r="R68">
        <f t="shared" ref="R68:R131" ca="1" si="16">RANDBETWEEN(190,200)/10</f>
        <v>19.600000000000001</v>
      </c>
      <c r="S68">
        <f t="shared" ref="S68:S131" ca="1" si="17">RAND()</f>
        <v>0.29626281053913239</v>
      </c>
      <c r="T68">
        <f t="shared" ref="T68:T131" ca="1" si="18">R68+S68</f>
        <v>19.896262810539135</v>
      </c>
      <c r="U68">
        <f t="shared" ref="U68:U131" ca="1" si="19">C68*60/T68</f>
        <v>44.933061475567385</v>
      </c>
    </row>
    <row r="69" spans="1:21" s="2" customFormat="1" x14ac:dyDescent="0.45">
      <c r="A69" s="2">
        <f t="shared" ca="1" si="11"/>
        <v>20</v>
      </c>
      <c r="B69" s="2">
        <v>0.3</v>
      </c>
      <c r="C69" s="2">
        <f t="shared" ca="1" si="12"/>
        <v>14.5</v>
      </c>
      <c r="D69" s="2">
        <v>43.07</v>
      </c>
      <c r="E69" s="2">
        <v>6339</v>
      </c>
      <c r="F69" s="2">
        <v>10.050000000000001</v>
      </c>
      <c r="G69" s="2">
        <v>8.6</v>
      </c>
      <c r="H69" s="2">
        <v>52.1</v>
      </c>
      <c r="I69" s="2">
        <v>11.97</v>
      </c>
      <c r="J69" s="2">
        <v>7.16</v>
      </c>
      <c r="K69" s="2">
        <f t="shared" ca="1" si="13"/>
        <v>0.24023909240383115</v>
      </c>
      <c r="M69" s="2">
        <f t="shared" ca="1" si="10"/>
        <v>20.021720661159534</v>
      </c>
      <c r="N69" s="2">
        <f t="shared" ca="1" si="14"/>
        <v>44.521720661159534</v>
      </c>
      <c r="O69" s="2">
        <f t="shared" ca="1" si="15"/>
        <v>19.541023731344293</v>
      </c>
      <c r="P69" s="2">
        <v>13.8268656716418</v>
      </c>
      <c r="Q69" s="2">
        <v>4.5</v>
      </c>
      <c r="R69" s="2">
        <f t="shared" ca="1" si="16"/>
        <v>19.399999999999999</v>
      </c>
      <c r="S69" s="2">
        <f t="shared" ca="1" si="17"/>
        <v>0.14102373134429325</v>
      </c>
      <c r="T69" s="2">
        <f t="shared" ca="1" si="18"/>
        <v>19.541023731344293</v>
      </c>
      <c r="U69" s="2">
        <f t="shared" ca="1" si="19"/>
        <v>44.521720661159534</v>
      </c>
    </row>
    <row r="70" spans="1:21" x14ac:dyDescent="0.45">
      <c r="A70">
        <f t="shared" ca="1" si="11"/>
        <v>22</v>
      </c>
      <c r="B70">
        <v>0.3</v>
      </c>
      <c r="C70">
        <f t="shared" ca="1" si="12"/>
        <v>15.5</v>
      </c>
      <c r="D70">
        <v>39.049999999999997</v>
      </c>
      <c r="E70">
        <v>5410</v>
      </c>
      <c r="F70">
        <v>9.52</v>
      </c>
      <c r="G70">
        <v>11.83</v>
      </c>
      <c r="H70">
        <v>50.6</v>
      </c>
      <c r="I70">
        <v>12.68</v>
      </c>
      <c r="J70">
        <v>7.14</v>
      </c>
      <c r="K70">
        <f t="shared" ca="1" si="13"/>
        <v>0.29744532714650124</v>
      </c>
      <c r="M70">
        <f t="shared" ca="1" si="10"/>
        <v>18.625271585696737</v>
      </c>
      <c r="N70">
        <f t="shared" ca="1" si="14"/>
        <v>45.125271585696737</v>
      </c>
      <c r="O70">
        <f t="shared" ca="1" si="15"/>
        <v>20.609294245107218</v>
      </c>
      <c r="P70">
        <v>14.268750000000001</v>
      </c>
      <c r="Q70">
        <v>4.5</v>
      </c>
      <c r="R70">
        <f t="shared" ca="1" si="16"/>
        <v>19.7</v>
      </c>
      <c r="S70">
        <f t="shared" ca="1" si="17"/>
        <v>0.90929424510721812</v>
      </c>
      <c r="T70">
        <f t="shared" ca="1" si="18"/>
        <v>20.609294245107218</v>
      </c>
      <c r="U70">
        <f t="shared" ca="1" si="19"/>
        <v>45.125271585696737</v>
      </c>
    </row>
    <row r="71" spans="1:21" x14ac:dyDescent="0.45">
      <c r="A71">
        <f t="shared" ca="1" si="11"/>
        <v>19</v>
      </c>
      <c r="B71">
        <v>0.3</v>
      </c>
      <c r="C71">
        <f t="shared" ca="1" si="12"/>
        <v>16.399999999999999</v>
      </c>
      <c r="D71">
        <v>32.619999999999997</v>
      </c>
      <c r="E71">
        <v>4896</v>
      </c>
      <c r="F71">
        <v>2.3199999999999998</v>
      </c>
      <c r="G71">
        <v>4.1500000000000004</v>
      </c>
      <c r="H71">
        <v>51.2</v>
      </c>
      <c r="I71">
        <v>12.37</v>
      </c>
      <c r="J71">
        <v>7.2</v>
      </c>
      <c r="K71">
        <f t="shared" ca="1" si="13"/>
        <v>0.21293392379001938</v>
      </c>
      <c r="M71">
        <f t="shared" ca="1" si="10"/>
        <v>24.279832485021473</v>
      </c>
      <c r="N71">
        <f t="shared" ca="1" si="14"/>
        <v>47.779832485021473</v>
      </c>
      <c r="O71">
        <f t="shared" ca="1" si="15"/>
        <v>20.594463162014531</v>
      </c>
      <c r="P71">
        <v>5.1862068965517203</v>
      </c>
      <c r="Q71">
        <v>4.5</v>
      </c>
      <c r="R71">
        <f t="shared" ca="1" si="16"/>
        <v>19.899999999999999</v>
      </c>
      <c r="S71">
        <f t="shared" ca="1" si="17"/>
        <v>0.69446316201453229</v>
      </c>
      <c r="T71">
        <f t="shared" ca="1" si="18"/>
        <v>20.594463162014531</v>
      </c>
      <c r="U71">
        <f t="shared" ca="1" si="19"/>
        <v>47.779832485021473</v>
      </c>
    </row>
    <row r="72" spans="1:21" x14ac:dyDescent="0.45">
      <c r="A72">
        <f t="shared" ca="1" si="11"/>
        <v>22</v>
      </c>
      <c r="B72">
        <v>0.3</v>
      </c>
      <c r="C72">
        <f t="shared" ca="1" si="12"/>
        <v>15.7</v>
      </c>
      <c r="D72">
        <v>35.76</v>
      </c>
      <c r="E72">
        <v>4286</v>
      </c>
      <c r="F72">
        <v>6.49</v>
      </c>
      <c r="G72">
        <v>14.55</v>
      </c>
      <c r="H72">
        <v>56</v>
      </c>
      <c r="I72">
        <v>12.37</v>
      </c>
      <c r="J72">
        <v>7.21</v>
      </c>
      <c r="K72">
        <f t="shared" ca="1" si="13"/>
        <v>0.26467646860744048</v>
      </c>
      <c r="M72">
        <f t="shared" ca="1" si="10"/>
        <v>19.49549964584552</v>
      </c>
      <c r="N72">
        <f t="shared" ca="1" si="14"/>
        <v>45.99549964584552</v>
      </c>
      <c r="O72">
        <f t="shared" ca="1" si="15"/>
        <v>20.480264531381927</v>
      </c>
      <c r="P72">
        <v>10.232967032967</v>
      </c>
      <c r="Q72">
        <v>4.5</v>
      </c>
      <c r="R72">
        <f t="shared" ca="1" si="16"/>
        <v>19.8</v>
      </c>
      <c r="S72">
        <f t="shared" ca="1" si="17"/>
        <v>0.68026453138192511</v>
      </c>
      <c r="T72">
        <f t="shared" ca="1" si="18"/>
        <v>20.480264531381927</v>
      </c>
      <c r="U72">
        <f t="shared" ca="1" si="19"/>
        <v>45.99549964584552</v>
      </c>
    </row>
    <row r="73" spans="1:21" x14ac:dyDescent="0.45">
      <c r="A73">
        <f t="shared" ca="1" si="11"/>
        <v>22</v>
      </c>
      <c r="B73">
        <v>0.3</v>
      </c>
      <c r="C73">
        <f t="shared" ca="1" si="12"/>
        <v>14.8</v>
      </c>
      <c r="D73">
        <v>34.83</v>
      </c>
      <c r="E73">
        <v>4528</v>
      </c>
      <c r="F73">
        <v>2.46</v>
      </c>
      <c r="G73">
        <v>7.6</v>
      </c>
      <c r="H73">
        <v>54</v>
      </c>
      <c r="I73">
        <v>11.73</v>
      </c>
      <c r="J73">
        <v>7.26</v>
      </c>
      <c r="K73">
        <f t="shared" ca="1" si="13"/>
        <v>0.25393802410451366</v>
      </c>
      <c r="M73">
        <f t="shared" ca="1" si="10"/>
        <v>17.602720253349204</v>
      </c>
      <c r="N73">
        <f t="shared" ca="1" si="14"/>
        <v>44.102720253349204</v>
      </c>
      <c r="O73">
        <f t="shared" ca="1" si="15"/>
        <v>20.134812431044192</v>
      </c>
      <c r="P73">
        <v>12.830136986301399</v>
      </c>
      <c r="Q73">
        <v>4.5</v>
      </c>
      <c r="R73">
        <f t="shared" ca="1" si="16"/>
        <v>19.3</v>
      </c>
      <c r="S73">
        <f t="shared" ca="1" si="17"/>
        <v>0.834812431044193</v>
      </c>
      <c r="T73">
        <f t="shared" ca="1" si="18"/>
        <v>20.134812431044192</v>
      </c>
      <c r="U73">
        <f t="shared" ca="1" si="19"/>
        <v>44.102720253349204</v>
      </c>
    </row>
    <row r="74" spans="1:21" x14ac:dyDescent="0.45">
      <c r="A74">
        <f t="shared" ca="1" si="11"/>
        <v>22</v>
      </c>
      <c r="B74">
        <v>0.3</v>
      </c>
      <c r="C74">
        <f t="shared" ca="1" si="12"/>
        <v>14.9</v>
      </c>
      <c r="D74">
        <v>33.659999999999997</v>
      </c>
      <c r="E74">
        <v>4521</v>
      </c>
      <c r="F74">
        <v>2.0299999999999998</v>
      </c>
      <c r="G74">
        <v>4.9800000000000004</v>
      </c>
      <c r="H74">
        <v>52</v>
      </c>
      <c r="I74">
        <v>11.52</v>
      </c>
      <c r="J74">
        <v>7.46</v>
      </c>
      <c r="K74">
        <f t="shared" ca="1" si="13"/>
        <v>0.20796708079889265</v>
      </c>
      <c r="M74">
        <f t="shared" ca="1" si="10"/>
        <v>19.522320476893562</v>
      </c>
      <c r="N74">
        <f t="shared" ca="1" si="14"/>
        <v>46.022320476893562</v>
      </c>
      <c r="O74">
        <f t="shared" ca="1" si="15"/>
        <v>19.425356886314564</v>
      </c>
      <c r="P74">
        <v>12.780821917808201</v>
      </c>
      <c r="Q74">
        <v>4.5</v>
      </c>
      <c r="R74">
        <f t="shared" ca="1" si="16"/>
        <v>19</v>
      </c>
      <c r="S74">
        <f t="shared" ca="1" si="17"/>
        <v>0.4253568863145617</v>
      </c>
      <c r="T74">
        <f t="shared" ca="1" si="18"/>
        <v>19.42535688631456</v>
      </c>
      <c r="U74">
        <f t="shared" ca="1" si="19"/>
        <v>46.022320476893562</v>
      </c>
    </row>
    <row r="75" spans="1:21" x14ac:dyDescent="0.45">
      <c r="A75">
        <f t="shared" ca="1" si="11"/>
        <v>19</v>
      </c>
      <c r="B75">
        <v>0.3</v>
      </c>
      <c r="C75">
        <f t="shared" ca="1" si="12"/>
        <v>16.3</v>
      </c>
      <c r="D75">
        <v>35.880000000000003</v>
      </c>
      <c r="E75">
        <v>4938</v>
      </c>
      <c r="F75">
        <v>1.49</v>
      </c>
      <c r="G75">
        <v>7.59</v>
      </c>
      <c r="H75">
        <v>55</v>
      </c>
      <c r="I75">
        <v>12.22</v>
      </c>
      <c r="J75">
        <v>7.12</v>
      </c>
      <c r="K75">
        <f t="shared" si="13"/>
        <v>0.21250000000000002</v>
      </c>
      <c r="M75">
        <v>24</v>
      </c>
      <c r="N75">
        <f t="shared" ca="1" si="14"/>
        <v>50.32340285603928</v>
      </c>
      <c r="O75">
        <f t="shared" ca="1" si="15"/>
        <v>19.43429785139482</v>
      </c>
      <c r="P75">
        <v>21.475000000000001</v>
      </c>
      <c r="Q75">
        <v>4.5</v>
      </c>
      <c r="R75">
        <f t="shared" ca="1" si="16"/>
        <v>19</v>
      </c>
      <c r="S75">
        <f t="shared" ca="1" si="17"/>
        <v>0.43429785139481814</v>
      </c>
      <c r="T75">
        <f t="shared" ca="1" si="18"/>
        <v>19.434297851394817</v>
      </c>
      <c r="U75">
        <f t="shared" ca="1" si="19"/>
        <v>50.32340285603928</v>
      </c>
    </row>
    <row r="76" spans="1:21" x14ac:dyDescent="0.45">
      <c r="A76">
        <f t="shared" ca="1" si="11"/>
        <v>16</v>
      </c>
      <c r="B76">
        <v>0.3</v>
      </c>
      <c r="C76">
        <f t="shared" ca="1" si="12"/>
        <v>16.3</v>
      </c>
      <c r="D76">
        <v>34.630000000000003</v>
      </c>
      <c r="E76">
        <v>4556</v>
      </c>
      <c r="F76">
        <v>1.51</v>
      </c>
      <c r="G76">
        <v>7.63</v>
      </c>
      <c r="H76">
        <v>54</v>
      </c>
      <c r="I76">
        <v>12.22</v>
      </c>
      <c r="J76">
        <v>7.22</v>
      </c>
      <c r="K76">
        <f t="shared" si="13"/>
        <v>0.13157894736842107</v>
      </c>
      <c r="M76">
        <v>38</v>
      </c>
      <c r="N76">
        <f t="shared" ca="1" si="14"/>
        <v>49.231296734188476</v>
      </c>
      <c r="O76">
        <f t="shared" ca="1" si="15"/>
        <v>19.865412143833129</v>
      </c>
      <c r="P76">
        <v>17.390322580645201</v>
      </c>
      <c r="Q76">
        <v>4.5</v>
      </c>
      <c r="R76">
        <f t="shared" ca="1" si="16"/>
        <v>19</v>
      </c>
      <c r="S76">
        <f t="shared" ca="1" si="17"/>
        <v>0.86541214383312837</v>
      </c>
      <c r="T76">
        <f t="shared" ca="1" si="18"/>
        <v>19.865412143833129</v>
      </c>
      <c r="U76">
        <f t="shared" ca="1" si="19"/>
        <v>49.231296734188476</v>
      </c>
    </row>
    <row r="77" spans="1:21" s="2" customFormat="1" x14ac:dyDescent="0.45">
      <c r="A77" s="2">
        <f t="shared" ca="1" si="11"/>
        <v>16</v>
      </c>
      <c r="B77" s="2">
        <v>0.3</v>
      </c>
      <c r="C77" s="2">
        <f t="shared" ca="1" si="12"/>
        <v>14.5</v>
      </c>
      <c r="D77" s="2">
        <v>31.41</v>
      </c>
      <c r="E77" s="2">
        <v>6869</v>
      </c>
      <c r="F77" s="2">
        <v>12.97</v>
      </c>
      <c r="G77" s="2">
        <v>12.79</v>
      </c>
      <c r="H77" s="2">
        <v>53</v>
      </c>
      <c r="I77" s="2">
        <v>12.13</v>
      </c>
      <c r="J77" s="2">
        <v>7.09</v>
      </c>
      <c r="K77" s="2">
        <f t="shared" si="13"/>
        <v>0.21913043478260874</v>
      </c>
      <c r="M77" s="2">
        <v>23</v>
      </c>
      <c r="N77" s="2">
        <f t="shared" ca="1" si="14"/>
        <v>42.55840318499488</v>
      </c>
      <c r="O77" s="2">
        <f t="shared" ca="1" si="15"/>
        <v>20.44249630838457</v>
      </c>
      <c r="P77" s="2">
        <v>19.712499999999999</v>
      </c>
      <c r="Q77" s="2">
        <v>4.5</v>
      </c>
      <c r="R77" s="2">
        <f t="shared" ca="1" si="16"/>
        <v>19.600000000000001</v>
      </c>
      <c r="S77" s="2">
        <f t="shared" ca="1" si="17"/>
        <v>0.84249630838456868</v>
      </c>
      <c r="T77" s="2">
        <f t="shared" ca="1" si="18"/>
        <v>20.44249630838457</v>
      </c>
      <c r="U77" s="2">
        <f t="shared" ca="1" si="19"/>
        <v>42.55840318499488</v>
      </c>
    </row>
    <row r="78" spans="1:21" x14ac:dyDescent="0.45">
      <c r="A78">
        <f t="shared" ca="1" si="11"/>
        <v>18</v>
      </c>
      <c r="B78">
        <v>0.3</v>
      </c>
      <c r="C78">
        <f t="shared" ca="1" si="12"/>
        <v>15.2</v>
      </c>
      <c r="D78">
        <v>33.450000000000003</v>
      </c>
      <c r="E78">
        <v>7681</v>
      </c>
      <c r="F78">
        <v>13.25</v>
      </c>
      <c r="G78">
        <v>7.61</v>
      </c>
      <c r="H78">
        <v>51.1</v>
      </c>
      <c r="I78">
        <v>12.92</v>
      </c>
      <c r="J78">
        <v>7.28</v>
      </c>
      <c r="K78">
        <f t="shared" si="13"/>
        <v>0.17624999999999999</v>
      </c>
      <c r="M78">
        <v>32</v>
      </c>
      <c r="N78">
        <f t="shared" ca="1" si="14"/>
        <v>44.164596150231951</v>
      </c>
      <c r="O78">
        <f t="shared" ca="1" si="15"/>
        <v>20.650024669029158</v>
      </c>
      <c r="P78">
        <v>17.037735849056599</v>
      </c>
      <c r="Q78">
        <v>4.5</v>
      </c>
      <c r="R78">
        <f t="shared" ca="1" si="16"/>
        <v>19.899999999999999</v>
      </c>
      <c r="S78">
        <f t="shared" ca="1" si="17"/>
        <v>0.75002466902915788</v>
      </c>
      <c r="T78">
        <f t="shared" ca="1" si="18"/>
        <v>20.650024669029158</v>
      </c>
      <c r="U78">
        <f t="shared" ca="1" si="19"/>
        <v>44.164596150231951</v>
      </c>
    </row>
    <row r="79" spans="1:21" x14ac:dyDescent="0.45">
      <c r="A79">
        <f t="shared" ca="1" si="11"/>
        <v>20</v>
      </c>
      <c r="B79">
        <v>0.3</v>
      </c>
      <c r="C79">
        <f t="shared" ca="1" si="12"/>
        <v>16</v>
      </c>
      <c r="D79">
        <v>31.57</v>
      </c>
      <c r="E79">
        <v>9340</v>
      </c>
      <c r="F79">
        <v>12.98</v>
      </c>
      <c r="G79">
        <v>9.15</v>
      </c>
      <c r="H79">
        <v>63.2</v>
      </c>
      <c r="I79">
        <v>12.96</v>
      </c>
      <c r="J79">
        <v>7.28</v>
      </c>
      <c r="K79">
        <f t="shared" si="13"/>
        <v>0.16228571428571431</v>
      </c>
      <c r="M79">
        <v>35</v>
      </c>
      <c r="N79">
        <f t="shared" ca="1" si="14"/>
        <v>48.523855665466812</v>
      </c>
      <c r="O79">
        <f t="shared" ca="1" si="15"/>
        <v>19.784083248009647</v>
      </c>
      <c r="P79">
        <v>16.515789473684201</v>
      </c>
      <c r="Q79">
        <v>4.5</v>
      </c>
      <c r="R79">
        <f t="shared" ca="1" si="16"/>
        <v>19.100000000000001</v>
      </c>
      <c r="S79">
        <f t="shared" ca="1" si="17"/>
        <v>0.68408324800964648</v>
      </c>
      <c r="T79">
        <f t="shared" ca="1" si="18"/>
        <v>19.784083248009647</v>
      </c>
      <c r="U79">
        <f t="shared" ca="1" si="19"/>
        <v>48.523855665466812</v>
      </c>
    </row>
    <row r="80" spans="1:21" x14ac:dyDescent="0.45">
      <c r="A80">
        <f t="shared" ca="1" si="11"/>
        <v>22</v>
      </c>
      <c r="B80">
        <v>0.3</v>
      </c>
      <c r="C80">
        <f t="shared" ca="1" si="12"/>
        <v>16.100000000000001</v>
      </c>
      <c r="D80">
        <v>32.68</v>
      </c>
      <c r="E80">
        <v>9567</v>
      </c>
      <c r="F80">
        <v>13.15</v>
      </c>
      <c r="G80">
        <v>10.42</v>
      </c>
      <c r="H80">
        <v>50.4</v>
      </c>
      <c r="I80">
        <v>12.34</v>
      </c>
      <c r="J80">
        <v>7.35</v>
      </c>
      <c r="K80">
        <f t="shared" si="13"/>
        <v>0.15593750000000001</v>
      </c>
      <c r="M80">
        <v>32</v>
      </c>
      <c r="N80">
        <f t="shared" ca="1" si="14"/>
        <v>48.680353133010655</v>
      </c>
      <c r="O80">
        <f t="shared" ca="1" si="15"/>
        <v>19.843734439653137</v>
      </c>
      <c r="P80">
        <v>17.411111111111101</v>
      </c>
      <c r="Q80">
        <v>4.5</v>
      </c>
      <c r="R80">
        <f t="shared" ca="1" si="16"/>
        <v>19.600000000000001</v>
      </c>
      <c r="S80">
        <f t="shared" ca="1" si="17"/>
        <v>0.24373443965313846</v>
      </c>
      <c r="T80">
        <f t="shared" ca="1" si="18"/>
        <v>19.84373443965314</v>
      </c>
      <c r="U80">
        <f t="shared" ca="1" si="19"/>
        <v>48.680353133010655</v>
      </c>
    </row>
    <row r="81" spans="1:21" x14ac:dyDescent="0.45">
      <c r="A81">
        <f t="shared" ca="1" si="11"/>
        <v>22</v>
      </c>
      <c r="B81">
        <v>0.3</v>
      </c>
      <c r="C81">
        <f t="shared" ca="1" si="12"/>
        <v>15.4</v>
      </c>
      <c r="D81">
        <v>32.67</v>
      </c>
      <c r="E81">
        <v>8903</v>
      </c>
      <c r="F81">
        <v>12.37</v>
      </c>
      <c r="G81">
        <v>12.54</v>
      </c>
      <c r="H81">
        <v>58.5</v>
      </c>
      <c r="I81">
        <v>12.86</v>
      </c>
      <c r="J81">
        <v>7.25</v>
      </c>
      <c r="K81">
        <f t="shared" si="13"/>
        <v>0.25499999999999995</v>
      </c>
      <c r="M81">
        <v>22</v>
      </c>
      <c r="N81">
        <f t="shared" ca="1" si="14"/>
        <v>46.343121278565633</v>
      </c>
      <c r="O81">
        <f t="shared" ca="1" si="15"/>
        <v>19.938234078923887</v>
      </c>
      <c r="P81">
        <v>21.0133333333333</v>
      </c>
      <c r="Q81">
        <v>4.5</v>
      </c>
      <c r="R81">
        <f t="shared" ca="1" si="16"/>
        <v>19.2</v>
      </c>
      <c r="S81">
        <f t="shared" ca="1" si="17"/>
        <v>0.73823407892388926</v>
      </c>
      <c r="T81">
        <f t="shared" ca="1" si="18"/>
        <v>19.938234078923887</v>
      </c>
      <c r="U81">
        <f t="shared" ca="1" si="19"/>
        <v>46.343121278565633</v>
      </c>
    </row>
    <row r="82" spans="1:21" x14ac:dyDescent="0.45">
      <c r="A82">
        <f t="shared" ca="1" si="11"/>
        <v>16</v>
      </c>
      <c r="B82">
        <v>0.3</v>
      </c>
      <c r="C82">
        <f t="shared" ca="1" si="12"/>
        <v>14.6</v>
      </c>
      <c r="D82">
        <v>35.5</v>
      </c>
      <c r="E82">
        <v>8874</v>
      </c>
      <c r="F82">
        <v>9.1999999999999993</v>
      </c>
      <c r="G82">
        <v>9.8800000000000008</v>
      </c>
      <c r="H82">
        <v>49.8</v>
      </c>
      <c r="I82">
        <v>12.25</v>
      </c>
      <c r="J82">
        <v>7.11</v>
      </c>
      <c r="K82">
        <f t="shared" si="13"/>
        <v>0.13891891891891892</v>
      </c>
      <c r="M82">
        <v>37</v>
      </c>
      <c r="N82">
        <f t="shared" ca="1" si="14"/>
        <v>44.164995322151725</v>
      </c>
      <c r="O82">
        <f t="shared" ca="1" si="15"/>
        <v>19.834712844645701</v>
      </c>
      <c r="P82">
        <v>15.540983606557401</v>
      </c>
      <c r="Q82">
        <v>4.5</v>
      </c>
      <c r="R82">
        <f t="shared" ca="1" si="16"/>
        <v>19.3</v>
      </c>
      <c r="S82">
        <f t="shared" ca="1" si="17"/>
        <v>0.53471284464569624</v>
      </c>
      <c r="T82">
        <f t="shared" ca="1" si="18"/>
        <v>19.834712844645697</v>
      </c>
      <c r="U82">
        <f t="shared" ca="1" si="19"/>
        <v>44.164995322151725</v>
      </c>
    </row>
    <row r="83" spans="1:21" x14ac:dyDescent="0.45">
      <c r="A83">
        <f t="shared" ca="1" si="11"/>
        <v>18</v>
      </c>
      <c r="B83">
        <v>0.3</v>
      </c>
      <c r="C83">
        <f t="shared" ca="1" si="12"/>
        <v>15.1</v>
      </c>
      <c r="D83">
        <v>32.869999999999997</v>
      </c>
      <c r="E83">
        <v>7636</v>
      </c>
      <c r="F83">
        <v>13.27</v>
      </c>
      <c r="G83">
        <v>12.96</v>
      </c>
      <c r="H83">
        <v>53</v>
      </c>
      <c r="I83">
        <v>12.38</v>
      </c>
      <c r="J83">
        <v>7.38</v>
      </c>
      <c r="K83">
        <f t="shared" si="13"/>
        <v>0.16666666666666669</v>
      </c>
      <c r="M83">
        <v>30</v>
      </c>
      <c r="N83">
        <f t="shared" ca="1" si="14"/>
        <v>43.432236195676637</v>
      </c>
      <c r="O83">
        <f t="shared" ca="1" si="15"/>
        <v>20.860081804633992</v>
      </c>
      <c r="P83">
        <v>17.818867924528298</v>
      </c>
      <c r="Q83">
        <v>4.5</v>
      </c>
      <c r="R83">
        <f t="shared" ca="1" si="16"/>
        <v>20</v>
      </c>
      <c r="S83">
        <f t="shared" ca="1" si="17"/>
        <v>0.8600818046339902</v>
      </c>
      <c r="T83">
        <f t="shared" ca="1" si="18"/>
        <v>20.860081804633989</v>
      </c>
      <c r="U83">
        <f t="shared" ca="1" si="19"/>
        <v>43.432236195676637</v>
      </c>
    </row>
    <row r="84" spans="1:21" x14ac:dyDescent="0.45">
      <c r="A84">
        <f t="shared" ca="1" si="11"/>
        <v>17</v>
      </c>
      <c r="B84">
        <v>0.3</v>
      </c>
      <c r="C84">
        <f t="shared" ca="1" si="12"/>
        <v>14.8</v>
      </c>
      <c r="D84">
        <v>31.57</v>
      </c>
      <c r="E84">
        <v>7843</v>
      </c>
      <c r="F84">
        <v>12.63</v>
      </c>
      <c r="G84">
        <v>12.8</v>
      </c>
      <c r="H84">
        <v>63.3</v>
      </c>
      <c r="I84">
        <v>12.32</v>
      </c>
      <c r="J84">
        <v>7.3</v>
      </c>
      <c r="K84">
        <f t="shared" si="13"/>
        <v>0.2091666666666667</v>
      </c>
      <c r="M84">
        <v>24</v>
      </c>
      <c r="N84">
        <f t="shared" ca="1" si="14"/>
        <v>45.670435133787819</v>
      </c>
      <c r="O84">
        <f t="shared" ca="1" si="15"/>
        <v>19.443650961473793</v>
      </c>
      <c r="P84">
        <v>21.0133333333333</v>
      </c>
      <c r="Q84">
        <v>4.5</v>
      </c>
      <c r="R84">
        <f t="shared" ca="1" si="16"/>
        <v>19.2</v>
      </c>
      <c r="S84">
        <f t="shared" ca="1" si="17"/>
        <v>0.24365096147379528</v>
      </c>
      <c r="T84">
        <f t="shared" ca="1" si="18"/>
        <v>19.443650961473793</v>
      </c>
      <c r="U84">
        <f t="shared" ca="1" si="19"/>
        <v>45.670435133787819</v>
      </c>
    </row>
    <row r="85" spans="1:21" x14ac:dyDescent="0.45">
      <c r="A85">
        <f t="shared" ca="1" si="11"/>
        <v>22</v>
      </c>
      <c r="B85">
        <v>0.3</v>
      </c>
      <c r="C85">
        <f t="shared" ca="1" si="12"/>
        <v>16.3</v>
      </c>
      <c r="D85">
        <v>32.17</v>
      </c>
      <c r="E85">
        <v>8425</v>
      </c>
      <c r="F85">
        <v>11.36</v>
      </c>
      <c r="G85">
        <v>11.33</v>
      </c>
      <c r="H85">
        <v>58.4</v>
      </c>
      <c r="I85">
        <v>12.76</v>
      </c>
      <c r="J85">
        <v>7.3</v>
      </c>
      <c r="K85">
        <f t="shared" si="13"/>
        <v>0.13650000000000001</v>
      </c>
      <c r="M85">
        <v>40</v>
      </c>
      <c r="N85">
        <f t="shared" ca="1" si="14"/>
        <v>50.002146510445087</v>
      </c>
      <c r="O85">
        <f t="shared" ca="1" si="15"/>
        <v>19.559160321161471</v>
      </c>
      <c r="P85">
        <v>15.1741935483871</v>
      </c>
      <c r="Q85">
        <v>4.5</v>
      </c>
      <c r="R85">
        <f t="shared" ca="1" si="16"/>
        <v>19</v>
      </c>
      <c r="S85">
        <f t="shared" ca="1" si="17"/>
        <v>0.55916032116147052</v>
      </c>
      <c r="T85">
        <f t="shared" ca="1" si="18"/>
        <v>19.559160321161471</v>
      </c>
      <c r="U85">
        <f t="shared" ca="1" si="19"/>
        <v>50.002146510445087</v>
      </c>
    </row>
    <row r="86" spans="1:21" x14ac:dyDescent="0.45">
      <c r="A86">
        <f t="shared" ca="1" si="11"/>
        <v>20</v>
      </c>
      <c r="B86">
        <v>0.3</v>
      </c>
      <c r="C86">
        <f t="shared" ca="1" si="12"/>
        <v>15.1</v>
      </c>
      <c r="D86">
        <v>33.11</v>
      </c>
      <c r="E86">
        <v>7618</v>
      </c>
      <c r="F86">
        <v>8.7200000000000006</v>
      </c>
      <c r="G86">
        <v>7.71</v>
      </c>
      <c r="H86">
        <v>51</v>
      </c>
      <c r="I86">
        <v>12.11</v>
      </c>
      <c r="J86">
        <v>7.16</v>
      </c>
      <c r="K86">
        <f t="shared" si="13"/>
        <v>7.9838709677419337E-2</v>
      </c>
      <c r="M86">
        <v>62</v>
      </c>
      <c r="N86">
        <f t="shared" ca="1" si="14"/>
        <v>45.084992203320134</v>
      </c>
      <c r="O86">
        <f t="shared" ca="1" si="15"/>
        <v>20.095378877170585</v>
      </c>
      <c r="P86">
        <v>11.0823529411765</v>
      </c>
      <c r="Q86">
        <v>4.5</v>
      </c>
      <c r="R86">
        <f t="shared" ca="1" si="16"/>
        <v>19.8</v>
      </c>
      <c r="S86">
        <f t="shared" ca="1" si="17"/>
        <v>0.29537887717058531</v>
      </c>
      <c r="T86">
        <f t="shared" ca="1" si="18"/>
        <v>20.095378877170585</v>
      </c>
      <c r="U86">
        <f t="shared" ca="1" si="19"/>
        <v>45.084992203320134</v>
      </c>
    </row>
    <row r="87" spans="1:21" x14ac:dyDescent="0.45">
      <c r="A87">
        <f t="shared" ca="1" si="11"/>
        <v>16</v>
      </c>
      <c r="B87">
        <v>0.3</v>
      </c>
      <c r="C87">
        <f t="shared" ca="1" si="12"/>
        <v>14.7</v>
      </c>
      <c r="D87">
        <v>33.590000000000003</v>
      </c>
      <c r="E87">
        <v>7219</v>
      </c>
      <c r="F87">
        <v>7.35</v>
      </c>
      <c r="G87">
        <v>7.84</v>
      </c>
      <c r="H87">
        <v>52</v>
      </c>
      <c r="I87">
        <v>12.01</v>
      </c>
      <c r="J87">
        <v>7.13</v>
      </c>
      <c r="K87">
        <f t="shared" si="13"/>
        <v>0.10844444444444444</v>
      </c>
      <c r="M87">
        <v>45</v>
      </c>
      <c r="N87">
        <f t="shared" ca="1" si="14"/>
        <v>44.053709228712968</v>
      </c>
      <c r="O87">
        <f t="shared" ca="1" si="15"/>
        <v>20.021015606675345</v>
      </c>
      <c r="P87">
        <v>13.8705882352941</v>
      </c>
      <c r="Q87">
        <v>4.5</v>
      </c>
      <c r="R87">
        <f t="shared" ca="1" si="16"/>
        <v>19.7</v>
      </c>
      <c r="S87">
        <f t="shared" ca="1" si="17"/>
        <v>0.32101560667534479</v>
      </c>
      <c r="T87">
        <f t="shared" ca="1" si="18"/>
        <v>20.021015606675345</v>
      </c>
      <c r="U87">
        <f t="shared" ca="1" si="19"/>
        <v>44.053709228712968</v>
      </c>
    </row>
    <row r="88" spans="1:21" x14ac:dyDescent="0.45">
      <c r="A88">
        <f t="shared" ca="1" si="11"/>
        <v>19</v>
      </c>
      <c r="B88">
        <v>0.3</v>
      </c>
      <c r="C88">
        <f t="shared" ca="1" si="12"/>
        <v>15.1</v>
      </c>
      <c r="D88">
        <v>31.57</v>
      </c>
      <c r="E88">
        <v>7843</v>
      </c>
      <c r="F88">
        <v>12.63</v>
      </c>
      <c r="G88">
        <v>12.8</v>
      </c>
      <c r="H88">
        <v>63.3</v>
      </c>
      <c r="I88">
        <v>12.32</v>
      </c>
      <c r="J88">
        <v>7.3</v>
      </c>
      <c r="K88">
        <f t="shared" si="13"/>
        <v>0.2091666666666667</v>
      </c>
      <c r="M88">
        <v>24</v>
      </c>
      <c r="N88">
        <f t="shared" ca="1" si="14"/>
        <v>44.41154492535739</v>
      </c>
      <c r="O88">
        <f t="shared" ca="1" si="15"/>
        <v>20.400100953991057</v>
      </c>
      <c r="P88">
        <v>21.0133333333333</v>
      </c>
      <c r="Q88">
        <v>4.5</v>
      </c>
      <c r="R88">
        <f t="shared" ca="1" si="16"/>
        <v>19.5</v>
      </c>
      <c r="S88">
        <f t="shared" ca="1" si="17"/>
        <v>0.90010095399105716</v>
      </c>
      <c r="T88">
        <f t="shared" ca="1" si="18"/>
        <v>20.400100953991057</v>
      </c>
      <c r="U88">
        <f t="shared" ca="1" si="19"/>
        <v>44.41154492535739</v>
      </c>
    </row>
    <row r="89" spans="1:21" x14ac:dyDescent="0.45">
      <c r="A89">
        <f t="shared" ca="1" si="11"/>
        <v>18</v>
      </c>
      <c r="B89">
        <v>0.3</v>
      </c>
      <c r="C89">
        <f t="shared" ca="1" si="12"/>
        <v>15.9</v>
      </c>
      <c r="D89">
        <v>31.78</v>
      </c>
      <c r="E89">
        <v>7271</v>
      </c>
      <c r="F89">
        <v>12.77</v>
      </c>
      <c r="G89">
        <v>12.71</v>
      </c>
      <c r="H89">
        <v>54.4</v>
      </c>
      <c r="I89">
        <v>12.24</v>
      </c>
      <c r="J89">
        <v>7.35</v>
      </c>
      <c r="K89">
        <f t="shared" si="13"/>
        <v>0.15281250000000002</v>
      </c>
      <c r="M89">
        <v>32</v>
      </c>
      <c r="N89">
        <f t="shared" ca="1" si="14"/>
        <v>48.426467908848622</v>
      </c>
      <c r="O89">
        <f t="shared" ca="1" si="15"/>
        <v>19.699970722532964</v>
      </c>
      <c r="P89">
        <v>17.411111111111101</v>
      </c>
      <c r="Q89">
        <v>4.5</v>
      </c>
      <c r="R89">
        <f t="shared" ca="1" si="16"/>
        <v>19.3</v>
      </c>
      <c r="S89">
        <f t="shared" ca="1" si="17"/>
        <v>0.39997072253296451</v>
      </c>
      <c r="T89">
        <f t="shared" ca="1" si="18"/>
        <v>19.699970722532964</v>
      </c>
      <c r="U89">
        <f t="shared" ca="1" si="19"/>
        <v>48.426467908848622</v>
      </c>
    </row>
    <row r="90" spans="1:21" x14ac:dyDescent="0.45">
      <c r="A90">
        <f t="shared" ca="1" si="11"/>
        <v>16</v>
      </c>
      <c r="B90">
        <v>0.3</v>
      </c>
      <c r="C90">
        <f t="shared" ca="1" si="12"/>
        <v>15.9</v>
      </c>
      <c r="D90">
        <v>32.17</v>
      </c>
      <c r="E90">
        <v>7961</v>
      </c>
      <c r="F90">
        <v>12.95</v>
      </c>
      <c r="G90">
        <v>11.94</v>
      </c>
      <c r="H90">
        <v>51.7</v>
      </c>
      <c r="I90">
        <v>12.76</v>
      </c>
      <c r="J90">
        <v>7.23</v>
      </c>
      <c r="K90">
        <f t="shared" si="13"/>
        <v>0.14552631578947367</v>
      </c>
      <c r="M90">
        <v>38</v>
      </c>
      <c r="N90">
        <f t="shared" ca="1" si="14"/>
        <v>47.221864920707546</v>
      </c>
      <c r="O90">
        <f t="shared" ca="1" si="15"/>
        <v>20.202505801113663</v>
      </c>
      <c r="P90">
        <v>15.4524590163934</v>
      </c>
      <c r="Q90">
        <v>4.5</v>
      </c>
      <c r="R90">
        <f t="shared" ca="1" si="16"/>
        <v>19.3</v>
      </c>
      <c r="S90">
        <f t="shared" ca="1" si="17"/>
        <v>0.90250580111366052</v>
      </c>
      <c r="T90">
        <f t="shared" ca="1" si="18"/>
        <v>20.202505801113663</v>
      </c>
      <c r="U90">
        <f t="shared" ca="1" si="19"/>
        <v>47.221864920707546</v>
      </c>
    </row>
    <row r="91" spans="1:21" x14ac:dyDescent="0.45">
      <c r="A91">
        <f t="shared" ca="1" si="11"/>
        <v>20</v>
      </c>
      <c r="B91">
        <v>0.3</v>
      </c>
      <c r="C91">
        <f t="shared" ca="1" si="12"/>
        <v>14.5</v>
      </c>
      <c r="D91">
        <v>32.090000000000003</v>
      </c>
      <c r="E91">
        <v>7619</v>
      </c>
      <c r="F91">
        <v>12.72</v>
      </c>
      <c r="G91">
        <v>11.63</v>
      </c>
      <c r="H91">
        <v>51.5</v>
      </c>
      <c r="I91">
        <v>12.77</v>
      </c>
      <c r="J91">
        <v>7.34</v>
      </c>
      <c r="K91">
        <f t="shared" si="13"/>
        <v>0.13923076923076921</v>
      </c>
      <c r="M91">
        <v>39</v>
      </c>
      <c r="N91">
        <f t="shared" ca="1" si="14"/>
        <v>43.920016488498476</v>
      </c>
      <c r="O91">
        <f t="shared" ca="1" si="15"/>
        <v>19.808735732779851</v>
      </c>
      <c r="P91">
        <v>15.1838709677419</v>
      </c>
      <c r="Q91">
        <v>4.5</v>
      </c>
      <c r="R91">
        <f t="shared" ca="1" si="16"/>
        <v>19.399999999999999</v>
      </c>
      <c r="S91">
        <f t="shared" ca="1" si="17"/>
        <v>0.40873573277985409</v>
      </c>
      <c r="T91">
        <f t="shared" ca="1" si="18"/>
        <v>19.808735732779851</v>
      </c>
      <c r="U91">
        <f t="shared" ca="1" si="19"/>
        <v>43.920016488498476</v>
      </c>
    </row>
    <row r="92" spans="1:21" x14ac:dyDescent="0.45">
      <c r="A92">
        <f t="shared" ca="1" si="11"/>
        <v>16</v>
      </c>
      <c r="B92">
        <v>0.3</v>
      </c>
      <c r="C92">
        <f t="shared" ca="1" si="12"/>
        <v>14.5</v>
      </c>
      <c r="D92">
        <v>35.119999999999997</v>
      </c>
      <c r="E92">
        <v>8939</v>
      </c>
      <c r="F92">
        <v>11.42</v>
      </c>
      <c r="G92">
        <v>10.59</v>
      </c>
      <c r="H92">
        <v>56</v>
      </c>
      <c r="I92">
        <v>12.69</v>
      </c>
      <c r="J92">
        <v>7.28</v>
      </c>
      <c r="K92">
        <f t="shared" si="13"/>
        <v>9.1694915254237272E-2</v>
      </c>
      <c r="M92">
        <v>59</v>
      </c>
      <c r="N92">
        <f t="shared" ca="1" si="14"/>
        <v>43.279210048483904</v>
      </c>
      <c r="O92">
        <f t="shared" ca="1" si="15"/>
        <v>20.102030490514384</v>
      </c>
      <c r="P92">
        <v>11.6666666666667</v>
      </c>
      <c r="Q92">
        <v>4.5</v>
      </c>
      <c r="R92">
        <f t="shared" ca="1" si="16"/>
        <v>20</v>
      </c>
      <c r="S92">
        <f t="shared" ca="1" si="17"/>
        <v>0.10203049051438506</v>
      </c>
      <c r="T92">
        <f t="shared" ca="1" si="18"/>
        <v>20.102030490514384</v>
      </c>
      <c r="U92">
        <f t="shared" ca="1" si="19"/>
        <v>43.279210048483904</v>
      </c>
    </row>
    <row r="93" spans="1:21" x14ac:dyDescent="0.45">
      <c r="A93">
        <f t="shared" ca="1" si="11"/>
        <v>16</v>
      </c>
      <c r="B93">
        <v>0.3</v>
      </c>
      <c r="C93">
        <f t="shared" ca="1" si="12"/>
        <v>14.8</v>
      </c>
      <c r="D93">
        <v>33.61</v>
      </c>
      <c r="E93">
        <v>8654</v>
      </c>
      <c r="F93">
        <v>12.64</v>
      </c>
      <c r="G93">
        <v>13.18</v>
      </c>
      <c r="H93">
        <v>53</v>
      </c>
      <c r="I93">
        <v>12.48</v>
      </c>
      <c r="J93">
        <v>7.2</v>
      </c>
      <c r="K93">
        <f t="shared" si="13"/>
        <v>0.2112</v>
      </c>
      <c r="M93">
        <v>25</v>
      </c>
      <c r="N93">
        <f t="shared" ca="1" si="14"/>
        <v>43.068816976322765</v>
      </c>
      <c r="O93">
        <f t="shared" ca="1" si="15"/>
        <v>20.618165585745743</v>
      </c>
      <c r="P93">
        <v>20.080851063829801</v>
      </c>
      <c r="Q93">
        <v>4.5</v>
      </c>
      <c r="R93">
        <f t="shared" ca="1" si="16"/>
        <v>20</v>
      </c>
      <c r="S93">
        <f t="shared" ca="1" si="17"/>
        <v>0.61816558574574287</v>
      </c>
      <c r="T93">
        <f t="shared" ca="1" si="18"/>
        <v>20.618165585745743</v>
      </c>
      <c r="U93">
        <f t="shared" ca="1" si="19"/>
        <v>43.068816976322765</v>
      </c>
    </row>
    <row r="94" spans="1:21" x14ac:dyDescent="0.45">
      <c r="A94">
        <f t="shared" ca="1" si="11"/>
        <v>19</v>
      </c>
      <c r="B94">
        <v>0.31</v>
      </c>
      <c r="C94">
        <f t="shared" ca="1" si="12"/>
        <v>15.4</v>
      </c>
      <c r="D94">
        <v>34.049999999999997</v>
      </c>
      <c r="E94">
        <v>6399</v>
      </c>
      <c r="F94">
        <v>10.96</v>
      </c>
      <c r="G94">
        <v>10.71</v>
      </c>
      <c r="H94">
        <v>62.5</v>
      </c>
      <c r="I94">
        <v>12.86</v>
      </c>
      <c r="J94">
        <v>7.37</v>
      </c>
      <c r="K94">
        <f t="shared" ca="1" si="13"/>
        <v>0.23173517315193498</v>
      </c>
      <c r="M94">
        <f t="shared" ref="M94:M121" ca="1" si="20">N94-A94-Q94</f>
        <v>23.690836075197495</v>
      </c>
      <c r="N94">
        <f t="shared" ca="1" si="14"/>
        <v>47.190836075197495</v>
      </c>
      <c r="O94">
        <f t="shared" ca="1" si="15"/>
        <v>19.580072676136265</v>
      </c>
      <c r="P94">
        <v>8.1660000000000004</v>
      </c>
      <c r="Q94">
        <v>4.5</v>
      </c>
      <c r="R94">
        <f t="shared" ca="1" si="16"/>
        <v>19.100000000000001</v>
      </c>
      <c r="S94">
        <f t="shared" ca="1" si="17"/>
        <v>0.48007267613626436</v>
      </c>
      <c r="T94">
        <f t="shared" ca="1" si="18"/>
        <v>19.580072676136265</v>
      </c>
      <c r="U94">
        <f t="shared" ca="1" si="19"/>
        <v>47.190836075197495</v>
      </c>
    </row>
    <row r="95" spans="1:21" x14ac:dyDescent="0.45">
      <c r="A95">
        <f t="shared" ca="1" si="11"/>
        <v>19</v>
      </c>
      <c r="B95">
        <v>0.31</v>
      </c>
      <c r="C95">
        <f t="shared" ca="1" si="12"/>
        <v>16.5</v>
      </c>
      <c r="D95">
        <v>43.25</v>
      </c>
      <c r="E95">
        <v>6521</v>
      </c>
      <c r="F95">
        <v>14.93</v>
      </c>
      <c r="G95">
        <v>14.15</v>
      </c>
      <c r="H95">
        <v>60.1</v>
      </c>
      <c r="I95">
        <v>11.24</v>
      </c>
      <c r="J95">
        <v>7.43</v>
      </c>
      <c r="K95">
        <f t="shared" ca="1" si="13"/>
        <v>0.14869584141450709</v>
      </c>
      <c r="M95">
        <f t="shared" ca="1" si="20"/>
        <v>25.622774408190601</v>
      </c>
      <c r="N95">
        <f t="shared" ca="1" si="14"/>
        <v>49.122774408190601</v>
      </c>
      <c r="O95">
        <f t="shared" ca="1" si="15"/>
        <v>20.15358480719139</v>
      </c>
      <c r="P95">
        <v>10.2418604651163</v>
      </c>
      <c r="Q95">
        <v>4.5</v>
      </c>
      <c r="R95">
        <f t="shared" ca="1" si="16"/>
        <v>19.5</v>
      </c>
      <c r="S95">
        <f t="shared" ca="1" si="17"/>
        <v>0.65358480719138501</v>
      </c>
      <c r="T95">
        <f t="shared" ca="1" si="18"/>
        <v>20.153584807191386</v>
      </c>
      <c r="U95">
        <f t="shared" ca="1" si="19"/>
        <v>49.122774408190601</v>
      </c>
    </row>
    <row r="96" spans="1:21" x14ac:dyDescent="0.45">
      <c r="A96">
        <f t="shared" ca="1" si="11"/>
        <v>16</v>
      </c>
      <c r="B96">
        <v>0.31</v>
      </c>
      <c r="C96">
        <f t="shared" ca="1" si="12"/>
        <v>15.3</v>
      </c>
      <c r="D96">
        <v>46.33</v>
      </c>
      <c r="E96">
        <v>6520</v>
      </c>
      <c r="F96">
        <v>6.93</v>
      </c>
      <c r="G96">
        <v>0.15</v>
      </c>
      <c r="H96">
        <v>60.22</v>
      </c>
      <c r="I96">
        <v>12.7</v>
      </c>
      <c r="J96">
        <v>7.32</v>
      </c>
      <c r="K96">
        <f t="shared" ca="1" si="13"/>
        <v>0.20899192127038943</v>
      </c>
      <c r="M96">
        <f t="shared" ca="1" si="20"/>
        <v>25.742621854935081</v>
      </c>
      <c r="N96">
        <f t="shared" ca="1" si="14"/>
        <v>46.242621854935081</v>
      </c>
      <c r="O96">
        <f t="shared" ca="1" si="15"/>
        <v>19.851815558378199</v>
      </c>
      <c r="P96">
        <v>10.6421052631579</v>
      </c>
      <c r="Q96">
        <v>4.5</v>
      </c>
      <c r="R96">
        <f t="shared" ca="1" si="16"/>
        <v>19.5</v>
      </c>
      <c r="S96">
        <f t="shared" ca="1" si="17"/>
        <v>0.35181555837819956</v>
      </c>
      <c r="T96">
        <f t="shared" ca="1" si="18"/>
        <v>19.851815558378199</v>
      </c>
      <c r="U96">
        <f t="shared" ca="1" si="19"/>
        <v>46.242621854935081</v>
      </c>
    </row>
    <row r="97" spans="1:21" x14ac:dyDescent="0.45">
      <c r="A97">
        <f t="shared" ca="1" si="11"/>
        <v>20</v>
      </c>
      <c r="B97">
        <v>0.31</v>
      </c>
      <c r="C97">
        <f t="shared" ca="1" si="12"/>
        <v>15.5</v>
      </c>
      <c r="D97">
        <v>41.31</v>
      </c>
      <c r="E97">
        <v>6232</v>
      </c>
      <c r="F97">
        <v>13.29</v>
      </c>
      <c r="G97">
        <v>12.66</v>
      </c>
      <c r="H97">
        <v>59.3</v>
      </c>
      <c r="I97">
        <v>10.130000000000001</v>
      </c>
      <c r="J97">
        <v>7.42</v>
      </c>
      <c r="K97">
        <f t="shared" ca="1" si="13"/>
        <v>0.1259813016653758</v>
      </c>
      <c r="M97">
        <f t="shared" ca="1" si="20"/>
        <v>21.511128748281592</v>
      </c>
      <c r="N97">
        <f t="shared" ca="1" si="14"/>
        <v>46.011128748281592</v>
      </c>
      <c r="O97">
        <f t="shared" ca="1" si="15"/>
        <v>20.21250130784356</v>
      </c>
      <c r="P97">
        <v>10.6973684210526</v>
      </c>
      <c r="Q97">
        <v>4.5</v>
      </c>
      <c r="R97">
        <f t="shared" ca="1" si="16"/>
        <v>19.899999999999999</v>
      </c>
      <c r="S97">
        <f t="shared" ca="1" si="17"/>
        <v>0.31250130784355801</v>
      </c>
      <c r="T97">
        <f t="shared" ca="1" si="18"/>
        <v>20.212501307843556</v>
      </c>
      <c r="U97">
        <f t="shared" ca="1" si="19"/>
        <v>46.011128748281592</v>
      </c>
    </row>
    <row r="98" spans="1:21" s="2" customFormat="1" x14ac:dyDescent="0.45">
      <c r="A98" s="2">
        <f t="shared" ca="1" si="11"/>
        <v>19</v>
      </c>
      <c r="B98" s="2">
        <v>0.31</v>
      </c>
      <c r="C98" s="2">
        <f t="shared" ca="1" si="12"/>
        <v>14.6</v>
      </c>
      <c r="D98" s="2">
        <v>41.32</v>
      </c>
      <c r="E98" s="2">
        <v>6359</v>
      </c>
      <c r="F98" s="2">
        <v>10.42</v>
      </c>
      <c r="G98" s="2">
        <v>9.8000000000000007</v>
      </c>
      <c r="H98" s="2">
        <v>59.6</v>
      </c>
      <c r="I98" s="2">
        <v>12.41</v>
      </c>
      <c r="J98" s="2">
        <v>7.25</v>
      </c>
      <c r="K98" s="2">
        <f t="shared" ca="1" si="13"/>
        <v>0.24637084975512522</v>
      </c>
      <c r="M98" s="2">
        <f t="shared" ca="1" si="20"/>
        <v>20.944036216657395</v>
      </c>
      <c r="N98" s="2">
        <f t="shared" ca="1" si="14"/>
        <v>44.444036216657395</v>
      </c>
      <c r="O98" s="2">
        <f t="shared" ca="1" si="15"/>
        <v>19.710181040480741</v>
      </c>
      <c r="P98" s="2">
        <v>11.139130434782601</v>
      </c>
      <c r="Q98" s="2">
        <v>4.5</v>
      </c>
      <c r="R98" s="2">
        <f t="shared" ca="1" si="16"/>
        <v>19.399999999999999</v>
      </c>
      <c r="S98" s="2">
        <f t="shared" ca="1" si="17"/>
        <v>0.31018104048074058</v>
      </c>
      <c r="T98" s="2">
        <f t="shared" ca="1" si="18"/>
        <v>19.710181040480741</v>
      </c>
      <c r="U98" s="2">
        <f t="shared" ca="1" si="19"/>
        <v>44.444036216657395</v>
      </c>
    </row>
    <row r="99" spans="1:21" x14ac:dyDescent="0.45">
      <c r="A99">
        <f t="shared" ca="1" si="11"/>
        <v>16</v>
      </c>
      <c r="B99">
        <v>0.31</v>
      </c>
      <c r="C99">
        <f t="shared" ca="1" si="12"/>
        <v>15.9</v>
      </c>
      <c r="D99">
        <v>36.14</v>
      </c>
      <c r="E99">
        <v>6821</v>
      </c>
      <c r="F99">
        <v>15</v>
      </c>
      <c r="G99">
        <v>14.32</v>
      </c>
      <c r="H99">
        <v>60.23</v>
      </c>
      <c r="I99">
        <v>11.5</v>
      </c>
      <c r="J99">
        <v>7.34</v>
      </c>
      <c r="K99">
        <f t="shared" ca="1" si="13"/>
        <v>0.14156186393031828</v>
      </c>
      <c r="M99">
        <f t="shared" ca="1" si="20"/>
        <v>29.386445505179971</v>
      </c>
      <c r="N99">
        <f t="shared" ca="1" si="14"/>
        <v>49.886445505179971</v>
      </c>
      <c r="O99">
        <f t="shared" ca="1" si="15"/>
        <v>19.123431030999015</v>
      </c>
      <c r="P99">
        <v>15.67</v>
      </c>
      <c r="Q99">
        <v>4.5</v>
      </c>
      <c r="R99">
        <f t="shared" ca="1" si="16"/>
        <v>19.100000000000001</v>
      </c>
      <c r="S99">
        <f t="shared" ca="1" si="17"/>
        <v>2.3431030999012892E-2</v>
      </c>
      <c r="T99">
        <f t="shared" ca="1" si="18"/>
        <v>19.123431030999015</v>
      </c>
      <c r="U99">
        <f t="shared" ca="1" si="19"/>
        <v>49.886445505179971</v>
      </c>
    </row>
    <row r="100" spans="1:21" x14ac:dyDescent="0.45">
      <c r="A100">
        <f t="shared" ca="1" si="11"/>
        <v>22</v>
      </c>
      <c r="B100">
        <v>0.31</v>
      </c>
      <c r="C100">
        <f t="shared" ca="1" si="12"/>
        <v>16.2</v>
      </c>
      <c r="D100">
        <v>48.14</v>
      </c>
      <c r="E100">
        <v>6428</v>
      </c>
      <c r="F100">
        <v>9.59</v>
      </c>
      <c r="G100">
        <v>7.49</v>
      </c>
      <c r="H100">
        <v>62.8</v>
      </c>
      <c r="I100">
        <v>12.14</v>
      </c>
      <c r="J100">
        <v>7.15</v>
      </c>
      <c r="K100">
        <f t="shared" ca="1" si="13"/>
        <v>0.21935474685070205</v>
      </c>
      <c r="M100">
        <f t="shared" ca="1" si="20"/>
        <v>22.748538938144385</v>
      </c>
      <c r="N100">
        <f t="shared" ca="1" si="14"/>
        <v>49.248538938144385</v>
      </c>
      <c r="O100">
        <f t="shared" ca="1" si="15"/>
        <v>19.736626120438235</v>
      </c>
      <c r="P100">
        <v>9.7734939759036106</v>
      </c>
      <c r="Q100">
        <v>4.5</v>
      </c>
      <c r="R100">
        <f t="shared" ca="1" si="16"/>
        <v>19.3</v>
      </c>
      <c r="S100">
        <f t="shared" ca="1" si="17"/>
        <v>0.43662612043823401</v>
      </c>
      <c r="T100">
        <f t="shared" ca="1" si="18"/>
        <v>19.736626120438235</v>
      </c>
      <c r="U100">
        <f t="shared" ca="1" si="19"/>
        <v>49.248538938144385</v>
      </c>
    </row>
    <row r="101" spans="1:21" x14ac:dyDescent="0.45">
      <c r="A101">
        <f t="shared" ca="1" si="11"/>
        <v>22</v>
      </c>
      <c r="B101">
        <v>0.31</v>
      </c>
      <c r="C101">
        <f t="shared" ca="1" si="12"/>
        <v>14.7</v>
      </c>
      <c r="D101">
        <v>33.78</v>
      </c>
      <c r="E101">
        <v>6248</v>
      </c>
      <c r="F101">
        <v>7.98</v>
      </c>
      <c r="G101">
        <v>8.1199999999999992</v>
      </c>
      <c r="H101">
        <v>60.84</v>
      </c>
      <c r="I101">
        <v>12.85</v>
      </c>
      <c r="J101">
        <v>7.13</v>
      </c>
      <c r="K101">
        <f t="shared" ca="1" si="13"/>
        <v>0.3068247331478865</v>
      </c>
      <c r="M101">
        <f t="shared" ca="1" si="20"/>
        <v>18.642564897931535</v>
      </c>
      <c r="N101">
        <f t="shared" ca="1" si="14"/>
        <v>45.142564897931535</v>
      </c>
      <c r="O101">
        <f t="shared" ca="1" si="15"/>
        <v>19.538101168912839</v>
      </c>
      <c r="P101">
        <v>16.2268656716418</v>
      </c>
      <c r="Q101">
        <v>4.5</v>
      </c>
      <c r="R101">
        <f t="shared" ca="1" si="16"/>
        <v>19.100000000000001</v>
      </c>
      <c r="S101">
        <f t="shared" ca="1" si="17"/>
        <v>0.43810116891283979</v>
      </c>
      <c r="T101">
        <f t="shared" ca="1" si="18"/>
        <v>19.538101168912842</v>
      </c>
      <c r="U101">
        <f t="shared" ca="1" si="19"/>
        <v>45.142564897931535</v>
      </c>
    </row>
    <row r="102" spans="1:21" x14ac:dyDescent="0.45">
      <c r="A102">
        <f t="shared" ca="1" si="11"/>
        <v>18</v>
      </c>
      <c r="B102">
        <v>0.31</v>
      </c>
      <c r="C102">
        <f t="shared" ca="1" si="12"/>
        <v>15.9</v>
      </c>
      <c r="D102">
        <v>33.909999999999997</v>
      </c>
      <c r="E102">
        <v>6842</v>
      </c>
      <c r="F102">
        <v>11.08</v>
      </c>
      <c r="G102">
        <v>5.27</v>
      </c>
      <c r="H102">
        <v>54.6</v>
      </c>
      <c r="I102">
        <v>12.96</v>
      </c>
      <c r="J102">
        <v>7.39</v>
      </c>
      <c r="K102">
        <f t="shared" ca="1" si="13"/>
        <v>0.23592648109436648</v>
      </c>
      <c r="M102">
        <f t="shared" ca="1" si="20"/>
        <v>23.60904962496388</v>
      </c>
      <c r="N102">
        <f t="shared" ca="1" si="14"/>
        <v>46.10904962496388</v>
      </c>
      <c r="O102">
        <f t="shared" ca="1" si="15"/>
        <v>20.690081616505395</v>
      </c>
      <c r="P102">
        <v>17.366666666666699</v>
      </c>
      <c r="Q102">
        <v>4.5</v>
      </c>
      <c r="R102">
        <f t="shared" ca="1" si="16"/>
        <v>19.899999999999999</v>
      </c>
      <c r="S102">
        <f t="shared" ca="1" si="17"/>
        <v>0.79008161650539155</v>
      </c>
      <c r="T102">
        <f t="shared" ca="1" si="18"/>
        <v>20.690081616505392</v>
      </c>
      <c r="U102">
        <f t="shared" ca="1" si="19"/>
        <v>46.10904962496388</v>
      </c>
    </row>
    <row r="103" spans="1:21" x14ac:dyDescent="0.45">
      <c r="A103">
        <f t="shared" ca="1" si="11"/>
        <v>16</v>
      </c>
      <c r="B103">
        <v>0.31</v>
      </c>
      <c r="C103">
        <f t="shared" ca="1" si="12"/>
        <v>14.9</v>
      </c>
      <c r="D103">
        <v>36.869999999999997</v>
      </c>
      <c r="E103">
        <v>6542</v>
      </c>
      <c r="F103">
        <v>13.38</v>
      </c>
      <c r="G103">
        <v>14.88</v>
      </c>
      <c r="H103">
        <v>58.24</v>
      </c>
      <c r="I103">
        <v>12.69</v>
      </c>
      <c r="J103">
        <v>7</v>
      </c>
      <c r="K103">
        <f t="shared" ca="1" si="13"/>
        <v>0.23868247768809969</v>
      </c>
      <c r="M103">
        <f t="shared" ca="1" si="20"/>
        <v>23.839202840165981</v>
      </c>
      <c r="N103">
        <f t="shared" ca="1" si="14"/>
        <v>44.339202840165981</v>
      </c>
      <c r="O103">
        <f t="shared" ca="1" si="15"/>
        <v>20.162744089529358</v>
      </c>
      <c r="P103">
        <v>11.8571428571429</v>
      </c>
      <c r="Q103">
        <v>4.5</v>
      </c>
      <c r="R103">
        <f t="shared" ca="1" si="16"/>
        <v>19.5</v>
      </c>
      <c r="S103">
        <f t="shared" ca="1" si="17"/>
        <v>0.6627440895293597</v>
      </c>
      <c r="T103">
        <f t="shared" ca="1" si="18"/>
        <v>20.162744089529358</v>
      </c>
      <c r="U103">
        <f t="shared" ca="1" si="19"/>
        <v>44.339202840165981</v>
      </c>
    </row>
    <row r="104" spans="1:21" x14ac:dyDescent="0.45">
      <c r="A104">
        <f t="shared" ca="1" si="11"/>
        <v>18</v>
      </c>
      <c r="B104">
        <v>0.31</v>
      </c>
      <c r="C104">
        <f t="shared" ca="1" si="12"/>
        <v>15.4</v>
      </c>
      <c r="D104">
        <v>41.22</v>
      </c>
      <c r="E104">
        <v>6658</v>
      </c>
      <c r="F104">
        <v>13.57</v>
      </c>
      <c r="G104">
        <v>13.78</v>
      </c>
      <c r="H104">
        <v>53.6</v>
      </c>
      <c r="I104">
        <v>12.34</v>
      </c>
      <c r="J104">
        <v>7.32</v>
      </c>
      <c r="K104">
        <f t="shared" ca="1" si="13"/>
        <v>0.21500024078821414</v>
      </c>
      <c r="M104">
        <f t="shared" ca="1" si="20"/>
        <v>23.348811059913871</v>
      </c>
      <c r="N104">
        <f t="shared" ca="1" si="14"/>
        <v>45.848811059913871</v>
      </c>
      <c r="O104">
        <f t="shared" ca="1" si="15"/>
        <v>20.153194349850079</v>
      </c>
      <c r="P104">
        <v>13.549253731343301</v>
      </c>
      <c r="Q104">
        <v>4.5</v>
      </c>
      <c r="R104">
        <f t="shared" ca="1" si="16"/>
        <v>19.3</v>
      </c>
      <c r="S104">
        <f t="shared" ca="1" si="17"/>
        <v>0.85319434985007725</v>
      </c>
      <c r="T104">
        <f t="shared" ca="1" si="18"/>
        <v>20.153194349850079</v>
      </c>
      <c r="U104">
        <f t="shared" ca="1" si="19"/>
        <v>45.848811059913871</v>
      </c>
    </row>
    <row r="105" spans="1:21" x14ac:dyDescent="0.45">
      <c r="A105">
        <f t="shared" ca="1" si="11"/>
        <v>20</v>
      </c>
      <c r="B105">
        <v>0.31</v>
      </c>
      <c r="C105">
        <f t="shared" ca="1" si="12"/>
        <v>15</v>
      </c>
      <c r="D105">
        <v>38.549999999999997</v>
      </c>
      <c r="E105">
        <v>6626</v>
      </c>
      <c r="F105">
        <v>10.77</v>
      </c>
      <c r="G105">
        <v>9.49</v>
      </c>
      <c r="H105">
        <v>53</v>
      </c>
      <c r="I105">
        <v>12.23</v>
      </c>
      <c r="J105">
        <v>7.35</v>
      </c>
      <c r="K105">
        <f t="shared" ca="1" si="13"/>
        <v>0.25117964525609476</v>
      </c>
      <c r="M105">
        <f t="shared" ca="1" si="20"/>
        <v>19.428325870213364</v>
      </c>
      <c r="N105">
        <f t="shared" ca="1" si="14"/>
        <v>43.928325870213364</v>
      </c>
      <c r="O105">
        <f t="shared" ca="1" si="15"/>
        <v>20.48791940441933</v>
      </c>
      <c r="P105">
        <v>15.009523809523801</v>
      </c>
      <c r="Q105">
        <v>4.5</v>
      </c>
      <c r="R105">
        <f t="shared" ca="1" si="16"/>
        <v>19.899999999999999</v>
      </c>
      <c r="S105">
        <f t="shared" ca="1" si="17"/>
        <v>0.58791940441932977</v>
      </c>
      <c r="T105">
        <f t="shared" ca="1" si="18"/>
        <v>20.48791940441933</v>
      </c>
      <c r="U105">
        <f t="shared" ca="1" si="19"/>
        <v>43.928325870213364</v>
      </c>
    </row>
    <row r="106" spans="1:21" x14ac:dyDescent="0.45">
      <c r="A106">
        <f t="shared" ca="1" si="11"/>
        <v>22</v>
      </c>
      <c r="B106">
        <v>0.31</v>
      </c>
      <c r="C106">
        <f t="shared" ca="1" si="12"/>
        <v>16</v>
      </c>
      <c r="D106">
        <v>39.76</v>
      </c>
      <c r="E106">
        <v>6579</v>
      </c>
      <c r="F106">
        <v>11.91</v>
      </c>
      <c r="G106">
        <v>11.7</v>
      </c>
      <c r="H106">
        <v>53.8</v>
      </c>
      <c r="I106">
        <v>12.01</v>
      </c>
      <c r="J106">
        <v>7.14</v>
      </c>
      <c r="K106">
        <f t="shared" ca="1" si="13"/>
        <v>0.21164481142734057</v>
      </c>
      <c r="M106">
        <f t="shared" ca="1" si="20"/>
        <v>23.010249895362598</v>
      </c>
      <c r="N106">
        <f t="shared" ca="1" si="14"/>
        <v>49.510249895362598</v>
      </c>
      <c r="O106">
        <f t="shared" ca="1" si="15"/>
        <v>19.389924349582387</v>
      </c>
      <c r="P106">
        <v>12.4342105263158</v>
      </c>
      <c r="Q106">
        <v>4.5</v>
      </c>
      <c r="R106">
        <f t="shared" ca="1" si="16"/>
        <v>19.3</v>
      </c>
      <c r="S106">
        <f t="shared" ca="1" si="17"/>
        <v>8.992434958238682E-2</v>
      </c>
      <c r="T106">
        <f t="shared" ca="1" si="18"/>
        <v>19.389924349582387</v>
      </c>
      <c r="U106">
        <f t="shared" ca="1" si="19"/>
        <v>49.510249895362598</v>
      </c>
    </row>
    <row r="107" spans="1:21" x14ac:dyDescent="0.45">
      <c r="A107">
        <f t="shared" ca="1" si="11"/>
        <v>21</v>
      </c>
      <c r="B107">
        <v>0.31</v>
      </c>
      <c r="C107">
        <f t="shared" ca="1" si="12"/>
        <v>16.5</v>
      </c>
      <c r="D107">
        <v>39.4</v>
      </c>
      <c r="E107">
        <v>6159</v>
      </c>
      <c r="F107">
        <v>8.67</v>
      </c>
      <c r="G107">
        <v>6.79</v>
      </c>
      <c r="H107">
        <v>59.4</v>
      </c>
      <c r="I107">
        <v>11.97</v>
      </c>
      <c r="J107">
        <v>7.1</v>
      </c>
      <c r="K107">
        <f t="shared" ca="1" si="13"/>
        <v>0.20210344051723253</v>
      </c>
      <c r="M107">
        <f t="shared" ca="1" si="20"/>
        <v>24.09657147615335</v>
      </c>
      <c r="N107">
        <f t="shared" ca="1" si="14"/>
        <v>49.59657147615335</v>
      </c>
      <c r="O107">
        <f t="shared" ca="1" si="15"/>
        <v>19.96105719678636</v>
      </c>
      <c r="P107">
        <v>11.0720930232558</v>
      </c>
      <c r="Q107">
        <v>4.5</v>
      </c>
      <c r="R107">
        <f t="shared" ca="1" si="16"/>
        <v>19.8</v>
      </c>
      <c r="S107">
        <f t="shared" ca="1" si="17"/>
        <v>0.16105719678636043</v>
      </c>
      <c r="T107">
        <f t="shared" ca="1" si="18"/>
        <v>19.96105719678636</v>
      </c>
      <c r="U107">
        <f t="shared" ca="1" si="19"/>
        <v>49.59657147615335</v>
      </c>
    </row>
    <row r="108" spans="1:21" x14ac:dyDescent="0.45">
      <c r="A108">
        <f t="shared" ca="1" si="11"/>
        <v>21</v>
      </c>
      <c r="B108">
        <v>0.31</v>
      </c>
      <c r="C108">
        <f t="shared" ca="1" si="12"/>
        <v>15.6</v>
      </c>
      <c r="D108">
        <v>39.909999999999997</v>
      </c>
      <c r="E108">
        <v>6642</v>
      </c>
      <c r="F108">
        <v>11.45</v>
      </c>
      <c r="G108">
        <v>11.67</v>
      </c>
      <c r="H108">
        <v>54.9</v>
      </c>
      <c r="I108">
        <v>12.2</v>
      </c>
      <c r="J108">
        <v>7.21</v>
      </c>
      <c r="K108">
        <f t="shared" ca="1" si="13"/>
        <v>0.24850681442349806</v>
      </c>
      <c r="M108">
        <f t="shared" ca="1" si="20"/>
        <v>20.079932260916543</v>
      </c>
      <c r="N108">
        <f t="shared" ca="1" si="14"/>
        <v>45.579932260916543</v>
      </c>
      <c r="O108">
        <f t="shared" ca="1" si="15"/>
        <v>20.535353028652754</v>
      </c>
      <c r="P108">
        <v>11.271428571428601</v>
      </c>
      <c r="Q108">
        <v>4.5</v>
      </c>
      <c r="R108">
        <f t="shared" ca="1" si="16"/>
        <v>20</v>
      </c>
      <c r="S108">
        <f t="shared" ca="1" si="17"/>
        <v>0.53535302865275847</v>
      </c>
      <c r="T108">
        <f t="shared" ca="1" si="18"/>
        <v>20.535353028652757</v>
      </c>
      <c r="U108">
        <f t="shared" ca="1" si="19"/>
        <v>45.579932260916543</v>
      </c>
    </row>
    <row r="109" spans="1:21" x14ac:dyDescent="0.45">
      <c r="A109">
        <f t="shared" ca="1" si="11"/>
        <v>21</v>
      </c>
      <c r="B109">
        <v>0.31</v>
      </c>
      <c r="C109">
        <f t="shared" ca="1" si="12"/>
        <v>14.9</v>
      </c>
      <c r="D109">
        <v>36.53</v>
      </c>
      <c r="E109">
        <v>6412</v>
      </c>
      <c r="F109">
        <v>8.09</v>
      </c>
      <c r="G109">
        <v>12.84</v>
      </c>
      <c r="H109">
        <v>60</v>
      </c>
      <c r="I109">
        <v>12.54</v>
      </c>
      <c r="J109">
        <v>7</v>
      </c>
      <c r="K109">
        <f t="shared" ca="1" si="13"/>
        <v>0.28632276186496053</v>
      </c>
      <c r="M109">
        <f t="shared" ca="1" si="20"/>
        <v>19.348793522091164</v>
      </c>
      <c r="N109">
        <f t="shared" ca="1" si="14"/>
        <v>44.848793522091164</v>
      </c>
      <c r="O109">
        <f t="shared" ca="1" si="15"/>
        <v>19.933646588723565</v>
      </c>
      <c r="P109">
        <v>13.116666666666699</v>
      </c>
      <c r="Q109">
        <v>4.5</v>
      </c>
      <c r="R109">
        <f t="shared" ca="1" si="16"/>
        <v>19.2</v>
      </c>
      <c r="S109">
        <f t="shared" ca="1" si="17"/>
        <v>0.73364658872356625</v>
      </c>
      <c r="T109">
        <f t="shared" ca="1" si="18"/>
        <v>19.933646588723565</v>
      </c>
      <c r="U109">
        <f t="shared" ca="1" si="19"/>
        <v>44.848793522091164</v>
      </c>
    </row>
    <row r="110" spans="1:21" x14ac:dyDescent="0.45">
      <c r="A110">
        <f t="shared" ca="1" si="11"/>
        <v>21</v>
      </c>
      <c r="B110">
        <v>0.31</v>
      </c>
      <c r="C110">
        <f t="shared" ca="1" si="12"/>
        <v>16</v>
      </c>
      <c r="D110">
        <v>39.270000000000003</v>
      </c>
      <c r="E110">
        <v>6588</v>
      </c>
      <c r="F110">
        <v>11.05</v>
      </c>
      <c r="G110">
        <v>13.53</v>
      </c>
      <c r="H110">
        <v>51</v>
      </c>
      <c r="I110">
        <v>12.87</v>
      </c>
      <c r="J110">
        <v>7.2</v>
      </c>
      <c r="K110">
        <f t="shared" ca="1" si="13"/>
        <v>0.26950794318972615</v>
      </c>
      <c r="M110">
        <f t="shared" ca="1" si="20"/>
        <v>21.038340959058395</v>
      </c>
      <c r="N110">
        <f t="shared" ca="1" si="14"/>
        <v>46.538340959058395</v>
      </c>
      <c r="O110">
        <f t="shared" ca="1" si="15"/>
        <v>20.62815262032116</v>
      </c>
      <c r="P110">
        <v>15.4548387096774</v>
      </c>
      <c r="Q110">
        <v>4.5</v>
      </c>
      <c r="R110">
        <f t="shared" ca="1" si="16"/>
        <v>20</v>
      </c>
      <c r="S110">
        <f t="shared" ca="1" si="17"/>
        <v>0.6281526203211607</v>
      </c>
      <c r="T110">
        <f t="shared" ca="1" si="18"/>
        <v>20.62815262032116</v>
      </c>
      <c r="U110">
        <f t="shared" ca="1" si="19"/>
        <v>46.538340959058395</v>
      </c>
    </row>
    <row r="111" spans="1:21" x14ac:dyDescent="0.45">
      <c r="A111">
        <f t="shared" ca="1" si="11"/>
        <v>19</v>
      </c>
      <c r="B111">
        <v>0.31</v>
      </c>
      <c r="C111">
        <f t="shared" ca="1" si="12"/>
        <v>16.5</v>
      </c>
      <c r="D111">
        <v>39.93</v>
      </c>
      <c r="E111">
        <v>6355</v>
      </c>
      <c r="F111">
        <v>8.9700000000000006</v>
      </c>
      <c r="G111">
        <v>10.98</v>
      </c>
      <c r="H111">
        <v>56</v>
      </c>
      <c r="I111">
        <v>12.86</v>
      </c>
      <c r="J111">
        <v>7.11</v>
      </c>
      <c r="K111">
        <f t="shared" ca="1" si="13"/>
        <v>0.21342371538970092</v>
      </c>
      <c r="M111">
        <f t="shared" ca="1" si="20"/>
        <v>26.941710716172238</v>
      </c>
      <c r="N111">
        <f t="shared" ca="1" si="14"/>
        <v>50.441710716172238</v>
      </c>
      <c r="O111">
        <f t="shared" ca="1" si="15"/>
        <v>19.626614282980569</v>
      </c>
      <c r="P111">
        <v>11.9175</v>
      </c>
      <c r="Q111">
        <v>4.5</v>
      </c>
      <c r="R111">
        <f t="shared" ca="1" si="16"/>
        <v>19</v>
      </c>
      <c r="S111">
        <f t="shared" ca="1" si="17"/>
        <v>0.62661428298056754</v>
      </c>
      <c r="T111">
        <f t="shared" ca="1" si="18"/>
        <v>19.626614282980569</v>
      </c>
      <c r="U111">
        <f t="shared" ca="1" si="19"/>
        <v>50.441710716172238</v>
      </c>
    </row>
    <row r="112" spans="1:21" x14ac:dyDescent="0.45">
      <c r="A112">
        <f t="shared" ca="1" si="11"/>
        <v>17</v>
      </c>
      <c r="B112">
        <v>0.31</v>
      </c>
      <c r="C112">
        <f t="shared" ca="1" si="12"/>
        <v>15.6</v>
      </c>
      <c r="D112">
        <v>40.85</v>
      </c>
      <c r="E112">
        <v>6493</v>
      </c>
      <c r="F112">
        <v>11.97</v>
      </c>
      <c r="G112">
        <v>11.46</v>
      </c>
      <c r="H112">
        <v>52.9</v>
      </c>
      <c r="I112">
        <v>12.79</v>
      </c>
      <c r="J112">
        <v>7.11</v>
      </c>
      <c r="K112">
        <f t="shared" ca="1" si="13"/>
        <v>0.21028723461763224</v>
      </c>
      <c r="M112">
        <f t="shared" ca="1" si="20"/>
        <v>27.010674282383377</v>
      </c>
      <c r="N112">
        <f t="shared" ca="1" si="14"/>
        <v>48.510674282383377</v>
      </c>
      <c r="O112">
        <f t="shared" ca="1" si="15"/>
        <v>19.294722529550736</v>
      </c>
      <c r="P112">
        <v>12.257142857142901</v>
      </c>
      <c r="Q112">
        <v>4.5</v>
      </c>
      <c r="R112">
        <f t="shared" ca="1" si="16"/>
        <v>19.2</v>
      </c>
      <c r="S112">
        <f t="shared" ca="1" si="17"/>
        <v>9.4722529550736123E-2</v>
      </c>
      <c r="T112">
        <f t="shared" ca="1" si="18"/>
        <v>19.294722529550736</v>
      </c>
      <c r="U112">
        <f t="shared" ca="1" si="19"/>
        <v>48.510674282383377</v>
      </c>
    </row>
    <row r="113" spans="1:21" x14ac:dyDescent="0.45">
      <c r="A113">
        <f t="shared" ca="1" si="11"/>
        <v>18</v>
      </c>
      <c r="B113">
        <v>0.31</v>
      </c>
      <c r="C113">
        <f t="shared" ca="1" si="12"/>
        <v>15.3</v>
      </c>
      <c r="D113">
        <v>41.19</v>
      </c>
      <c r="E113">
        <v>6652</v>
      </c>
      <c r="F113">
        <v>12.23</v>
      </c>
      <c r="G113">
        <v>9.0500000000000007</v>
      </c>
      <c r="H113">
        <v>60.25</v>
      </c>
      <c r="I113">
        <v>12.47</v>
      </c>
      <c r="J113">
        <v>7.1</v>
      </c>
      <c r="K113">
        <f t="shared" ca="1" si="13"/>
        <v>0.21244239996185327</v>
      </c>
      <c r="M113">
        <f t="shared" ca="1" si="20"/>
        <v>25.277439912956417</v>
      </c>
      <c r="N113">
        <f t="shared" ca="1" si="14"/>
        <v>47.777439912956417</v>
      </c>
      <c r="O113">
        <f t="shared" ca="1" si="15"/>
        <v>19.214089362520539</v>
      </c>
      <c r="P113">
        <v>10.967441860465099</v>
      </c>
      <c r="Q113">
        <v>4.5</v>
      </c>
      <c r="R113">
        <f t="shared" ca="1" si="16"/>
        <v>19</v>
      </c>
      <c r="S113">
        <f t="shared" ca="1" si="17"/>
        <v>0.21408936252053634</v>
      </c>
      <c r="T113">
        <f t="shared" ca="1" si="18"/>
        <v>19.214089362520536</v>
      </c>
      <c r="U113">
        <f t="shared" ca="1" si="19"/>
        <v>47.777439912956417</v>
      </c>
    </row>
    <row r="114" spans="1:21" x14ac:dyDescent="0.45">
      <c r="A114">
        <f t="shared" ca="1" si="11"/>
        <v>16</v>
      </c>
      <c r="B114">
        <v>0.31</v>
      </c>
      <c r="C114">
        <f t="shared" ca="1" si="12"/>
        <v>14.6</v>
      </c>
      <c r="D114">
        <v>34.450000000000003</v>
      </c>
      <c r="E114">
        <v>4724</v>
      </c>
      <c r="F114">
        <v>11.51</v>
      </c>
      <c r="G114">
        <v>10.67</v>
      </c>
      <c r="H114">
        <v>50.6</v>
      </c>
      <c r="I114">
        <v>12.31</v>
      </c>
      <c r="J114">
        <v>7.16</v>
      </c>
      <c r="K114">
        <f t="shared" ca="1" si="13"/>
        <v>0.20549580352267921</v>
      </c>
      <c r="M114">
        <f t="shared" ca="1" si="20"/>
        <v>25.061339023556407</v>
      </c>
      <c r="N114">
        <f t="shared" ca="1" si="14"/>
        <v>45.561339023556407</v>
      </c>
      <c r="O114">
        <f t="shared" ca="1" si="15"/>
        <v>19.22682736666464</v>
      </c>
      <c r="P114">
        <v>7.5932773109243703</v>
      </c>
      <c r="Q114">
        <v>4.5</v>
      </c>
      <c r="R114">
        <f t="shared" ca="1" si="16"/>
        <v>19.2</v>
      </c>
      <c r="S114">
        <f t="shared" ca="1" si="17"/>
        <v>2.6827366664640029E-2</v>
      </c>
      <c r="T114">
        <f t="shared" ca="1" si="18"/>
        <v>19.22682736666464</v>
      </c>
      <c r="U114">
        <f t="shared" ca="1" si="19"/>
        <v>45.561339023556407</v>
      </c>
    </row>
    <row r="115" spans="1:21" x14ac:dyDescent="0.45">
      <c r="A115">
        <f t="shared" ca="1" si="11"/>
        <v>20</v>
      </c>
      <c r="B115">
        <v>0.31</v>
      </c>
      <c r="C115">
        <f t="shared" ca="1" si="12"/>
        <v>14.6</v>
      </c>
      <c r="D115">
        <v>33.19</v>
      </c>
      <c r="E115">
        <v>5322</v>
      </c>
      <c r="F115">
        <v>3.97</v>
      </c>
      <c r="G115">
        <v>7.41</v>
      </c>
      <c r="H115">
        <v>55.2</v>
      </c>
      <c r="I115">
        <v>12.38</v>
      </c>
      <c r="J115">
        <v>7.15</v>
      </c>
      <c r="K115">
        <f t="shared" ca="1" si="13"/>
        <v>0.28769842433396031</v>
      </c>
      <c r="M115">
        <f t="shared" ca="1" si="20"/>
        <v>18.178757885475996</v>
      </c>
      <c r="N115">
        <f t="shared" ca="1" si="14"/>
        <v>42.678757885475996</v>
      </c>
      <c r="O115">
        <f t="shared" ca="1" si="15"/>
        <v>20.525433339710936</v>
      </c>
      <c r="P115">
        <v>18.6875</v>
      </c>
      <c r="Q115">
        <v>4.5</v>
      </c>
      <c r="R115">
        <f t="shared" ca="1" si="16"/>
        <v>20</v>
      </c>
      <c r="S115">
        <f t="shared" ca="1" si="17"/>
        <v>0.52543333971093709</v>
      </c>
      <c r="T115">
        <f t="shared" ca="1" si="18"/>
        <v>20.525433339710936</v>
      </c>
      <c r="U115">
        <f t="shared" ca="1" si="19"/>
        <v>42.678757885475996</v>
      </c>
    </row>
    <row r="116" spans="1:21" x14ac:dyDescent="0.45">
      <c r="A116">
        <f t="shared" ca="1" si="11"/>
        <v>21</v>
      </c>
      <c r="B116">
        <v>0.31</v>
      </c>
      <c r="C116">
        <f t="shared" ca="1" si="12"/>
        <v>15.2</v>
      </c>
      <c r="D116">
        <v>35.92</v>
      </c>
      <c r="E116">
        <v>4873</v>
      </c>
      <c r="F116">
        <v>11.78</v>
      </c>
      <c r="G116">
        <v>9.64</v>
      </c>
      <c r="H116">
        <v>53</v>
      </c>
      <c r="I116">
        <v>12.69</v>
      </c>
      <c r="J116">
        <v>7.2</v>
      </c>
      <c r="K116">
        <f t="shared" ca="1" si="13"/>
        <v>0.26220267813755888</v>
      </c>
      <c r="M116">
        <f t="shared" ca="1" si="20"/>
        <v>20.938001240093328</v>
      </c>
      <c r="N116">
        <f t="shared" ca="1" si="14"/>
        <v>46.438001240093328</v>
      </c>
      <c r="O116">
        <f t="shared" ca="1" si="15"/>
        <v>19.63908815292859</v>
      </c>
      <c r="P116">
        <v>14.050746268656701</v>
      </c>
      <c r="Q116">
        <v>4.5</v>
      </c>
      <c r="R116">
        <f t="shared" ca="1" si="16"/>
        <v>19.399999999999999</v>
      </c>
      <c r="S116">
        <f t="shared" ca="1" si="17"/>
        <v>0.23908815292859154</v>
      </c>
      <c r="T116">
        <f t="shared" ca="1" si="18"/>
        <v>19.63908815292859</v>
      </c>
      <c r="U116">
        <f t="shared" ca="1" si="19"/>
        <v>46.438001240093328</v>
      </c>
    </row>
    <row r="117" spans="1:21" x14ac:dyDescent="0.45">
      <c r="A117">
        <f t="shared" ca="1" si="11"/>
        <v>17</v>
      </c>
      <c r="B117">
        <v>0.31</v>
      </c>
      <c r="C117">
        <f t="shared" ca="1" si="12"/>
        <v>16.3</v>
      </c>
      <c r="D117">
        <v>34.35</v>
      </c>
      <c r="E117">
        <v>4604</v>
      </c>
      <c r="F117">
        <v>6.45</v>
      </c>
      <c r="G117">
        <v>7.75</v>
      </c>
      <c r="H117">
        <v>52</v>
      </c>
      <c r="I117">
        <v>11.47</v>
      </c>
      <c r="J117">
        <v>7.23</v>
      </c>
      <c r="K117">
        <f t="shared" ca="1" si="13"/>
        <v>0.16243621601006969</v>
      </c>
      <c r="M117">
        <f t="shared" ca="1" si="20"/>
        <v>26.102553384629175</v>
      </c>
      <c r="N117">
        <f t="shared" ca="1" si="14"/>
        <v>47.602553384629175</v>
      </c>
      <c r="O117">
        <f t="shared" ca="1" si="15"/>
        <v>20.54511639528554</v>
      </c>
      <c r="P117">
        <v>15.84</v>
      </c>
      <c r="Q117">
        <v>4.5</v>
      </c>
      <c r="R117">
        <f t="shared" ca="1" si="16"/>
        <v>19.899999999999999</v>
      </c>
      <c r="S117">
        <f t="shared" ca="1" si="17"/>
        <v>0.64511639528553955</v>
      </c>
      <c r="T117">
        <f t="shared" ca="1" si="18"/>
        <v>20.54511639528554</v>
      </c>
      <c r="U117">
        <f t="shared" ca="1" si="19"/>
        <v>47.602553384629175</v>
      </c>
    </row>
    <row r="118" spans="1:21" x14ac:dyDescent="0.45">
      <c r="A118">
        <f t="shared" ca="1" si="11"/>
        <v>22</v>
      </c>
      <c r="B118">
        <v>0.31</v>
      </c>
      <c r="C118">
        <f t="shared" ca="1" si="12"/>
        <v>15.5</v>
      </c>
      <c r="D118">
        <v>34.79</v>
      </c>
      <c r="E118">
        <v>4568</v>
      </c>
      <c r="F118">
        <v>1.26</v>
      </c>
      <c r="G118">
        <v>7.86</v>
      </c>
      <c r="H118">
        <v>54</v>
      </c>
      <c r="I118">
        <v>11.97</v>
      </c>
      <c r="J118">
        <v>7.25</v>
      </c>
      <c r="K118">
        <f t="shared" ca="1" si="13"/>
        <v>0.24300377466190179</v>
      </c>
      <c r="M118">
        <f t="shared" ca="1" si="20"/>
        <v>19.423566595074803</v>
      </c>
      <c r="N118">
        <f t="shared" ca="1" si="14"/>
        <v>45.923566595074803</v>
      </c>
      <c r="O118">
        <f t="shared" ca="1" si="15"/>
        <v>20.251040347108848</v>
      </c>
      <c r="P118">
        <v>15.68</v>
      </c>
      <c r="Q118">
        <v>4.5</v>
      </c>
      <c r="R118">
        <f t="shared" ca="1" si="16"/>
        <v>19.7</v>
      </c>
      <c r="S118">
        <f t="shared" ca="1" si="17"/>
        <v>0.55104034710885008</v>
      </c>
      <c r="T118">
        <f t="shared" ca="1" si="18"/>
        <v>20.251040347108848</v>
      </c>
      <c r="U118">
        <f t="shared" ca="1" si="19"/>
        <v>45.923566595074803</v>
      </c>
    </row>
    <row r="119" spans="1:21" x14ac:dyDescent="0.45">
      <c r="A119">
        <f t="shared" ca="1" si="11"/>
        <v>19</v>
      </c>
      <c r="B119">
        <v>0.31</v>
      </c>
      <c r="C119">
        <f t="shared" ca="1" si="12"/>
        <v>15.6</v>
      </c>
      <c r="D119">
        <v>34.409999999999997</v>
      </c>
      <c r="E119">
        <v>5024</v>
      </c>
      <c r="F119">
        <v>7.94</v>
      </c>
      <c r="G119">
        <v>8.19</v>
      </c>
      <c r="H119">
        <v>54</v>
      </c>
      <c r="I119">
        <v>12.4</v>
      </c>
      <c r="J119">
        <v>7.36</v>
      </c>
      <c r="K119">
        <f t="shared" ca="1" si="13"/>
        <v>0.21541555553806366</v>
      </c>
      <c r="M119">
        <f t="shared" ca="1" si="20"/>
        <v>23.396639056130923</v>
      </c>
      <c r="N119">
        <f t="shared" ca="1" si="14"/>
        <v>46.896639056130923</v>
      </c>
      <c r="O119">
        <f t="shared" ca="1" si="15"/>
        <v>19.958786361634466</v>
      </c>
      <c r="P119">
        <v>12.2921052631579</v>
      </c>
      <c r="Q119">
        <v>4.5</v>
      </c>
      <c r="R119">
        <f t="shared" ca="1" si="16"/>
        <v>19.399999999999999</v>
      </c>
      <c r="S119">
        <f t="shared" ca="1" si="17"/>
        <v>0.55878636163446371</v>
      </c>
      <c r="T119">
        <f t="shared" ca="1" si="18"/>
        <v>19.958786361634463</v>
      </c>
      <c r="U119">
        <f t="shared" ca="1" si="19"/>
        <v>46.896639056130923</v>
      </c>
    </row>
    <row r="120" spans="1:21" x14ac:dyDescent="0.45">
      <c r="A120">
        <f t="shared" ca="1" si="11"/>
        <v>17</v>
      </c>
      <c r="B120">
        <v>0.31</v>
      </c>
      <c r="C120">
        <f t="shared" ca="1" si="12"/>
        <v>15.9</v>
      </c>
      <c r="D120">
        <v>32.549999999999997</v>
      </c>
      <c r="E120">
        <v>4652</v>
      </c>
      <c r="F120">
        <v>5.37</v>
      </c>
      <c r="G120">
        <v>9</v>
      </c>
      <c r="H120">
        <v>51</v>
      </c>
      <c r="I120">
        <v>11.47</v>
      </c>
      <c r="J120">
        <v>7.19</v>
      </c>
      <c r="K120">
        <f t="shared" ca="1" si="13"/>
        <v>0.17875602495120282</v>
      </c>
      <c r="M120">
        <f t="shared" ca="1" si="20"/>
        <v>23.943248912412116</v>
      </c>
      <c r="N120">
        <f t="shared" ca="1" si="14"/>
        <v>45.443248912412116</v>
      </c>
      <c r="O120">
        <f t="shared" ca="1" si="15"/>
        <v>20.99321731680654</v>
      </c>
      <c r="P120">
        <v>12.797260273972601</v>
      </c>
      <c r="Q120">
        <v>4.5</v>
      </c>
      <c r="R120">
        <f t="shared" ca="1" si="16"/>
        <v>20</v>
      </c>
      <c r="S120">
        <f t="shared" ca="1" si="17"/>
        <v>0.99321731680653802</v>
      </c>
      <c r="T120">
        <f t="shared" ca="1" si="18"/>
        <v>20.99321731680654</v>
      </c>
      <c r="U120">
        <f t="shared" ca="1" si="19"/>
        <v>45.443248912412116</v>
      </c>
    </row>
    <row r="121" spans="1:21" x14ac:dyDescent="0.45">
      <c r="A121">
        <f t="shared" ca="1" si="11"/>
        <v>17</v>
      </c>
      <c r="B121">
        <v>0.31</v>
      </c>
      <c r="C121">
        <f t="shared" ca="1" si="12"/>
        <v>14.5</v>
      </c>
      <c r="D121">
        <v>32.72</v>
      </c>
      <c r="E121">
        <v>4662</v>
      </c>
      <c r="F121">
        <v>6.07</v>
      </c>
      <c r="G121">
        <v>9.67</v>
      </c>
      <c r="H121">
        <v>52</v>
      </c>
      <c r="I121">
        <v>12.94</v>
      </c>
      <c r="J121">
        <v>7.24</v>
      </c>
      <c r="K121">
        <f t="shared" ca="1" si="13"/>
        <v>0.24973553773124171</v>
      </c>
      <c r="M121">
        <f t="shared" ca="1" si="20"/>
        <v>22.824144500147902</v>
      </c>
      <c r="N121">
        <f t="shared" ca="1" si="14"/>
        <v>44.324144500147902</v>
      </c>
      <c r="O121">
        <f t="shared" ca="1" si="15"/>
        <v>19.628128411978643</v>
      </c>
      <c r="P121">
        <v>11.271428571428601</v>
      </c>
      <c r="Q121">
        <v>4.5</v>
      </c>
      <c r="R121">
        <f t="shared" ca="1" si="16"/>
        <v>19.399999999999999</v>
      </c>
      <c r="S121">
        <f t="shared" ca="1" si="17"/>
        <v>0.22812841197864642</v>
      </c>
      <c r="T121">
        <f t="shared" ca="1" si="18"/>
        <v>19.628128411978643</v>
      </c>
      <c r="U121">
        <f t="shared" ca="1" si="19"/>
        <v>44.324144500147902</v>
      </c>
    </row>
    <row r="122" spans="1:21" x14ac:dyDescent="0.45">
      <c r="A122">
        <f t="shared" ca="1" si="11"/>
        <v>17</v>
      </c>
      <c r="B122">
        <v>0.31</v>
      </c>
      <c r="C122">
        <f t="shared" ca="1" si="12"/>
        <v>15</v>
      </c>
      <c r="D122">
        <v>30.98</v>
      </c>
      <c r="E122">
        <v>5357</v>
      </c>
      <c r="F122">
        <v>2.5299999999999998</v>
      </c>
      <c r="G122">
        <v>5.07</v>
      </c>
      <c r="H122">
        <v>53.4</v>
      </c>
      <c r="I122">
        <v>12.06</v>
      </c>
      <c r="J122">
        <v>7.11</v>
      </c>
      <c r="K122">
        <f t="shared" si="13"/>
        <v>6.1874999999999999E-2</v>
      </c>
      <c r="M122">
        <v>80</v>
      </c>
      <c r="N122">
        <f t="shared" ca="1" si="14"/>
        <v>44.573348453123387</v>
      </c>
      <c r="O122">
        <f t="shared" ca="1" si="15"/>
        <v>20.191437960881629</v>
      </c>
      <c r="P122">
        <v>9.84</v>
      </c>
      <c r="Q122">
        <v>4.5</v>
      </c>
      <c r="R122">
        <f t="shared" ca="1" si="16"/>
        <v>19.7</v>
      </c>
      <c r="S122">
        <f t="shared" ca="1" si="17"/>
        <v>0.49143796088162972</v>
      </c>
      <c r="T122">
        <f t="shared" ca="1" si="18"/>
        <v>20.191437960881629</v>
      </c>
      <c r="U122">
        <f t="shared" ca="1" si="19"/>
        <v>44.573348453123387</v>
      </c>
    </row>
    <row r="123" spans="1:21" x14ac:dyDescent="0.45">
      <c r="A123">
        <f t="shared" ca="1" si="11"/>
        <v>19</v>
      </c>
      <c r="B123">
        <v>0.31</v>
      </c>
      <c r="C123">
        <f t="shared" ca="1" si="12"/>
        <v>16.399999999999999</v>
      </c>
      <c r="D123">
        <v>35.9</v>
      </c>
      <c r="E123">
        <v>5013</v>
      </c>
      <c r="F123">
        <v>0.78</v>
      </c>
      <c r="G123">
        <v>6.92</v>
      </c>
      <c r="H123">
        <v>55</v>
      </c>
      <c r="I123">
        <v>12.47</v>
      </c>
      <c r="J123">
        <v>7.39</v>
      </c>
      <c r="K123">
        <f t="shared" si="13"/>
        <v>0.16387096774193552</v>
      </c>
      <c r="M123">
        <v>31</v>
      </c>
      <c r="N123">
        <f t="shared" ca="1" si="14"/>
        <v>51.413999522829293</v>
      </c>
      <c r="O123">
        <f t="shared" ca="1" si="15"/>
        <v>19.138756158487059</v>
      </c>
      <c r="P123">
        <v>19.264285714285698</v>
      </c>
      <c r="Q123">
        <v>4.5</v>
      </c>
      <c r="R123">
        <f t="shared" ca="1" si="16"/>
        <v>19.100000000000001</v>
      </c>
      <c r="S123">
        <f t="shared" ca="1" si="17"/>
        <v>3.8756158487057046E-2</v>
      </c>
      <c r="T123">
        <f t="shared" ca="1" si="18"/>
        <v>19.138756158487059</v>
      </c>
      <c r="U123">
        <f t="shared" ca="1" si="19"/>
        <v>51.413999522829293</v>
      </c>
    </row>
    <row r="124" spans="1:21" x14ac:dyDescent="0.45">
      <c r="A124">
        <f t="shared" ca="1" si="11"/>
        <v>17</v>
      </c>
      <c r="B124">
        <v>0.31</v>
      </c>
      <c r="C124">
        <f t="shared" ca="1" si="12"/>
        <v>16</v>
      </c>
      <c r="D124">
        <v>34.630000000000003</v>
      </c>
      <c r="E124">
        <v>4742</v>
      </c>
      <c r="F124">
        <v>0.22</v>
      </c>
      <c r="G124">
        <v>7.77</v>
      </c>
      <c r="H124">
        <v>53</v>
      </c>
      <c r="I124">
        <v>12.21</v>
      </c>
      <c r="J124">
        <v>7.19</v>
      </c>
      <c r="K124">
        <f t="shared" si="13"/>
        <v>9.8431372549019611E-2</v>
      </c>
      <c r="M124">
        <v>51</v>
      </c>
      <c r="N124">
        <f t="shared" ca="1" si="14"/>
        <v>48.948663490581154</v>
      </c>
      <c r="O124">
        <f t="shared" ca="1" si="15"/>
        <v>19.612384313306652</v>
      </c>
      <c r="P124">
        <v>14.0181818181818</v>
      </c>
      <c r="Q124">
        <v>4.5</v>
      </c>
      <c r="R124">
        <f t="shared" ca="1" si="16"/>
        <v>19.2</v>
      </c>
      <c r="S124">
        <f t="shared" ca="1" si="17"/>
        <v>0.41238431330665637</v>
      </c>
      <c r="T124">
        <f t="shared" ca="1" si="18"/>
        <v>19.612384313306656</v>
      </c>
      <c r="U124">
        <f t="shared" ca="1" si="19"/>
        <v>48.948663490581154</v>
      </c>
    </row>
    <row r="125" spans="1:21" x14ac:dyDescent="0.45">
      <c r="A125">
        <f t="shared" ca="1" si="11"/>
        <v>20</v>
      </c>
      <c r="B125">
        <v>0.31</v>
      </c>
      <c r="C125">
        <f t="shared" ca="1" si="12"/>
        <v>14.6</v>
      </c>
      <c r="D125">
        <v>30.29</v>
      </c>
      <c r="E125">
        <v>7619</v>
      </c>
      <c r="F125">
        <v>9.41</v>
      </c>
      <c r="G125">
        <v>10.14</v>
      </c>
      <c r="H125">
        <v>66</v>
      </c>
      <c r="I125">
        <v>12.58</v>
      </c>
      <c r="J125">
        <v>7.36</v>
      </c>
      <c r="K125">
        <f t="shared" si="13"/>
        <v>8.1562499999999996E-2</v>
      </c>
      <c r="M125">
        <v>64</v>
      </c>
      <c r="N125">
        <f t="shared" ca="1" si="14"/>
        <v>45.02356244611272</v>
      </c>
      <c r="O125">
        <f t="shared" ca="1" si="15"/>
        <v>19.456479061346084</v>
      </c>
      <c r="P125">
        <v>10.271739130434799</v>
      </c>
      <c r="Q125">
        <v>4.5</v>
      </c>
      <c r="R125">
        <f t="shared" ca="1" si="16"/>
        <v>19</v>
      </c>
      <c r="S125">
        <f t="shared" ca="1" si="17"/>
        <v>0.4564790613460824</v>
      </c>
      <c r="T125">
        <f t="shared" ca="1" si="18"/>
        <v>19.456479061346084</v>
      </c>
      <c r="U125">
        <f t="shared" ca="1" si="19"/>
        <v>45.02356244611272</v>
      </c>
    </row>
    <row r="126" spans="1:21" x14ac:dyDescent="0.45">
      <c r="A126">
        <f t="shared" ca="1" si="11"/>
        <v>19</v>
      </c>
      <c r="B126">
        <v>0.31</v>
      </c>
      <c r="C126">
        <f t="shared" ca="1" si="12"/>
        <v>15.7</v>
      </c>
      <c r="D126">
        <v>31.91</v>
      </c>
      <c r="E126">
        <v>8946</v>
      </c>
      <c r="F126">
        <v>13.14</v>
      </c>
      <c r="G126">
        <v>9.74</v>
      </c>
      <c r="H126">
        <v>51.2</v>
      </c>
      <c r="I126">
        <v>13.01</v>
      </c>
      <c r="J126">
        <v>7.29</v>
      </c>
      <c r="K126">
        <f t="shared" si="13"/>
        <v>0.15052631578947367</v>
      </c>
      <c r="M126">
        <v>38</v>
      </c>
      <c r="N126">
        <f t="shared" ca="1" si="14"/>
        <v>47.513931275086456</v>
      </c>
      <c r="O126">
        <f t="shared" ca="1" si="15"/>
        <v>19.825764248935766</v>
      </c>
      <c r="P126">
        <v>15.75</v>
      </c>
      <c r="Q126">
        <v>4.5</v>
      </c>
      <c r="R126">
        <f t="shared" ca="1" si="16"/>
        <v>19.2</v>
      </c>
      <c r="S126">
        <f t="shared" ca="1" si="17"/>
        <v>0.62576424893576632</v>
      </c>
      <c r="T126">
        <f t="shared" ca="1" si="18"/>
        <v>19.825764248935766</v>
      </c>
      <c r="U126">
        <f t="shared" ca="1" si="19"/>
        <v>47.513931275086456</v>
      </c>
    </row>
    <row r="127" spans="1:21" x14ac:dyDescent="0.45">
      <c r="A127">
        <f t="shared" ca="1" si="11"/>
        <v>18</v>
      </c>
      <c r="B127">
        <v>0.31</v>
      </c>
      <c r="C127">
        <f t="shared" ca="1" si="12"/>
        <v>16.399999999999999</v>
      </c>
      <c r="D127">
        <v>31.81</v>
      </c>
      <c r="E127">
        <v>7238</v>
      </c>
      <c r="F127">
        <v>12.94</v>
      </c>
      <c r="G127">
        <v>8.7899999999999991</v>
      </c>
      <c r="H127">
        <v>50.8</v>
      </c>
      <c r="I127">
        <v>12.76</v>
      </c>
      <c r="J127">
        <v>7.3</v>
      </c>
      <c r="K127">
        <f t="shared" si="13"/>
        <v>0.15166666666666667</v>
      </c>
      <c r="M127">
        <v>36</v>
      </c>
      <c r="N127">
        <f t="shared" ca="1" si="14"/>
        <v>49.312621754191248</v>
      </c>
      <c r="O127">
        <f t="shared" ca="1" si="15"/>
        <v>19.954323355690704</v>
      </c>
      <c r="P127">
        <v>16.2206896551724</v>
      </c>
      <c r="Q127">
        <v>4.5</v>
      </c>
      <c r="R127">
        <f t="shared" ca="1" si="16"/>
        <v>19.100000000000001</v>
      </c>
      <c r="S127">
        <f t="shared" ca="1" si="17"/>
        <v>0.85432335569070228</v>
      </c>
      <c r="T127">
        <f t="shared" ca="1" si="18"/>
        <v>19.954323355690704</v>
      </c>
      <c r="U127">
        <f t="shared" ca="1" si="19"/>
        <v>49.312621754191248</v>
      </c>
    </row>
    <row r="128" spans="1:21" x14ac:dyDescent="0.45">
      <c r="A128">
        <f t="shared" ca="1" si="11"/>
        <v>18</v>
      </c>
      <c r="B128">
        <v>0.31</v>
      </c>
      <c r="C128">
        <f t="shared" ca="1" si="12"/>
        <v>14.6</v>
      </c>
      <c r="D128">
        <v>33.590000000000003</v>
      </c>
      <c r="E128">
        <v>9041</v>
      </c>
      <c r="F128">
        <v>7.89</v>
      </c>
      <c r="G128">
        <v>9.1999999999999993</v>
      </c>
      <c r="H128">
        <v>65</v>
      </c>
      <c r="I128">
        <v>12.32</v>
      </c>
      <c r="J128">
        <v>7.35</v>
      </c>
      <c r="K128">
        <f t="shared" si="13"/>
        <v>0.10574468085106384</v>
      </c>
      <c r="M128">
        <v>47</v>
      </c>
      <c r="N128">
        <f t="shared" ca="1" si="14"/>
        <v>44.103067217648224</v>
      </c>
      <c r="O128">
        <f t="shared" ca="1" si="15"/>
        <v>19.862564108680882</v>
      </c>
      <c r="P128">
        <v>18.895652173913</v>
      </c>
      <c r="Q128">
        <v>4.5</v>
      </c>
      <c r="R128">
        <f t="shared" ca="1" si="16"/>
        <v>19.5</v>
      </c>
      <c r="S128">
        <f t="shared" ca="1" si="17"/>
        <v>0.36256410868088129</v>
      </c>
      <c r="T128">
        <f t="shared" ca="1" si="18"/>
        <v>19.862564108680882</v>
      </c>
      <c r="U128">
        <f t="shared" ca="1" si="19"/>
        <v>44.103067217648224</v>
      </c>
    </row>
    <row r="129" spans="1:21" x14ac:dyDescent="0.45">
      <c r="A129">
        <f t="shared" ca="1" si="11"/>
        <v>21</v>
      </c>
      <c r="B129">
        <v>0.31</v>
      </c>
      <c r="C129">
        <f t="shared" ca="1" si="12"/>
        <v>15.5</v>
      </c>
      <c r="D129">
        <v>32.58</v>
      </c>
      <c r="E129">
        <v>7235</v>
      </c>
      <c r="F129">
        <v>12.11</v>
      </c>
      <c r="G129">
        <v>12.64</v>
      </c>
      <c r="H129">
        <v>53</v>
      </c>
      <c r="I129">
        <v>12.27</v>
      </c>
      <c r="J129">
        <v>7.24</v>
      </c>
      <c r="K129">
        <f t="shared" si="13"/>
        <v>0.13594594594594592</v>
      </c>
      <c r="M129">
        <v>37</v>
      </c>
      <c r="N129">
        <f t="shared" ca="1" si="14"/>
        <v>44.801930069982397</v>
      </c>
      <c r="O129">
        <f t="shared" ca="1" si="15"/>
        <v>20.758034275472131</v>
      </c>
      <c r="P129">
        <v>15.71</v>
      </c>
      <c r="Q129">
        <v>4.5</v>
      </c>
      <c r="R129">
        <f t="shared" ca="1" si="16"/>
        <v>19.8</v>
      </c>
      <c r="S129">
        <f t="shared" ca="1" si="17"/>
        <v>0.95803427547212505</v>
      </c>
      <c r="T129">
        <f t="shared" ca="1" si="18"/>
        <v>20.758034275472127</v>
      </c>
      <c r="U129">
        <f t="shared" ca="1" si="19"/>
        <v>44.801930069982397</v>
      </c>
    </row>
    <row r="130" spans="1:21" x14ac:dyDescent="0.45">
      <c r="A130">
        <f t="shared" ca="1" si="11"/>
        <v>16</v>
      </c>
      <c r="B130">
        <v>0.31</v>
      </c>
      <c r="C130">
        <f t="shared" ca="1" si="12"/>
        <v>15.3</v>
      </c>
      <c r="D130">
        <v>31.37</v>
      </c>
      <c r="E130">
        <v>7642</v>
      </c>
      <c r="F130">
        <v>13.36</v>
      </c>
      <c r="G130">
        <v>9.3800000000000008</v>
      </c>
      <c r="H130">
        <v>58</v>
      </c>
      <c r="I130">
        <v>12.08</v>
      </c>
      <c r="J130">
        <v>7.3</v>
      </c>
      <c r="K130">
        <f t="shared" si="13"/>
        <v>0.14937500000000001</v>
      </c>
      <c r="M130">
        <v>32</v>
      </c>
      <c r="N130">
        <f t="shared" ca="1" si="14"/>
        <v>46.292264552705689</v>
      </c>
      <c r="O130">
        <f t="shared" ca="1" si="15"/>
        <v>19.830526954558866</v>
      </c>
      <c r="P130">
        <v>17.488888888888901</v>
      </c>
      <c r="Q130">
        <v>4.5</v>
      </c>
      <c r="R130">
        <f t="shared" ca="1" si="16"/>
        <v>19.8</v>
      </c>
      <c r="S130">
        <f t="shared" ca="1" si="17"/>
        <v>3.0526954558863673E-2</v>
      </c>
      <c r="T130">
        <f t="shared" ca="1" si="18"/>
        <v>19.830526954558863</v>
      </c>
      <c r="U130">
        <f t="shared" ca="1" si="19"/>
        <v>46.292264552705689</v>
      </c>
    </row>
    <row r="131" spans="1:21" x14ac:dyDescent="0.45">
      <c r="A131">
        <f t="shared" ca="1" si="11"/>
        <v>19</v>
      </c>
      <c r="B131">
        <v>0.31</v>
      </c>
      <c r="C131">
        <f t="shared" ca="1" si="12"/>
        <v>15.5</v>
      </c>
      <c r="D131">
        <v>32.04</v>
      </c>
      <c r="E131">
        <v>7518</v>
      </c>
      <c r="F131">
        <v>12.22</v>
      </c>
      <c r="G131">
        <v>12.86</v>
      </c>
      <c r="H131">
        <v>53.5</v>
      </c>
      <c r="I131">
        <v>12.45</v>
      </c>
      <c r="J131">
        <v>7.37</v>
      </c>
      <c r="K131">
        <f t="shared" si="13"/>
        <v>0.12699999999999997</v>
      </c>
      <c r="M131">
        <v>40</v>
      </c>
      <c r="N131">
        <f t="shared" ca="1" si="14"/>
        <v>47.779813489611172</v>
      </c>
      <c r="O131">
        <f t="shared" ca="1" si="15"/>
        <v>19.464286946247942</v>
      </c>
      <c r="P131">
        <v>15.491803278688501</v>
      </c>
      <c r="Q131">
        <v>4.5</v>
      </c>
      <c r="R131">
        <f t="shared" ca="1" si="16"/>
        <v>19</v>
      </c>
      <c r="S131">
        <f t="shared" ca="1" si="17"/>
        <v>0.4642869462479432</v>
      </c>
      <c r="T131">
        <f t="shared" ca="1" si="18"/>
        <v>19.464286946247942</v>
      </c>
      <c r="U131">
        <f t="shared" ca="1" si="19"/>
        <v>47.779813489611172</v>
      </c>
    </row>
    <row r="132" spans="1:21" x14ac:dyDescent="0.45">
      <c r="A132">
        <f t="shared" ref="A132:A195" ca="1" si="21">RANDBETWEEN(16,22)</f>
        <v>21</v>
      </c>
      <c r="B132">
        <v>0.31</v>
      </c>
      <c r="C132">
        <f t="shared" ref="C132:C195" ca="1" si="22">RANDBETWEEN(145,165)/10</f>
        <v>16.2</v>
      </c>
      <c r="D132">
        <v>31.39</v>
      </c>
      <c r="E132">
        <v>7293</v>
      </c>
      <c r="F132">
        <v>11.85</v>
      </c>
      <c r="G132">
        <v>11.36</v>
      </c>
      <c r="H132">
        <v>50.4</v>
      </c>
      <c r="I132">
        <v>12.76</v>
      </c>
      <c r="J132">
        <v>7.3</v>
      </c>
      <c r="K132">
        <f t="shared" ref="K132:K195" si="23">(I132-J132)/M132</f>
        <v>0.11142857142857143</v>
      </c>
      <c r="M132">
        <v>49</v>
      </c>
      <c r="N132">
        <f t="shared" ref="N132:N195" ca="1" si="24">U132</f>
        <v>48.217846988239494</v>
      </c>
      <c r="O132">
        <f t="shared" ref="O132:O195" ca="1" si="25">C132/N132*60</f>
        <v>20.158511022631814</v>
      </c>
      <c r="P132">
        <v>13.318309859154899</v>
      </c>
      <c r="Q132">
        <v>4.5</v>
      </c>
      <c r="R132">
        <f t="shared" ref="R132:R195" ca="1" si="26">RANDBETWEEN(190,200)/10</f>
        <v>19.600000000000001</v>
      </c>
      <c r="S132">
        <f t="shared" ref="S132:S195" ca="1" si="27">RAND()</f>
        <v>0.55851102263181052</v>
      </c>
      <c r="T132">
        <f t="shared" ref="T132:T195" ca="1" si="28">R132+S132</f>
        <v>20.158511022631814</v>
      </c>
      <c r="U132">
        <f t="shared" ref="U132:U195" ca="1" si="29">C132*60/T132</f>
        <v>48.217846988239494</v>
      </c>
    </row>
    <row r="133" spans="1:21" x14ac:dyDescent="0.45">
      <c r="A133">
        <f t="shared" ca="1" si="21"/>
        <v>18</v>
      </c>
      <c r="B133">
        <v>0.31</v>
      </c>
      <c r="C133">
        <f t="shared" ca="1" si="22"/>
        <v>16.3</v>
      </c>
      <c r="D133">
        <v>32.5</v>
      </c>
      <c r="E133">
        <v>8954</v>
      </c>
      <c r="F133">
        <v>11.3</v>
      </c>
      <c r="G133">
        <v>10.76</v>
      </c>
      <c r="H133">
        <v>53.4</v>
      </c>
      <c r="I133">
        <v>12.71</v>
      </c>
      <c r="J133">
        <v>7.36</v>
      </c>
      <c r="K133">
        <f t="shared" si="23"/>
        <v>0.13375000000000001</v>
      </c>
      <c r="M133">
        <v>40</v>
      </c>
      <c r="N133">
        <f t="shared" ca="1" si="24"/>
        <v>50.386191396045263</v>
      </c>
      <c r="O133">
        <f t="shared" ca="1" si="25"/>
        <v>19.41007988305228</v>
      </c>
      <c r="P133">
        <v>15.261290322580599</v>
      </c>
      <c r="Q133">
        <v>4.5</v>
      </c>
      <c r="R133">
        <f t="shared" ca="1" si="26"/>
        <v>19.399999999999999</v>
      </c>
      <c r="S133">
        <f t="shared" ca="1" si="27"/>
        <v>1.0079883052280358E-2</v>
      </c>
      <c r="T133">
        <f t="shared" ca="1" si="28"/>
        <v>19.41007988305228</v>
      </c>
      <c r="U133">
        <f t="shared" ca="1" si="29"/>
        <v>50.386191396045263</v>
      </c>
    </row>
    <row r="134" spans="1:21" x14ac:dyDescent="0.45">
      <c r="A134">
        <f t="shared" ca="1" si="21"/>
        <v>17</v>
      </c>
      <c r="B134">
        <v>0.31</v>
      </c>
      <c r="C134">
        <f t="shared" ca="1" si="22"/>
        <v>14.9</v>
      </c>
      <c r="D134">
        <v>32.67</v>
      </c>
      <c r="E134">
        <v>7921</v>
      </c>
      <c r="F134">
        <v>9.68</v>
      </c>
      <c r="G134">
        <v>9.8800000000000008</v>
      </c>
      <c r="H134">
        <v>63</v>
      </c>
      <c r="I134">
        <v>12.14</v>
      </c>
      <c r="J134">
        <v>7.24</v>
      </c>
      <c r="K134">
        <f t="shared" si="23"/>
        <v>0.13611111111111113</v>
      </c>
      <c r="M134">
        <v>36</v>
      </c>
      <c r="N134">
        <f t="shared" ca="1" si="24"/>
        <v>43.176689363252621</v>
      </c>
      <c r="O134">
        <f t="shared" ca="1" si="25"/>
        <v>20.70561715555888</v>
      </c>
      <c r="P134">
        <v>16.037288135593201</v>
      </c>
      <c r="Q134">
        <v>4.5</v>
      </c>
      <c r="R134">
        <f t="shared" ca="1" si="26"/>
        <v>20</v>
      </c>
      <c r="S134">
        <f t="shared" ca="1" si="27"/>
        <v>0.70561715555887805</v>
      </c>
      <c r="T134">
        <f t="shared" ca="1" si="28"/>
        <v>20.70561715555888</v>
      </c>
      <c r="U134">
        <f t="shared" ca="1" si="29"/>
        <v>43.176689363252621</v>
      </c>
    </row>
    <row r="135" spans="1:21" x14ac:dyDescent="0.45">
      <c r="A135">
        <f t="shared" ca="1" si="21"/>
        <v>21</v>
      </c>
      <c r="B135">
        <v>0.31</v>
      </c>
      <c r="C135">
        <f t="shared" ca="1" si="22"/>
        <v>15.6</v>
      </c>
      <c r="D135">
        <v>32.94</v>
      </c>
      <c r="E135">
        <v>7352</v>
      </c>
      <c r="F135">
        <v>8.1199999999999992</v>
      </c>
      <c r="G135">
        <v>8.2899999999999991</v>
      </c>
      <c r="H135">
        <v>61</v>
      </c>
      <c r="I135">
        <v>12.13</v>
      </c>
      <c r="J135">
        <v>7.05</v>
      </c>
      <c r="K135">
        <f t="shared" si="23"/>
        <v>0.2116666666666667</v>
      </c>
      <c r="M135">
        <v>24</v>
      </c>
      <c r="N135">
        <f t="shared" ca="1" si="24"/>
        <v>47.825865758260171</v>
      </c>
      <c r="O135">
        <f t="shared" ca="1" si="25"/>
        <v>19.570999607850069</v>
      </c>
      <c r="P135">
        <v>22.914893617021299</v>
      </c>
      <c r="Q135">
        <v>4.5</v>
      </c>
      <c r="R135">
        <f t="shared" ca="1" si="26"/>
        <v>19.2</v>
      </c>
      <c r="S135">
        <f t="shared" ca="1" si="27"/>
        <v>0.37099960785007369</v>
      </c>
      <c r="T135">
        <f t="shared" ca="1" si="28"/>
        <v>19.570999607850073</v>
      </c>
      <c r="U135">
        <f t="shared" ca="1" si="29"/>
        <v>47.825865758260171</v>
      </c>
    </row>
    <row r="136" spans="1:21" x14ac:dyDescent="0.45">
      <c r="A136">
        <f t="shared" ca="1" si="21"/>
        <v>21</v>
      </c>
      <c r="B136">
        <v>0.31</v>
      </c>
      <c r="C136">
        <f t="shared" ca="1" si="22"/>
        <v>14.9</v>
      </c>
      <c r="D136">
        <v>31.37</v>
      </c>
      <c r="E136">
        <v>7642</v>
      </c>
      <c r="F136">
        <v>13.36</v>
      </c>
      <c r="G136">
        <v>9.3800000000000008</v>
      </c>
      <c r="H136">
        <v>58</v>
      </c>
      <c r="I136">
        <v>12.08</v>
      </c>
      <c r="J136">
        <v>7.3</v>
      </c>
      <c r="K136">
        <f t="shared" si="23"/>
        <v>0.14937500000000001</v>
      </c>
      <c r="M136">
        <v>32</v>
      </c>
      <c r="N136">
        <f t="shared" ca="1" si="24"/>
        <v>46.455703736707477</v>
      </c>
      <c r="O136">
        <f t="shared" ca="1" si="25"/>
        <v>19.244138568362622</v>
      </c>
      <c r="P136">
        <v>17.488888888888901</v>
      </c>
      <c r="Q136">
        <v>4.5</v>
      </c>
      <c r="R136">
        <f t="shared" ca="1" si="26"/>
        <v>19</v>
      </c>
      <c r="S136">
        <f t="shared" ca="1" si="27"/>
        <v>0.24413856836262315</v>
      </c>
      <c r="T136">
        <f t="shared" ca="1" si="28"/>
        <v>19.244138568362622</v>
      </c>
      <c r="U136">
        <f t="shared" ca="1" si="29"/>
        <v>46.455703736707477</v>
      </c>
    </row>
    <row r="137" spans="1:21" x14ac:dyDescent="0.45">
      <c r="A137">
        <f t="shared" ca="1" si="21"/>
        <v>21</v>
      </c>
      <c r="B137">
        <v>0.31</v>
      </c>
      <c r="C137">
        <f t="shared" ca="1" si="22"/>
        <v>15.5</v>
      </c>
      <c r="D137">
        <v>32.04</v>
      </c>
      <c r="E137">
        <v>7518</v>
      </c>
      <c r="F137">
        <v>12.22</v>
      </c>
      <c r="G137">
        <v>12.86</v>
      </c>
      <c r="H137">
        <v>53.5</v>
      </c>
      <c r="I137">
        <v>12.45</v>
      </c>
      <c r="J137">
        <v>7.37</v>
      </c>
      <c r="K137">
        <f t="shared" si="23"/>
        <v>0.12699999999999997</v>
      </c>
      <c r="M137">
        <v>40</v>
      </c>
      <c r="N137">
        <f t="shared" ca="1" si="24"/>
        <v>45.414425412965926</v>
      </c>
      <c r="O137">
        <f t="shared" ca="1" si="25"/>
        <v>20.47807478666201</v>
      </c>
      <c r="P137">
        <v>15.491803278688501</v>
      </c>
      <c r="Q137">
        <v>4.5</v>
      </c>
      <c r="R137">
        <f t="shared" ca="1" si="26"/>
        <v>19.7</v>
      </c>
      <c r="S137">
        <f t="shared" ca="1" si="27"/>
        <v>0.77807478666201035</v>
      </c>
      <c r="T137">
        <f t="shared" ca="1" si="28"/>
        <v>20.47807478666201</v>
      </c>
      <c r="U137">
        <f t="shared" ca="1" si="29"/>
        <v>45.414425412965926</v>
      </c>
    </row>
    <row r="138" spans="1:21" x14ac:dyDescent="0.45">
      <c r="A138">
        <f t="shared" ca="1" si="21"/>
        <v>16</v>
      </c>
      <c r="B138">
        <v>0.31</v>
      </c>
      <c r="C138">
        <f t="shared" ca="1" si="22"/>
        <v>16.3</v>
      </c>
      <c r="D138">
        <v>31.82</v>
      </c>
      <c r="E138">
        <v>7498</v>
      </c>
      <c r="F138">
        <v>12.6</v>
      </c>
      <c r="G138">
        <v>12.07</v>
      </c>
      <c r="H138">
        <v>56.3</v>
      </c>
      <c r="I138">
        <v>12.08</v>
      </c>
      <c r="J138">
        <v>7.35</v>
      </c>
      <c r="K138">
        <f t="shared" si="23"/>
        <v>0.10063829787234044</v>
      </c>
      <c r="M138">
        <v>47</v>
      </c>
      <c r="N138">
        <f t="shared" ca="1" si="24"/>
        <v>48.638748025458298</v>
      </c>
      <c r="O138">
        <f t="shared" ca="1" si="25"/>
        <v>20.107425451989414</v>
      </c>
      <c r="P138">
        <v>13.431428571428601</v>
      </c>
      <c r="Q138">
        <v>4.5</v>
      </c>
      <c r="R138">
        <f t="shared" ca="1" si="26"/>
        <v>20</v>
      </c>
      <c r="S138">
        <f t="shared" ca="1" si="27"/>
        <v>0.10742545198941533</v>
      </c>
      <c r="T138">
        <f t="shared" ca="1" si="28"/>
        <v>20.107425451989414</v>
      </c>
      <c r="U138">
        <f t="shared" ca="1" si="29"/>
        <v>48.638748025458298</v>
      </c>
    </row>
    <row r="139" spans="1:21" x14ac:dyDescent="0.45">
      <c r="A139">
        <f t="shared" ca="1" si="21"/>
        <v>21</v>
      </c>
      <c r="B139">
        <v>0.31</v>
      </c>
      <c r="C139">
        <f t="shared" ca="1" si="22"/>
        <v>15.9</v>
      </c>
      <c r="D139">
        <v>32.89</v>
      </c>
      <c r="E139">
        <v>7254</v>
      </c>
      <c r="F139">
        <v>12.15</v>
      </c>
      <c r="G139">
        <v>12.61</v>
      </c>
      <c r="H139">
        <v>51</v>
      </c>
      <c r="I139">
        <v>11.94</v>
      </c>
      <c r="J139">
        <v>7.25</v>
      </c>
      <c r="K139">
        <f t="shared" si="23"/>
        <v>0.18759999999999999</v>
      </c>
      <c r="M139">
        <v>25</v>
      </c>
      <c r="N139">
        <f t="shared" ca="1" si="24"/>
        <v>45.954363149650312</v>
      </c>
      <c r="O139">
        <f t="shared" ca="1" si="25"/>
        <v>20.759726272199671</v>
      </c>
      <c r="P139">
        <v>21</v>
      </c>
      <c r="Q139">
        <v>4.5</v>
      </c>
      <c r="R139">
        <f t="shared" ca="1" si="26"/>
        <v>19.8</v>
      </c>
      <c r="S139">
        <f t="shared" ca="1" si="27"/>
        <v>0.9597262721996721</v>
      </c>
      <c r="T139">
        <f t="shared" ca="1" si="28"/>
        <v>20.759726272199671</v>
      </c>
      <c r="U139">
        <f t="shared" ca="1" si="29"/>
        <v>45.954363149650312</v>
      </c>
    </row>
    <row r="140" spans="1:21" x14ac:dyDescent="0.45">
      <c r="A140">
        <f t="shared" ca="1" si="21"/>
        <v>19</v>
      </c>
      <c r="B140">
        <v>0.31</v>
      </c>
      <c r="C140">
        <f t="shared" ca="1" si="22"/>
        <v>16.100000000000001</v>
      </c>
      <c r="D140">
        <v>31.76</v>
      </c>
      <c r="E140">
        <v>9367</v>
      </c>
      <c r="F140">
        <v>6.58</v>
      </c>
      <c r="G140">
        <v>7.69</v>
      </c>
      <c r="H140">
        <v>51</v>
      </c>
      <c r="I140">
        <v>12.37</v>
      </c>
      <c r="J140">
        <v>7.34</v>
      </c>
      <c r="K140">
        <f t="shared" si="23"/>
        <v>7.859374999999999E-2</v>
      </c>
      <c r="M140">
        <v>64</v>
      </c>
      <c r="N140">
        <f t="shared" ca="1" si="24"/>
        <v>49.17091122838891</v>
      </c>
      <c r="O140">
        <f t="shared" ca="1" si="25"/>
        <v>19.645761607164975</v>
      </c>
      <c r="P140">
        <v>10.967441860465099</v>
      </c>
      <c r="Q140">
        <v>4.5</v>
      </c>
      <c r="R140">
        <f t="shared" ca="1" si="26"/>
        <v>19.100000000000001</v>
      </c>
      <c r="S140">
        <f t="shared" ca="1" si="27"/>
        <v>0.54576160716497646</v>
      </c>
      <c r="T140">
        <f t="shared" ca="1" si="28"/>
        <v>19.645761607164978</v>
      </c>
      <c r="U140">
        <f t="shared" ca="1" si="29"/>
        <v>49.17091122838891</v>
      </c>
    </row>
    <row r="141" spans="1:21" x14ac:dyDescent="0.45">
      <c r="A141">
        <f t="shared" ca="1" si="21"/>
        <v>16</v>
      </c>
      <c r="B141">
        <v>0.31</v>
      </c>
      <c r="C141">
        <f t="shared" ca="1" si="22"/>
        <v>15</v>
      </c>
      <c r="D141">
        <v>29.56</v>
      </c>
      <c r="E141">
        <v>9388</v>
      </c>
      <c r="F141">
        <v>12.22</v>
      </c>
      <c r="G141">
        <v>13.88</v>
      </c>
      <c r="H141">
        <v>52</v>
      </c>
      <c r="I141">
        <v>11.54</v>
      </c>
      <c r="J141">
        <v>7.2</v>
      </c>
      <c r="K141">
        <f t="shared" si="23"/>
        <v>0.15499999999999997</v>
      </c>
      <c r="M141">
        <v>28</v>
      </c>
      <c r="N141">
        <f t="shared" ca="1" si="24"/>
        <v>44.69654718469846</v>
      </c>
      <c r="O141">
        <f t="shared" ca="1" si="25"/>
        <v>20.135783560214435</v>
      </c>
      <c r="P141">
        <v>18.458823529411799</v>
      </c>
      <c r="Q141">
        <v>4.5</v>
      </c>
      <c r="R141">
        <f t="shared" ca="1" si="26"/>
        <v>19.7</v>
      </c>
      <c r="S141">
        <f t="shared" ca="1" si="27"/>
        <v>0.43578356021443576</v>
      </c>
      <c r="T141">
        <f t="shared" ca="1" si="28"/>
        <v>20.135783560214435</v>
      </c>
      <c r="U141">
        <f t="shared" ca="1" si="29"/>
        <v>44.69654718469846</v>
      </c>
    </row>
    <row r="142" spans="1:21" x14ac:dyDescent="0.45">
      <c r="A142">
        <f t="shared" ca="1" si="21"/>
        <v>19</v>
      </c>
      <c r="B142">
        <v>0.32</v>
      </c>
      <c r="C142">
        <f t="shared" ca="1" si="22"/>
        <v>16.2</v>
      </c>
      <c r="D142">
        <v>47.46</v>
      </c>
      <c r="E142">
        <v>6531</v>
      </c>
      <c r="F142">
        <v>2.61</v>
      </c>
      <c r="G142">
        <v>0.16</v>
      </c>
      <c r="H142">
        <v>61.52</v>
      </c>
      <c r="I142">
        <v>12.99</v>
      </c>
      <c r="J142">
        <v>7.16</v>
      </c>
      <c r="K142">
        <f t="shared" ca="1" si="23"/>
        <v>0.23873287653543324</v>
      </c>
      <c r="M142">
        <f t="shared" ref="M142:M162" ca="1" si="30">N142-A142-Q142</f>
        <v>24.420599645121349</v>
      </c>
      <c r="N142">
        <f t="shared" ca="1" si="24"/>
        <v>47.920599645121349</v>
      </c>
      <c r="O142">
        <f t="shared" ca="1" si="25"/>
        <v>20.283552526433304</v>
      </c>
      <c r="P142">
        <v>8.9377358490565992</v>
      </c>
      <c r="Q142">
        <v>4.5</v>
      </c>
      <c r="R142">
        <f t="shared" ca="1" si="26"/>
        <v>19.399999999999999</v>
      </c>
      <c r="S142">
        <f t="shared" ca="1" si="27"/>
        <v>0.88355252643330451</v>
      </c>
      <c r="T142">
        <f t="shared" ca="1" si="28"/>
        <v>20.283552526433304</v>
      </c>
      <c r="U142">
        <f t="shared" ca="1" si="29"/>
        <v>47.920599645121349</v>
      </c>
    </row>
    <row r="143" spans="1:21" x14ac:dyDescent="0.45">
      <c r="A143">
        <f t="shared" ca="1" si="21"/>
        <v>21</v>
      </c>
      <c r="B143">
        <v>0.32</v>
      </c>
      <c r="C143">
        <f t="shared" ca="1" si="22"/>
        <v>15.3</v>
      </c>
      <c r="D143">
        <v>36.44</v>
      </c>
      <c r="E143">
        <v>6452</v>
      </c>
      <c r="F143">
        <v>10.74</v>
      </c>
      <c r="G143">
        <v>0.17</v>
      </c>
      <c r="H143">
        <v>58.2</v>
      </c>
      <c r="I143">
        <v>12.63</v>
      </c>
      <c r="J143">
        <v>7.3</v>
      </c>
      <c r="K143">
        <f t="shared" ca="1" si="23"/>
        <v>0.2547101769404278</v>
      </c>
      <c r="M143">
        <f t="shared" ca="1" si="30"/>
        <v>20.925744169407857</v>
      </c>
      <c r="N143">
        <f t="shared" ca="1" si="24"/>
        <v>46.425744169407857</v>
      </c>
      <c r="O143">
        <f t="shared" ca="1" si="25"/>
        <v>19.773511796606034</v>
      </c>
      <c r="P143">
        <v>9.0576923076923102</v>
      </c>
      <c r="Q143">
        <v>4.5</v>
      </c>
      <c r="R143">
        <f t="shared" ca="1" si="26"/>
        <v>19</v>
      </c>
      <c r="S143">
        <f t="shared" ca="1" si="27"/>
        <v>0.77351179660603242</v>
      </c>
      <c r="T143">
        <f t="shared" ca="1" si="28"/>
        <v>19.773511796606034</v>
      </c>
      <c r="U143">
        <f t="shared" ca="1" si="29"/>
        <v>46.425744169407857</v>
      </c>
    </row>
    <row r="144" spans="1:21" x14ac:dyDescent="0.45">
      <c r="A144">
        <f t="shared" ca="1" si="21"/>
        <v>18</v>
      </c>
      <c r="B144">
        <v>0.32</v>
      </c>
      <c r="C144">
        <f t="shared" ca="1" si="22"/>
        <v>15.4</v>
      </c>
      <c r="D144">
        <v>39.25</v>
      </c>
      <c r="E144">
        <v>6621</v>
      </c>
      <c r="F144">
        <v>7.95</v>
      </c>
      <c r="G144">
        <v>7.34</v>
      </c>
      <c r="H144">
        <v>61.6</v>
      </c>
      <c r="I144">
        <v>12.63</v>
      </c>
      <c r="J144">
        <v>7.2</v>
      </c>
      <c r="K144">
        <f t="shared" ca="1" si="23"/>
        <v>0.24655297335311019</v>
      </c>
      <c r="M144">
        <f t="shared" ca="1" si="30"/>
        <v>22.023664635442138</v>
      </c>
      <c r="N144">
        <f t="shared" ca="1" si="24"/>
        <v>44.523664635442138</v>
      </c>
      <c r="O144">
        <f t="shared" ca="1" si="25"/>
        <v>20.753008710439101</v>
      </c>
      <c r="P144">
        <v>12.0075</v>
      </c>
      <c r="Q144">
        <v>4.5</v>
      </c>
      <c r="R144">
        <f t="shared" ca="1" si="26"/>
        <v>20</v>
      </c>
      <c r="S144">
        <f t="shared" ca="1" si="27"/>
        <v>0.75300871043909967</v>
      </c>
      <c r="T144">
        <f t="shared" ca="1" si="28"/>
        <v>20.753008710439101</v>
      </c>
      <c r="U144">
        <f t="shared" ca="1" si="29"/>
        <v>44.523664635442138</v>
      </c>
    </row>
    <row r="145" spans="1:21" x14ac:dyDescent="0.45">
      <c r="A145">
        <f t="shared" ca="1" si="21"/>
        <v>22</v>
      </c>
      <c r="B145">
        <v>0.32</v>
      </c>
      <c r="C145">
        <f t="shared" ca="1" si="22"/>
        <v>15.7</v>
      </c>
      <c r="D145">
        <v>36.229999999999997</v>
      </c>
      <c r="E145">
        <v>6852</v>
      </c>
      <c r="F145">
        <v>8.0299999999999994</v>
      </c>
      <c r="G145">
        <v>5.65</v>
      </c>
      <c r="H145">
        <v>63.1</v>
      </c>
      <c r="I145">
        <v>12.18</v>
      </c>
      <c r="J145">
        <v>7.35</v>
      </c>
      <c r="K145">
        <f t="shared" ca="1" si="23"/>
        <v>0.22333389416014418</v>
      </c>
      <c r="M145">
        <f t="shared" ca="1" si="30"/>
        <v>21.626811363153827</v>
      </c>
      <c r="N145">
        <f t="shared" ca="1" si="24"/>
        <v>48.126811363153827</v>
      </c>
      <c r="O145">
        <f t="shared" ca="1" si="25"/>
        <v>19.573289260572139</v>
      </c>
      <c r="P145">
        <v>12.153846153846199</v>
      </c>
      <c r="Q145">
        <v>4.5</v>
      </c>
      <c r="R145">
        <f t="shared" ca="1" si="26"/>
        <v>19.2</v>
      </c>
      <c r="S145">
        <f t="shared" ca="1" si="27"/>
        <v>0.37328926057213796</v>
      </c>
      <c r="T145">
        <f t="shared" ca="1" si="28"/>
        <v>19.573289260572139</v>
      </c>
      <c r="U145">
        <f t="shared" ca="1" si="29"/>
        <v>48.126811363153827</v>
      </c>
    </row>
    <row r="146" spans="1:21" x14ac:dyDescent="0.45">
      <c r="A146">
        <f t="shared" ca="1" si="21"/>
        <v>16</v>
      </c>
      <c r="B146">
        <v>0.32</v>
      </c>
      <c r="C146">
        <f t="shared" ca="1" si="22"/>
        <v>15.9</v>
      </c>
      <c r="D146">
        <v>40.9</v>
      </c>
      <c r="E146">
        <v>6523</v>
      </c>
      <c r="F146">
        <v>9.6</v>
      </c>
      <c r="G146">
        <v>6.59</v>
      </c>
      <c r="H146">
        <v>63.8</v>
      </c>
      <c r="I146">
        <v>12.53</v>
      </c>
      <c r="J146">
        <v>7.3</v>
      </c>
      <c r="K146">
        <f t="shared" ca="1" si="23"/>
        <v>0.20407793441680919</v>
      </c>
      <c r="M146">
        <f t="shared" ca="1" si="30"/>
        <v>25.62746440444775</v>
      </c>
      <c r="N146">
        <f t="shared" ca="1" si="24"/>
        <v>46.12746440444775</v>
      </c>
      <c r="O146">
        <f t="shared" ca="1" si="25"/>
        <v>20.681821823876632</v>
      </c>
      <c r="P146">
        <v>11.262499999999999</v>
      </c>
      <c r="Q146">
        <v>4.5</v>
      </c>
      <c r="R146">
        <f t="shared" ca="1" si="26"/>
        <v>19.7</v>
      </c>
      <c r="S146">
        <f t="shared" ca="1" si="27"/>
        <v>0.98182182387663242</v>
      </c>
      <c r="T146">
        <f t="shared" ca="1" si="28"/>
        <v>20.681821823876632</v>
      </c>
      <c r="U146">
        <f t="shared" ca="1" si="29"/>
        <v>46.12746440444775</v>
      </c>
    </row>
    <row r="147" spans="1:21" x14ac:dyDescent="0.45">
      <c r="A147">
        <f t="shared" ca="1" si="21"/>
        <v>18</v>
      </c>
      <c r="B147">
        <v>0.32</v>
      </c>
      <c r="C147">
        <f t="shared" ca="1" si="22"/>
        <v>15.3</v>
      </c>
      <c r="D147">
        <v>40.479999999999997</v>
      </c>
      <c r="E147">
        <v>6385</v>
      </c>
      <c r="F147">
        <v>6.6</v>
      </c>
      <c r="G147">
        <v>9.56</v>
      </c>
      <c r="H147">
        <v>59.68</v>
      </c>
      <c r="I147">
        <v>12.63</v>
      </c>
      <c r="J147">
        <v>7.2</v>
      </c>
      <c r="K147">
        <f t="shared" ca="1" si="23"/>
        <v>0.24048453279500406</v>
      </c>
      <c r="M147">
        <f t="shared" ca="1" si="30"/>
        <v>22.57941472114836</v>
      </c>
      <c r="N147">
        <f t="shared" ca="1" si="24"/>
        <v>45.07941472114836</v>
      </c>
      <c r="O147">
        <f t="shared" ca="1" si="25"/>
        <v>20.364062081962512</v>
      </c>
      <c r="P147">
        <v>14.345454545454499</v>
      </c>
      <c r="Q147">
        <v>4.5</v>
      </c>
      <c r="R147">
        <f t="shared" ca="1" si="26"/>
        <v>19.899999999999999</v>
      </c>
      <c r="S147">
        <f t="shared" ca="1" si="27"/>
        <v>0.46406208196251475</v>
      </c>
      <c r="T147">
        <f t="shared" ca="1" si="28"/>
        <v>20.364062081962512</v>
      </c>
      <c r="U147">
        <f t="shared" ca="1" si="29"/>
        <v>45.07941472114836</v>
      </c>
    </row>
    <row r="148" spans="1:21" x14ac:dyDescent="0.45">
      <c r="A148">
        <f t="shared" ca="1" si="21"/>
        <v>20</v>
      </c>
      <c r="B148">
        <v>0.32</v>
      </c>
      <c r="C148">
        <f t="shared" ca="1" si="22"/>
        <v>16.100000000000001</v>
      </c>
      <c r="D148">
        <v>41.71</v>
      </c>
      <c r="E148">
        <v>6533</v>
      </c>
      <c r="F148">
        <v>9.44</v>
      </c>
      <c r="G148">
        <v>9.5500000000000007</v>
      </c>
      <c r="H148">
        <v>61.2</v>
      </c>
      <c r="I148">
        <v>12.62</v>
      </c>
      <c r="J148">
        <v>7.15</v>
      </c>
      <c r="K148">
        <f t="shared" ca="1" si="23"/>
        <v>0.22479383686993437</v>
      </c>
      <c r="M148">
        <f t="shared" ca="1" si="30"/>
        <v>24.333407339654684</v>
      </c>
      <c r="N148">
        <f t="shared" ca="1" si="24"/>
        <v>48.833407339654684</v>
      </c>
      <c r="O148">
        <f t="shared" ca="1" si="25"/>
        <v>19.78153998718761</v>
      </c>
      <c r="P148">
        <v>15.79</v>
      </c>
      <c r="Q148">
        <v>4.5</v>
      </c>
      <c r="R148">
        <f t="shared" ca="1" si="26"/>
        <v>19.7</v>
      </c>
      <c r="S148">
        <f t="shared" ca="1" si="27"/>
        <v>8.1539987187611018E-2</v>
      </c>
      <c r="T148">
        <f t="shared" ca="1" si="28"/>
        <v>19.78153998718761</v>
      </c>
      <c r="U148">
        <f t="shared" ca="1" si="29"/>
        <v>48.833407339654684</v>
      </c>
    </row>
    <row r="149" spans="1:21" x14ac:dyDescent="0.45">
      <c r="A149">
        <f t="shared" ca="1" si="21"/>
        <v>16</v>
      </c>
      <c r="B149">
        <v>0.32</v>
      </c>
      <c r="C149">
        <f t="shared" ca="1" si="22"/>
        <v>15.4</v>
      </c>
      <c r="D149">
        <v>34.28</v>
      </c>
      <c r="E149">
        <v>6431</v>
      </c>
      <c r="F149">
        <v>7.52</v>
      </c>
      <c r="G149">
        <v>6.52</v>
      </c>
      <c r="H149">
        <v>61.54</v>
      </c>
      <c r="I149">
        <v>12.74</v>
      </c>
      <c r="J149">
        <v>7.23</v>
      </c>
      <c r="K149">
        <f t="shared" ca="1" si="23"/>
        <v>0.20776829846822542</v>
      </c>
      <c r="M149">
        <f t="shared" ca="1" si="30"/>
        <v>26.519926478786942</v>
      </c>
      <c r="N149">
        <f t="shared" ca="1" si="24"/>
        <v>47.019926478786942</v>
      </c>
      <c r="O149">
        <f t="shared" ca="1" si="25"/>
        <v>19.651242977099571</v>
      </c>
      <c r="P149">
        <v>13.342857142857101</v>
      </c>
      <c r="Q149">
        <v>4.5</v>
      </c>
      <c r="R149">
        <f t="shared" ca="1" si="26"/>
        <v>19.399999999999999</v>
      </c>
      <c r="S149">
        <f t="shared" ca="1" si="27"/>
        <v>0.25124297709957066</v>
      </c>
      <c r="T149">
        <f t="shared" ca="1" si="28"/>
        <v>19.651242977099571</v>
      </c>
      <c r="U149">
        <f t="shared" ca="1" si="29"/>
        <v>47.019926478786942</v>
      </c>
    </row>
    <row r="150" spans="1:21" x14ac:dyDescent="0.45">
      <c r="A150">
        <f t="shared" ca="1" si="21"/>
        <v>19</v>
      </c>
      <c r="B150">
        <v>0.32</v>
      </c>
      <c r="C150">
        <f t="shared" ca="1" si="22"/>
        <v>14.7</v>
      </c>
      <c r="D150">
        <v>30.08</v>
      </c>
      <c r="E150">
        <v>6417</v>
      </c>
      <c r="F150">
        <v>12.25</v>
      </c>
      <c r="G150">
        <v>8.65</v>
      </c>
      <c r="H150">
        <v>53.4</v>
      </c>
      <c r="I150">
        <v>12.82</v>
      </c>
      <c r="J150">
        <v>7.24</v>
      </c>
      <c r="K150">
        <f t="shared" ca="1" si="23"/>
        <v>0.28639910959397658</v>
      </c>
      <c r="M150">
        <f t="shared" ca="1" si="30"/>
        <v>19.483300796258327</v>
      </c>
      <c r="N150">
        <f t="shared" ca="1" si="24"/>
        <v>42.983300796258327</v>
      </c>
      <c r="O150">
        <f t="shared" ca="1" si="25"/>
        <v>20.519596765746233</v>
      </c>
      <c r="P150">
        <v>15.521311475409799</v>
      </c>
      <c r="Q150">
        <v>4.5</v>
      </c>
      <c r="R150">
        <f t="shared" ca="1" si="26"/>
        <v>20</v>
      </c>
      <c r="S150">
        <f t="shared" ca="1" si="27"/>
        <v>0.51959676574623603</v>
      </c>
      <c r="T150">
        <f t="shared" ca="1" si="28"/>
        <v>20.519596765746236</v>
      </c>
      <c r="U150">
        <f t="shared" ca="1" si="29"/>
        <v>42.983300796258327</v>
      </c>
    </row>
    <row r="151" spans="1:21" x14ac:dyDescent="0.45">
      <c r="A151">
        <f t="shared" ca="1" si="21"/>
        <v>16</v>
      </c>
      <c r="B151">
        <v>0.32</v>
      </c>
      <c r="C151">
        <f t="shared" ca="1" si="22"/>
        <v>15.9</v>
      </c>
      <c r="D151">
        <v>41.73</v>
      </c>
      <c r="E151">
        <v>6567</v>
      </c>
      <c r="F151">
        <v>13.49</v>
      </c>
      <c r="G151">
        <v>13.72</v>
      </c>
      <c r="H151">
        <v>52.7</v>
      </c>
      <c r="I151">
        <v>12.73</v>
      </c>
      <c r="J151">
        <v>7.12</v>
      </c>
      <c r="K151">
        <f t="shared" ca="1" si="23"/>
        <v>0.20322772866736882</v>
      </c>
      <c r="M151">
        <f t="shared" ca="1" si="30"/>
        <v>27.604500806984454</v>
      </c>
      <c r="N151">
        <f t="shared" ca="1" si="24"/>
        <v>48.104500806984454</v>
      </c>
      <c r="O151">
        <f t="shared" ca="1" si="25"/>
        <v>19.831824132794775</v>
      </c>
      <c r="P151">
        <v>13.5342857142857</v>
      </c>
      <c r="Q151">
        <v>4.5</v>
      </c>
      <c r="R151">
        <f t="shared" ca="1" si="26"/>
        <v>19.7</v>
      </c>
      <c r="S151">
        <f t="shared" ca="1" si="27"/>
        <v>0.13182413279477712</v>
      </c>
      <c r="T151">
        <f t="shared" ca="1" si="28"/>
        <v>19.831824132794775</v>
      </c>
      <c r="U151">
        <f t="shared" ca="1" si="29"/>
        <v>48.104500806984454</v>
      </c>
    </row>
    <row r="152" spans="1:21" x14ac:dyDescent="0.45">
      <c r="A152">
        <f t="shared" ca="1" si="21"/>
        <v>18</v>
      </c>
      <c r="B152">
        <v>0.32</v>
      </c>
      <c r="C152">
        <f t="shared" ca="1" si="22"/>
        <v>15.4</v>
      </c>
      <c r="D152">
        <v>40.35</v>
      </c>
      <c r="E152">
        <v>6357</v>
      </c>
      <c r="F152">
        <v>10.36</v>
      </c>
      <c r="G152">
        <v>7.16</v>
      </c>
      <c r="H152">
        <v>54</v>
      </c>
      <c r="I152">
        <v>12.41</v>
      </c>
      <c r="J152">
        <v>7.21</v>
      </c>
      <c r="K152">
        <f t="shared" ca="1" si="23"/>
        <v>0.22306901025311346</v>
      </c>
      <c r="M152">
        <f t="shared" ca="1" si="30"/>
        <v>23.311171704664979</v>
      </c>
      <c r="N152">
        <f t="shared" ca="1" si="24"/>
        <v>45.811171704664979</v>
      </c>
      <c r="O152">
        <f t="shared" ca="1" si="25"/>
        <v>20.169752608748677</v>
      </c>
      <c r="P152">
        <v>14.5292307692308</v>
      </c>
      <c r="Q152">
        <v>4.5</v>
      </c>
      <c r="R152">
        <f t="shared" ca="1" si="26"/>
        <v>19.600000000000001</v>
      </c>
      <c r="S152">
        <f t="shared" ca="1" si="27"/>
        <v>0.56975260874867573</v>
      </c>
      <c r="T152">
        <f t="shared" ca="1" si="28"/>
        <v>20.169752608748677</v>
      </c>
      <c r="U152">
        <f t="shared" ca="1" si="29"/>
        <v>45.811171704664979</v>
      </c>
    </row>
    <row r="153" spans="1:21" x14ac:dyDescent="0.45">
      <c r="A153">
        <f t="shared" ca="1" si="21"/>
        <v>19</v>
      </c>
      <c r="B153">
        <v>0.32</v>
      </c>
      <c r="C153">
        <f t="shared" ca="1" si="22"/>
        <v>14.8</v>
      </c>
      <c r="D153">
        <v>39.07</v>
      </c>
      <c r="E153">
        <v>6637</v>
      </c>
      <c r="F153">
        <v>12.15</v>
      </c>
      <c r="G153">
        <v>9.61</v>
      </c>
      <c r="H153">
        <v>53.8</v>
      </c>
      <c r="I153">
        <v>12.2</v>
      </c>
      <c r="J153">
        <v>7.15</v>
      </c>
      <c r="K153">
        <f t="shared" ca="1" si="23"/>
        <v>0.22368451301066911</v>
      </c>
      <c r="M153">
        <f t="shared" ca="1" si="30"/>
        <v>22.576440058499394</v>
      </c>
      <c r="N153">
        <f t="shared" ca="1" si="24"/>
        <v>46.076440058499394</v>
      </c>
      <c r="O153">
        <f t="shared" ca="1" si="25"/>
        <v>19.272322229594579</v>
      </c>
      <c r="P153">
        <v>13.44</v>
      </c>
      <c r="Q153">
        <v>4.5</v>
      </c>
      <c r="R153">
        <f t="shared" ca="1" si="26"/>
        <v>19.2</v>
      </c>
      <c r="S153">
        <f t="shared" ca="1" si="27"/>
        <v>7.2322229594580012E-2</v>
      </c>
      <c r="T153">
        <f t="shared" ca="1" si="28"/>
        <v>19.272322229594579</v>
      </c>
      <c r="U153">
        <f t="shared" ca="1" si="29"/>
        <v>46.076440058499394</v>
      </c>
    </row>
    <row r="154" spans="1:21" x14ac:dyDescent="0.45">
      <c r="A154">
        <f t="shared" ca="1" si="21"/>
        <v>19</v>
      </c>
      <c r="B154">
        <v>0.32</v>
      </c>
      <c r="C154">
        <f t="shared" ca="1" si="22"/>
        <v>15.7</v>
      </c>
      <c r="D154">
        <v>43.24</v>
      </c>
      <c r="E154">
        <v>6421</v>
      </c>
      <c r="F154">
        <v>6.78</v>
      </c>
      <c r="G154">
        <v>7.56</v>
      </c>
      <c r="H154">
        <v>65.400000000000006</v>
      </c>
      <c r="I154">
        <v>11.98</v>
      </c>
      <c r="J154">
        <v>7.4</v>
      </c>
      <c r="K154">
        <f t="shared" ca="1" si="23"/>
        <v>0.18535607967006801</v>
      </c>
      <c r="M154">
        <f t="shared" ca="1" si="30"/>
        <v>24.709197605777781</v>
      </c>
      <c r="N154">
        <f t="shared" ca="1" si="24"/>
        <v>48.209197605777781</v>
      </c>
      <c r="O154">
        <f t="shared" ca="1" si="25"/>
        <v>19.539839839340182</v>
      </c>
      <c r="P154">
        <v>14.345454545454499</v>
      </c>
      <c r="Q154">
        <v>4.5</v>
      </c>
      <c r="R154">
        <f t="shared" ca="1" si="26"/>
        <v>19.5</v>
      </c>
      <c r="S154">
        <f t="shared" ca="1" si="27"/>
        <v>3.9839839340182981E-2</v>
      </c>
      <c r="T154">
        <f t="shared" ca="1" si="28"/>
        <v>19.539839839340182</v>
      </c>
      <c r="U154">
        <f t="shared" ca="1" si="29"/>
        <v>48.209197605777781</v>
      </c>
    </row>
    <row r="155" spans="1:21" x14ac:dyDescent="0.45">
      <c r="A155">
        <f t="shared" ca="1" si="21"/>
        <v>19</v>
      </c>
      <c r="B155">
        <v>0.32</v>
      </c>
      <c r="C155">
        <f t="shared" ca="1" si="22"/>
        <v>15.4</v>
      </c>
      <c r="D155">
        <v>41.43</v>
      </c>
      <c r="E155">
        <v>6884</v>
      </c>
      <c r="F155">
        <v>9.67</v>
      </c>
      <c r="G155">
        <v>12.93</v>
      </c>
      <c r="H155">
        <v>55.3</v>
      </c>
      <c r="I155">
        <v>11.92</v>
      </c>
      <c r="J155">
        <v>7.32</v>
      </c>
      <c r="K155">
        <f t="shared" ca="1" si="23"/>
        <v>0.19740056261303429</v>
      </c>
      <c r="M155">
        <f t="shared" ca="1" si="30"/>
        <v>23.302871780651465</v>
      </c>
      <c r="N155">
        <f t="shared" ca="1" si="24"/>
        <v>46.802871780651465</v>
      </c>
      <c r="O155">
        <f t="shared" ca="1" si="25"/>
        <v>19.742378295299098</v>
      </c>
      <c r="P155">
        <v>15.0857142857143</v>
      </c>
      <c r="Q155">
        <v>4.5</v>
      </c>
      <c r="R155">
        <f t="shared" ca="1" si="26"/>
        <v>19.2</v>
      </c>
      <c r="S155">
        <f t="shared" ca="1" si="27"/>
        <v>0.5423782952990942</v>
      </c>
      <c r="T155">
        <f t="shared" ca="1" si="28"/>
        <v>19.742378295299094</v>
      </c>
      <c r="U155">
        <f t="shared" ca="1" si="29"/>
        <v>46.802871780651465</v>
      </c>
    </row>
    <row r="156" spans="1:21" x14ac:dyDescent="0.45">
      <c r="A156">
        <f t="shared" ca="1" si="21"/>
        <v>21</v>
      </c>
      <c r="B156">
        <v>0.32</v>
      </c>
      <c r="C156">
        <f t="shared" ca="1" si="22"/>
        <v>15.3</v>
      </c>
      <c r="D156">
        <v>41.37</v>
      </c>
      <c r="E156">
        <v>6472</v>
      </c>
      <c r="F156">
        <v>8.7100000000000009</v>
      </c>
      <c r="G156">
        <v>11.48</v>
      </c>
      <c r="H156">
        <v>55.1</v>
      </c>
      <c r="I156">
        <v>12.4</v>
      </c>
      <c r="J156">
        <v>7.37</v>
      </c>
      <c r="K156">
        <f t="shared" ca="1" si="23"/>
        <v>0.22635758375584339</v>
      </c>
      <c r="M156">
        <f t="shared" ca="1" si="30"/>
        <v>22.221477701518147</v>
      </c>
      <c r="N156">
        <f t="shared" ca="1" si="24"/>
        <v>47.721477701518147</v>
      </c>
      <c r="O156">
        <f t="shared" ca="1" si="25"/>
        <v>19.236621416918027</v>
      </c>
      <c r="P156">
        <v>13.826086956521699</v>
      </c>
      <c r="Q156">
        <v>4.5</v>
      </c>
      <c r="R156">
        <f t="shared" ca="1" si="26"/>
        <v>19</v>
      </c>
      <c r="S156">
        <f t="shared" ca="1" si="27"/>
        <v>0.23662141691802718</v>
      </c>
      <c r="T156">
        <f t="shared" ca="1" si="28"/>
        <v>19.236621416918027</v>
      </c>
      <c r="U156">
        <f t="shared" ca="1" si="29"/>
        <v>47.721477701518147</v>
      </c>
    </row>
    <row r="157" spans="1:21" x14ac:dyDescent="0.45">
      <c r="A157">
        <f t="shared" ca="1" si="21"/>
        <v>16</v>
      </c>
      <c r="B157">
        <v>0.32</v>
      </c>
      <c r="C157">
        <f t="shared" ca="1" si="22"/>
        <v>16.2</v>
      </c>
      <c r="D157">
        <v>40.65</v>
      </c>
      <c r="E157">
        <v>6806</v>
      </c>
      <c r="F157">
        <v>8.7200000000000006</v>
      </c>
      <c r="G157">
        <v>11.21</v>
      </c>
      <c r="H157">
        <v>72.400000000000006</v>
      </c>
      <c r="I157">
        <v>11.97</v>
      </c>
      <c r="J157">
        <v>7.32</v>
      </c>
      <c r="K157">
        <f t="shared" ca="1" si="23"/>
        <v>0.17518515354771044</v>
      </c>
      <c r="M157">
        <f t="shared" ca="1" si="30"/>
        <v>26.543345174130899</v>
      </c>
      <c r="N157">
        <f t="shared" ca="1" si="24"/>
        <v>47.043345174130899</v>
      </c>
      <c r="O157">
        <f t="shared" ca="1" si="25"/>
        <v>20.661795975650602</v>
      </c>
      <c r="P157">
        <v>17.522222222222201</v>
      </c>
      <c r="Q157">
        <v>4.5</v>
      </c>
      <c r="R157">
        <f t="shared" ca="1" si="26"/>
        <v>20</v>
      </c>
      <c r="S157">
        <f t="shared" ca="1" si="27"/>
        <v>0.66179597565060133</v>
      </c>
      <c r="T157">
        <f t="shared" ca="1" si="28"/>
        <v>20.661795975650602</v>
      </c>
      <c r="U157">
        <f t="shared" ca="1" si="29"/>
        <v>47.043345174130899</v>
      </c>
    </row>
    <row r="158" spans="1:21" x14ac:dyDescent="0.45">
      <c r="A158">
        <f t="shared" ca="1" si="21"/>
        <v>16</v>
      </c>
      <c r="B158">
        <v>0.32</v>
      </c>
      <c r="C158">
        <f t="shared" ca="1" si="22"/>
        <v>15.3</v>
      </c>
      <c r="D158">
        <v>39.26</v>
      </c>
      <c r="E158">
        <v>6547</v>
      </c>
      <c r="F158">
        <v>13.25</v>
      </c>
      <c r="G158">
        <v>8.08</v>
      </c>
      <c r="H158">
        <v>65.209999999999994</v>
      </c>
      <c r="I158">
        <v>12.17</v>
      </c>
      <c r="J158">
        <v>7.19</v>
      </c>
      <c r="K158">
        <f t="shared" ca="1" si="23"/>
        <v>0.19782594976817611</v>
      </c>
      <c r="M158">
        <f t="shared" ca="1" si="30"/>
        <v>25.173643831033552</v>
      </c>
      <c r="N158">
        <f t="shared" ca="1" si="24"/>
        <v>45.673643831033552</v>
      </c>
      <c r="O158">
        <f t="shared" ca="1" si="25"/>
        <v>20.099118944748021</v>
      </c>
      <c r="P158">
        <v>12.249350649350699</v>
      </c>
      <c r="Q158">
        <v>4.5</v>
      </c>
      <c r="R158">
        <f t="shared" ca="1" si="26"/>
        <v>19.5</v>
      </c>
      <c r="S158">
        <f t="shared" ca="1" si="27"/>
        <v>0.59911894474802174</v>
      </c>
      <c r="T158">
        <f t="shared" ca="1" si="28"/>
        <v>20.099118944748021</v>
      </c>
      <c r="U158">
        <f t="shared" ca="1" si="29"/>
        <v>45.673643831033552</v>
      </c>
    </row>
    <row r="159" spans="1:21" x14ac:dyDescent="0.45">
      <c r="A159">
        <f t="shared" ca="1" si="21"/>
        <v>20</v>
      </c>
      <c r="B159">
        <v>0.32</v>
      </c>
      <c r="C159">
        <f t="shared" ca="1" si="22"/>
        <v>15.9</v>
      </c>
      <c r="D159">
        <v>41.154000000000003</v>
      </c>
      <c r="E159">
        <v>6458</v>
      </c>
      <c r="F159">
        <v>6.48</v>
      </c>
      <c r="G159">
        <v>5.79</v>
      </c>
      <c r="H159">
        <v>50.6</v>
      </c>
      <c r="I159">
        <v>12.6</v>
      </c>
      <c r="J159">
        <v>7.45</v>
      </c>
      <c r="K159">
        <f t="shared" ca="1" si="23"/>
        <v>0.23513018608338515</v>
      </c>
      <c r="M159">
        <f t="shared" ca="1" si="30"/>
        <v>21.902759853103824</v>
      </c>
      <c r="N159">
        <f t="shared" ca="1" si="24"/>
        <v>46.402759853103824</v>
      </c>
      <c r="O159">
        <f t="shared" ca="1" si="25"/>
        <v>20.559121979383477</v>
      </c>
      <c r="P159">
        <v>12.561038961038999</v>
      </c>
      <c r="Q159">
        <v>4.5</v>
      </c>
      <c r="R159">
        <f t="shared" ca="1" si="26"/>
        <v>19.8</v>
      </c>
      <c r="S159">
        <f t="shared" ca="1" si="27"/>
        <v>0.75912197938347592</v>
      </c>
      <c r="T159">
        <f t="shared" ca="1" si="28"/>
        <v>20.559121979383477</v>
      </c>
      <c r="U159">
        <f t="shared" ca="1" si="29"/>
        <v>46.402759853103824</v>
      </c>
    </row>
    <row r="160" spans="1:21" x14ac:dyDescent="0.45">
      <c r="A160">
        <f t="shared" ca="1" si="21"/>
        <v>16</v>
      </c>
      <c r="B160">
        <v>0.32</v>
      </c>
      <c r="C160">
        <f t="shared" ca="1" si="22"/>
        <v>14.8</v>
      </c>
      <c r="D160">
        <v>33.159999999999997</v>
      </c>
      <c r="E160">
        <v>4445</v>
      </c>
      <c r="F160">
        <v>4.53</v>
      </c>
      <c r="G160">
        <v>8.75</v>
      </c>
      <c r="H160">
        <v>53.8</v>
      </c>
      <c r="I160">
        <v>12.31</v>
      </c>
      <c r="J160">
        <v>7.19</v>
      </c>
      <c r="K160">
        <f t="shared" ca="1" si="23"/>
        <v>0.22291521900799219</v>
      </c>
      <c r="M160">
        <f t="shared" ca="1" si="30"/>
        <v>22.968373459581656</v>
      </c>
      <c r="N160">
        <f t="shared" ca="1" si="24"/>
        <v>43.468373459581656</v>
      </c>
      <c r="O160">
        <f t="shared" ca="1" si="25"/>
        <v>20.428645687092295</v>
      </c>
      <c r="P160">
        <v>11.569230769230799</v>
      </c>
      <c r="Q160">
        <v>4.5</v>
      </c>
      <c r="R160">
        <f t="shared" ca="1" si="26"/>
        <v>19.899999999999999</v>
      </c>
      <c r="S160">
        <f t="shared" ca="1" si="27"/>
        <v>0.52864568709229753</v>
      </c>
      <c r="T160">
        <f t="shared" ca="1" si="28"/>
        <v>20.428645687092295</v>
      </c>
      <c r="U160">
        <f t="shared" ca="1" si="29"/>
        <v>43.468373459581656</v>
      </c>
    </row>
    <row r="161" spans="1:21" x14ac:dyDescent="0.45">
      <c r="A161">
        <f t="shared" ca="1" si="21"/>
        <v>20</v>
      </c>
      <c r="B161">
        <v>0.32</v>
      </c>
      <c r="C161">
        <f t="shared" ca="1" si="22"/>
        <v>16.399999999999999</v>
      </c>
      <c r="D161">
        <v>32.75</v>
      </c>
      <c r="E161">
        <v>4562</v>
      </c>
      <c r="F161">
        <v>1.88</v>
      </c>
      <c r="G161">
        <v>8.39</v>
      </c>
      <c r="H161">
        <v>54.1</v>
      </c>
      <c r="I161">
        <v>11.56</v>
      </c>
      <c r="J161">
        <v>7.23</v>
      </c>
      <c r="K161">
        <f t="shared" ca="1" si="23"/>
        <v>0.1701726370852138</v>
      </c>
      <c r="M161">
        <f t="shared" ca="1" si="30"/>
        <v>25.444748780802854</v>
      </c>
      <c r="N161">
        <f t="shared" ca="1" si="24"/>
        <v>49.944748780802854</v>
      </c>
      <c r="O161">
        <f t="shared" ca="1" si="25"/>
        <v>19.701770937292562</v>
      </c>
      <c r="P161">
        <v>15.6</v>
      </c>
      <c r="Q161">
        <v>4.5</v>
      </c>
      <c r="R161">
        <f t="shared" ca="1" si="26"/>
        <v>19.600000000000001</v>
      </c>
      <c r="S161">
        <f t="shared" ca="1" si="27"/>
        <v>0.1017709372925637</v>
      </c>
      <c r="T161">
        <f t="shared" ca="1" si="28"/>
        <v>19.701770937292565</v>
      </c>
      <c r="U161">
        <f t="shared" ca="1" si="29"/>
        <v>49.944748780802854</v>
      </c>
    </row>
    <row r="162" spans="1:21" x14ac:dyDescent="0.45">
      <c r="A162">
        <f t="shared" ca="1" si="21"/>
        <v>18</v>
      </c>
      <c r="B162">
        <v>0.32</v>
      </c>
      <c r="C162">
        <f t="shared" ca="1" si="22"/>
        <v>15.2</v>
      </c>
      <c r="D162">
        <v>31.88</v>
      </c>
      <c r="E162">
        <v>4603</v>
      </c>
      <c r="F162">
        <v>5.91</v>
      </c>
      <c r="G162">
        <v>8.11</v>
      </c>
      <c r="H162">
        <v>52</v>
      </c>
      <c r="I162">
        <v>12.36</v>
      </c>
      <c r="J162">
        <v>7.19</v>
      </c>
      <c r="K162">
        <f t="shared" ca="1" si="23"/>
        <v>0.2337340400301442</v>
      </c>
      <c r="M162">
        <f t="shared" ca="1" si="30"/>
        <v>22.119157309449811</v>
      </c>
      <c r="N162">
        <f t="shared" ca="1" si="24"/>
        <v>44.619157309449811</v>
      </c>
      <c r="O162">
        <f t="shared" ca="1" si="25"/>
        <v>20.439650925609236</v>
      </c>
      <c r="P162">
        <v>13.4571428571429</v>
      </c>
      <c r="Q162">
        <v>4.5</v>
      </c>
      <c r="R162">
        <f t="shared" ca="1" si="26"/>
        <v>19.600000000000001</v>
      </c>
      <c r="S162">
        <f t="shared" ca="1" si="27"/>
        <v>0.83965092560923504</v>
      </c>
      <c r="T162">
        <f t="shared" ca="1" si="28"/>
        <v>20.439650925609236</v>
      </c>
      <c r="U162">
        <f t="shared" ca="1" si="29"/>
        <v>44.619157309449811</v>
      </c>
    </row>
    <row r="163" spans="1:21" x14ac:dyDescent="0.45">
      <c r="A163">
        <f t="shared" ca="1" si="21"/>
        <v>18</v>
      </c>
      <c r="B163">
        <v>0.32</v>
      </c>
      <c r="C163">
        <f t="shared" ca="1" si="22"/>
        <v>16.3</v>
      </c>
      <c r="D163">
        <v>40.31</v>
      </c>
      <c r="E163">
        <v>4599</v>
      </c>
      <c r="F163">
        <v>10.73</v>
      </c>
      <c r="G163">
        <v>3.06</v>
      </c>
      <c r="H163">
        <v>55.6</v>
      </c>
      <c r="I163">
        <v>11.44</v>
      </c>
      <c r="J163">
        <v>7.19</v>
      </c>
      <c r="K163">
        <f t="shared" si="23"/>
        <v>6.7460317460317443E-2</v>
      </c>
      <c r="M163">
        <v>63</v>
      </c>
      <c r="N163">
        <f t="shared" ca="1" si="24"/>
        <v>48.758857383301986</v>
      </c>
      <c r="O163">
        <f t="shared" ca="1" si="25"/>
        <v>20.057894144478603</v>
      </c>
      <c r="P163">
        <v>11.6022471910112</v>
      </c>
      <c r="Q163">
        <v>4.5</v>
      </c>
      <c r="R163">
        <f t="shared" ca="1" si="26"/>
        <v>19.5</v>
      </c>
      <c r="S163">
        <f t="shared" ca="1" si="27"/>
        <v>0.55789414447859731</v>
      </c>
      <c r="T163">
        <f t="shared" ca="1" si="28"/>
        <v>20.057894144478599</v>
      </c>
      <c r="U163">
        <f t="shared" ca="1" si="29"/>
        <v>48.758857383301986</v>
      </c>
    </row>
    <row r="164" spans="1:21" x14ac:dyDescent="0.45">
      <c r="A164">
        <f t="shared" ca="1" si="21"/>
        <v>16</v>
      </c>
      <c r="B164">
        <v>0.32</v>
      </c>
      <c r="C164">
        <f t="shared" ca="1" si="22"/>
        <v>15.9</v>
      </c>
      <c r="D164">
        <v>33.869999999999997</v>
      </c>
      <c r="E164">
        <v>4817</v>
      </c>
      <c r="F164">
        <v>2.33</v>
      </c>
      <c r="G164">
        <v>7.92</v>
      </c>
      <c r="H164">
        <v>57</v>
      </c>
      <c r="I164">
        <v>12.28</v>
      </c>
      <c r="J164">
        <v>7.23</v>
      </c>
      <c r="K164">
        <f t="shared" si="23"/>
        <v>0.11744186046511626</v>
      </c>
      <c r="M164">
        <v>43</v>
      </c>
      <c r="N164">
        <f t="shared" ca="1" si="24"/>
        <v>49.078227177633707</v>
      </c>
      <c r="O164">
        <f t="shared" ca="1" si="25"/>
        <v>19.438354946014922</v>
      </c>
      <c r="P164">
        <v>13.6782608695652</v>
      </c>
      <c r="Q164">
        <v>4.5</v>
      </c>
      <c r="R164">
        <f t="shared" ca="1" si="26"/>
        <v>19.399999999999999</v>
      </c>
      <c r="S164">
        <f t="shared" ca="1" si="27"/>
        <v>3.8354946014920621E-2</v>
      </c>
      <c r="T164">
        <f t="shared" ca="1" si="28"/>
        <v>19.438354946014918</v>
      </c>
      <c r="U164">
        <f t="shared" ca="1" si="29"/>
        <v>49.078227177633707</v>
      </c>
    </row>
    <row r="165" spans="1:21" x14ac:dyDescent="0.45">
      <c r="A165">
        <f t="shared" ca="1" si="21"/>
        <v>16</v>
      </c>
      <c r="B165">
        <v>0.32</v>
      </c>
      <c r="C165">
        <f t="shared" ca="1" si="22"/>
        <v>16.5</v>
      </c>
      <c r="D165">
        <v>32.450000000000003</v>
      </c>
      <c r="E165">
        <v>4736</v>
      </c>
      <c r="F165">
        <v>1.27</v>
      </c>
      <c r="G165">
        <v>6.21</v>
      </c>
      <c r="H165">
        <v>56</v>
      </c>
      <c r="I165">
        <v>12.29</v>
      </c>
      <c r="J165">
        <v>7.2</v>
      </c>
      <c r="K165">
        <f t="shared" si="23"/>
        <v>0.13756756756756755</v>
      </c>
      <c r="M165">
        <v>37</v>
      </c>
      <c r="N165">
        <f t="shared" ca="1" si="24"/>
        <v>48.404831687239721</v>
      </c>
      <c r="O165">
        <f t="shared" ca="1" si="25"/>
        <v>20.452503716916752</v>
      </c>
      <c r="P165">
        <v>17.95</v>
      </c>
      <c r="Q165">
        <v>4.5</v>
      </c>
      <c r="R165">
        <f t="shared" ca="1" si="26"/>
        <v>19.899999999999999</v>
      </c>
      <c r="S165">
        <f t="shared" ca="1" si="27"/>
        <v>0.55250371691675115</v>
      </c>
      <c r="T165">
        <f t="shared" ca="1" si="28"/>
        <v>20.452503716916748</v>
      </c>
      <c r="U165">
        <f t="shared" ca="1" si="29"/>
        <v>48.404831687239721</v>
      </c>
    </row>
    <row r="166" spans="1:21" x14ac:dyDescent="0.45">
      <c r="A166">
        <f t="shared" ca="1" si="21"/>
        <v>18</v>
      </c>
      <c r="B166">
        <v>0.32</v>
      </c>
      <c r="C166">
        <f t="shared" ca="1" si="22"/>
        <v>15.3</v>
      </c>
      <c r="D166">
        <v>36.479999999999997</v>
      </c>
      <c r="E166">
        <v>4813</v>
      </c>
      <c r="F166">
        <v>7.15</v>
      </c>
      <c r="G166">
        <v>7.52</v>
      </c>
      <c r="H166">
        <v>56</v>
      </c>
      <c r="I166">
        <v>12.22</v>
      </c>
      <c r="J166">
        <v>7.22</v>
      </c>
      <c r="K166">
        <f t="shared" si="23"/>
        <v>0.12820512820512822</v>
      </c>
      <c r="M166">
        <v>39</v>
      </c>
      <c r="N166">
        <f t="shared" ca="1" si="24"/>
        <v>44.626280168823456</v>
      </c>
      <c r="O166">
        <f t="shared" ca="1" si="25"/>
        <v>20.570838450508536</v>
      </c>
      <c r="P166">
        <v>17.390322580645201</v>
      </c>
      <c r="Q166">
        <v>4.5</v>
      </c>
      <c r="R166">
        <f t="shared" ca="1" si="26"/>
        <v>20</v>
      </c>
      <c r="S166">
        <f t="shared" ca="1" si="27"/>
        <v>0.57083845050853088</v>
      </c>
      <c r="T166">
        <f t="shared" ca="1" si="28"/>
        <v>20.570838450508532</v>
      </c>
      <c r="U166">
        <f t="shared" ca="1" si="29"/>
        <v>44.626280168823456</v>
      </c>
    </row>
    <row r="167" spans="1:21" x14ac:dyDescent="0.45">
      <c r="A167">
        <f t="shared" ca="1" si="21"/>
        <v>19</v>
      </c>
      <c r="B167">
        <v>0.32</v>
      </c>
      <c r="C167">
        <f t="shared" ca="1" si="22"/>
        <v>16.5</v>
      </c>
      <c r="D167">
        <v>34.43</v>
      </c>
      <c r="E167">
        <v>7524</v>
      </c>
      <c r="F167">
        <v>11.23</v>
      </c>
      <c r="G167">
        <v>11.96</v>
      </c>
      <c r="H167">
        <v>57</v>
      </c>
      <c r="I167">
        <v>12.35</v>
      </c>
      <c r="J167">
        <v>7.23</v>
      </c>
      <c r="K167">
        <f t="shared" si="23"/>
        <v>0.14222222222222219</v>
      </c>
      <c r="M167">
        <v>36</v>
      </c>
      <c r="N167">
        <f t="shared" ca="1" si="24"/>
        <v>49.214660181340633</v>
      </c>
      <c r="O167">
        <f t="shared" ca="1" si="25"/>
        <v>20.11595724428777</v>
      </c>
      <c r="P167">
        <v>15.85</v>
      </c>
      <c r="Q167">
        <v>4.5</v>
      </c>
      <c r="R167">
        <f t="shared" ca="1" si="26"/>
        <v>19.7</v>
      </c>
      <c r="S167">
        <f t="shared" ca="1" si="27"/>
        <v>0.41595724428777003</v>
      </c>
      <c r="T167">
        <f t="shared" ca="1" si="28"/>
        <v>20.11595724428777</v>
      </c>
      <c r="U167">
        <f t="shared" ca="1" si="29"/>
        <v>49.214660181340633</v>
      </c>
    </row>
    <row r="168" spans="1:21" x14ac:dyDescent="0.45">
      <c r="A168">
        <f t="shared" ca="1" si="21"/>
        <v>21</v>
      </c>
      <c r="B168">
        <v>0.32</v>
      </c>
      <c r="C168">
        <f t="shared" ca="1" si="22"/>
        <v>15.5</v>
      </c>
      <c r="D168">
        <v>32.270000000000003</v>
      </c>
      <c r="E168">
        <v>7245</v>
      </c>
      <c r="F168">
        <v>12.99</v>
      </c>
      <c r="G168">
        <v>13.08</v>
      </c>
      <c r="H168">
        <v>52</v>
      </c>
      <c r="I168">
        <v>11.56</v>
      </c>
      <c r="J168">
        <v>7.1</v>
      </c>
      <c r="K168">
        <f t="shared" si="23"/>
        <v>0.24777777777777782</v>
      </c>
      <c r="M168">
        <v>18</v>
      </c>
      <c r="N168">
        <f t="shared" ca="1" si="24"/>
        <v>48.151366298925012</v>
      </c>
      <c r="O168">
        <f t="shared" ca="1" si="25"/>
        <v>19.314093690021885</v>
      </c>
      <c r="P168">
        <v>23.571428571428601</v>
      </c>
      <c r="Q168">
        <v>4.5</v>
      </c>
      <c r="R168">
        <f t="shared" ca="1" si="26"/>
        <v>19</v>
      </c>
      <c r="S168">
        <f t="shared" ca="1" si="27"/>
        <v>0.31409369002188448</v>
      </c>
      <c r="T168">
        <f t="shared" ca="1" si="28"/>
        <v>19.314093690021885</v>
      </c>
      <c r="U168">
        <f t="shared" ca="1" si="29"/>
        <v>48.151366298925012</v>
      </c>
    </row>
    <row r="169" spans="1:21" x14ac:dyDescent="0.45">
      <c r="A169">
        <f t="shared" ca="1" si="21"/>
        <v>17</v>
      </c>
      <c r="B169">
        <v>0.32</v>
      </c>
      <c r="C169">
        <f t="shared" ca="1" si="22"/>
        <v>16</v>
      </c>
      <c r="D169">
        <v>31.36</v>
      </c>
      <c r="E169">
        <v>7549</v>
      </c>
      <c r="F169">
        <v>13.49</v>
      </c>
      <c r="G169">
        <v>13.24</v>
      </c>
      <c r="H169">
        <v>58.3</v>
      </c>
      <c r="I169">
        <v>12.07</v>
      </c>
      <c r="J169">
        <v>7</v>
      </c>
      <c r="K169">
        <f t="shared" si="23"/>
        <v>0.23045454545454547</v>
      </c>
      <c r="M169">
        <v>22</v>
      </c>
      <c r="N169">
        <f t="shared" ca="1" si="24"/>
        <v>47.450907873427091</v>
      </c>
      <c r="O169">
        <f t="shared" ca="1" si="25"/>
        <v>20.231435878123801</v>
      </c>
      <c r="P169">
        <v>19.4204081632653</v>
      </c>
      <c r="Q169">
        <v>4.5</v>
      </c>
      <c r="R169">
        <f t="shared" ca="1" si="26"/>
        <v>20</v>
      </c>
      <c r="S169">
        <f t="shared" ca="1" si="27"/>
        <v>0.23143587812380051</v>
      </c>
      <c r="T169">
        <f t="shared" ca="1" si="28"/>
        <v>20.231435878123801</v>
      </c>
      <c r="U169">
        <f t="shared" ca="1" si="29"/>
        <v>47.450907873427091</v>
      </c>
    </row>
    <row r="170" spans="1:21" x14ac:dyDescent="0.45">
      <c r="A170">
        <f t="shared" ca="1" si="21"/>
        <v>20</v>
      </c>
      <c r="B170">
        <v>0.32</v>
      </c>
      <c r="C170">
        <f t="shared" ca="1" si="22"/>
        <v>16.2</v>
      </c>
      <c r="D170">
        <v>31.39</v>
      </c>
      <c r="E170">
        <v>8264</v>
      </c>
      <c r="F170">
        <v>11.5</v>
      </c>
      <c r="G170">
        <v>10.26</v>
      </c>
      <c r="H170">
        <v>54.2</v>
      </c>
      <c r="I170">
        <v>12.81</v>
      </c>
      <c r="J170">
        <v>7.2</v>
      </c>
      <c r="K170">
        <f t="shared" si="23"/>
        <v>0.1275</v>
      </c>
      <c r="M170">
        <v>44</v>
      </c>
      <c r="N170">
        <f t="shared" ca="1" si="24"/>
        <v>47.233298855441099</v>
      </c>
      <c r="O170">
        <f t="shared" ca="1" si="25"/>
        <v>20.578702389067395</v>
      </c>
      <c r="P170">
        <v>14.52</v>
      </c>
      <c r="Q170">
        <v>4.5</v>
      </c>
      <c r="R170">
        <f t="shared" ca="1" si="26"/>
        <v>19.600000000000001</v>
      </c>
      <c r="S170">
        <f t="shared" ca="1" si="27"/>
        <v>0.97870238906739504</v>
      </c>
      <c r="T170">
        <f t="shared" ca="1" si="28"/>
        <v>20.578702389067395</v>
      </c>
      <c r="U170">
        <f t="shared" ca="1" si="29"/>
        <v>47.233298855441099</v>
      </c>
    </row>
    <row r="171" spans="1:21" x14ac:dyDescent="0.45">
      <c r="A171">
        <f t="shared" ca="1" si="21"/>
        <v>20</v>
      </c>
      <c r="B171">
        <v>0.32</v>
      </c>
      <c r="C171">
        <f t="shared" ca="1" si="22"/>
        <v>16.100000000000001</v>
      </c>
      <c r="D171">
        <v>31.97</v>
      </c>
      <c r="E171">
        <v>7814</v>
      </c>
      <c r="F171">
        <v>12.21</v>
      </c>
      <c r="G171">
        <v>8.3000000000000007</v>
      </c>
      <c r="H171">
        <v>54.6</v>
      </c>
      <c r="I171">
        <v>11.26</v>
      </c>
      <c r="J171">
        <v>7.2</v>
      </c>
      <c r="K171">
        <f t="shared" si="23"/>
        <v>9.441860465116278E-2</v>
      </c>
      <c r="M171">
        <v>43</v>
      </c>
      <c r="N171">
        <f t="shared" ca="1" si="24"/>
        <v>48.959820240759996</v>
      </c>
      <c r="O171">
        <f t="shared" ca="1" si="25"/>
        <v>19.730464598311297</v>
      </c>
      <c r="P171">
        <v>14.464615384615399</v>
      </c>
      <c r="Q171">
        <v>4.5</v>
      </c>
      <c r="R171">
        <f t="shared" ca="1" si="26"/>
        <v>19.2</v>
      </c>
      <c r="S171">
        <f t="shared" ca="1" si="27"/>
        <v>0.53046459831130088</v>
      </c>
      <c r="T171">
        <f t="shared" ca="1" si="28"/>
        <v>19.730464598311301</v>
      </c>
      <c r="U171">
        <f t="shared" ca="1" si="29"/>
        <v>48.959820240759996</v>
      </c>
    </row>
    <row r="172" spans="1:21" x14ac:dyDescent="0.45">
      <c r="A172">
        <f t="shared" ca="1" si="21"/>
        <v>18</v>
      </c>
      <c r="B172">
        <v>0.32</v>
      </c>
      <c r="C172">
        <f t="shared" ca="1" si="22"/>
        <v>14.6</v>
      </c>
      <c r="D172">
        <v>32.270000000000003</v>
      </c>
      <c r="E172">
        <v>7245</v>
      </c>
      <c r="F172">
        <v>12.99</v>
      </c>
      <c r="G172">
        <v>13.08</v>
      </c>
      <c r="H172">
        <v>52</v>
      </c>
      <c r="I172">
        <v>11.56</v>
      </c>
      <c r="J172">
        <v>7.1</v>
      </c>
      <c r="K172">
        <f t="shared" si="23"/>
        <v>0.24777777777777782</v>
      </c>
      <c r="M172">
        <v>18</v>
      </c>
      <c r="N172">
        <f t="shared" ca="1" si="24"/>
        <v>43.753640326187821</v>
      </c>
      <c r="O172">
        <f t="shared" ca="1" si="25"/>
        <v>20.02119123047434</v>
      </c>
      <c r="P172">
        <v>23.571428571428601</v>
      </c>
      <c r="Q172">
        <v>4.5</v>
      </c>
      <c r="R172">
        <f t="shared" ca="1" si="26"/>
        <v>19.7</v>
      </c>
      <c r="S172">
        <f t="shared" ca="1" si="27"/>
        <v>0.32119123047434006</v>
      </c>
      <c r="T172">
        <f t="shared" ca="1" si="28"/>
        <v>20.02119123047434</v>
      </c>
      <c r="U172">
        <f t="shared" ca="1" si="29"/>
        <v>43.753640326187821</v>
      </c>
    </row>
    <row r="173" spans="1:21" x14ac:dyDescent="0.45">
      <c r="A173">
        <f t="shared" ca="1" si="21"/>
        <v>19</v>
      </c>
      <c r="B173">
        <v>0.32</v>
      </c>
      <c r="C173">
        <f t="shared" ca="1" si="22"/>
        <v>14.8</v>
      </c>
      <c r="D173">
        <v>31.36</v>
      </c>
      <c r="E173">
        <v>7549</v>
      </c>
      <c r="F173">
        <v>13.49</v>
      </c>
      <c r="G173">
        <v>13.24</v>
      </c>
      <c r="H173">
        <v>58.3</v>
      </c>
      <c r="I173">
        <v>12.07</v>
      </c>
      <c r="J173">
        <v>7</v>
      </c>
      <c r="K173">
        <f t="shared" si="23"/>
        <v>0.23045454545454547</v>
      </c>
      <c r="M173">
        <v>22</v>
      </c>
      <c r="N173">
        <f t="shared" ca="1" si="24"/>
        <v>45.731122845378358</v>
      </c>
      <c r="O173">
        <f t="shared" ca="1" si="25"/>
        <v>19.417848168793487</v>
      </c>
      <c r="P173">
        <v>19.4204081632653</v>
      </c>
      <c r="Q173">
        <v>4.5</v>
      </c>
      <c r="R173">
        <f t="shared" ca="1" si="26"/>
        <v>19.3</v>
      </c>
      <c r="S173">
        <f t="shared" ca="1" si="27"/>
        <v>0.11784816879348092</v>
      </c>
      <c r="T173">
        <f t="shared" ca="1" si="28"/>
        <v>19.417848168793483</v>
      </c>
      <c r="U173">
        <f t="shared" ca="1" si="29"/>
        <v>45.731122845378358</v>
      </c>
    </row>
    <row r="174" spans="1:21" x14ac:dyDescent="0.45">
      <c r="A174">
        <f t="shared" ca="1" si="21"/>
        <v>19</v>
      </c>
      <c r="B174">
        <v>0.32</v>
      </c>
      <c r="C174">
        <f t="shared" ca="1" si="22"/>
        <v>16.100000000000001</v>
      </c>
      <c r="D174">
        <v>31.98</v>
      </c>
      <c r="E174">
        <v>9320</v>
      </c>
      <c r="F174">
        <v>12.91</v>
      </c>
      <c r="G174">
        <v>12.34</v>
      </c>
      <c r="H174">
        <v>51</v>
      </c>
      <c r="I174">
        <v>11.63</v>
      </c>
      <c r="J174">
        <v>7.33</v>
      </c>
      <c r="K174">
        <f t="shared" si="23"/>
        <v>0.17200000000000004</v>
      </c>
      <c r="M174">
        <v>25</v>
      </c>
      <c r="N174">
        <f t="shared" ca="1" si="24"/>
        <v>46.248457242208296</v>
      </c>
      <c r="O174">
        <f t="shared" ca="1" si="25"/>
        <v>20.887183218695295</v>
      </c>
      <c r="P174">
        <v>18.4352941176471</v>
      </c>
      <c r="Q174">
        <v>4.5</v>
      </c>
      <c r="R174">
        <f t="shared" ca="1" si="26"/>
        <v>20</v>
      </c>
      <c r="S174">
        <f t="shared" ca="1" si="27"/>
        <v>0.88718321869529815</v>
      </c>
      <c r="T174">
        <f t="shared" ca="1" si="28"/>
        <v>20.887183218695299</v>
      </c>
      <c r="U174">
        <f t="shared" ca="1" si="29"/>
        <v>46.248457242208296</v>
      </c>
    </row>
    <row r="175" spans="1:21" x14ac:dyDescent="0.45">
      <c r="A175">
        <f t="shared" ca="1" si="21"/>
        <v>21</v>
      </c>
      <c r="B175">
        <v>0.33</v>
      </c>
      <c r="C175">
        <f t="shared" ca="1" si="22"/>
        <v>15.1</v>
      </c>
      <c r="D175">
        <v>27.95</v>
      </c>
      <c r="E175">
        <v>6074</v>
      </c>
      <c r="F175">
        <v>12.61</v>
      </c>
      <c r="G175">
        <v>8.5</v>
      </c>
      <c r="H175">
        <v>70.8</v>
      </c>
      <c r="I175">
        <v>12.04</v>
      </c>
      <c r="J175">
        <v>7.24</v>
      </c>
      <c r="K175">
        <f t="shared" ca="1" si="23"/>
        <v>0.23522902605008073</v>
      </c>
      <c r="M175">
        <f t="shared" ref="M175:M197" ca="1" si="31">N175-A175-Q175</f>
        <v>20.405645003087628</v>
      </c>
      <c r="N175">
        <f t="shared" ca="1" si="24"/>
        <v>45.905645003087628</v>
      </c>
      <c r="O175">
        <f t="shared" ca="1" si="25"/>
        <v>19.736134846576324</v>
      </c>
      <c r="P175">
        <v>9.5766990291262104</v>
      </c>
      <c r="Q175">
        <v>4.5</v>
      </c>
      <c r="R175">
        <f t="shared" ca="1" si="26"/>
        <v>19</v>
      </c>
      <c r="S175">
        <f t="shared" ca="1" si="27"/>
        <v>0.736134846576323</v>
      </c>
      <c r="T175">
        <f t="shared" ca="1" si="28"/>
        <v>19.736134846576324</v>
      </c>
      <c r="U175">
        <f t="shared" ca="1" si="29"/>
        <v>45.905645003087628</v>
      </c>
    </row>
    <row r="176" spans="1:21" x14ac:dyDescent="0.45">
      <c r="A176">
        <f t="shared" ca="1" si="21"/>
        <v>22</v>
      </c>
      <c r="B176">
        <v>0.33</v>
      </c>
      <c r="C176">
        <f t="shared" ca="1" si="22"/>
        <v>16.100000000000001</v>
      </c>
      <c r="D176">
        <v>35.89</v>
      </c>
      <c r="E176">
        <v>6262</v>
      </c>
      <c r="F176">
        <v>8.5299999999999994</v>
      </c>
      <c r="G176">
        <v>6.87</v>
      </c>
      <c r="H176">
        <v>61.5</v>
      </c>
      <c r="I176">
        <v>12.8</v>
      </c>
      <c r="J176">
        <v>7.37</v>
      </c>
      <c r="K176">
        <f t="shared" ca="1" si="23"/>
        <v>0.26734328936282803</v>
      </c>
      <c r="M176">
        <f t="shared" ca="1" si="31"/>
        <v>20.310964277209195</v>
      </c>
      <c r="N176">
        <f t="shared" ca="1" si="24"/>
        <v>46.810964277209195</v>
      </c>
      <c r="O176">
        <f t="shared" ca="1" si="25"/>
        <v>20.636191006010009</v>
      </c>
      <c r="P176">
        <v>9.8096385542168694</v>
      </c>
      <c r="Q176">
        <v>4.5</v>
      </c>
      <c r="R176">
        <f t="shared" ca="1" si="26"/>
        <v>19.7</v>
      </c>
      <c r="S176">
        <f t="shared" ca="1" si="27"/>
        <v>0.93619100601001071</v>
      </c>
      <c r="T176">
        <f t="shared" ca="1" si="28"/>
        <v>20.636191006010009</v>
      </c>
      <c r="U176">
        <f t="shared" ca="1" si="29"/>
        <v>46.810964277209195</v>
      </c>
    </row>
    <row r="177" spans="1:21" x14ac:dyDescent="0.45">
      <c r="A177">
        <f t="shared" ca="1" si="21"/>
        <v>20</v>
      </c>
      <c r="B177">
        <v>0.33</v>
      </c>
      <c r="C177">
        <f t="shared" ca="1" si="22"/>
        <v>15.2</v>
      </c>
      <c r="D177">
        <v>51.31</v>
      </c>
      <c r="E177">
        <v>6427</v>
      </c>
      <c r="F177">
        <v>12.02</v>
      </c>
      <c r="G177">
        <v>0.14000000000000001</v>
      </c>
      <c r="H177">
        <v>60.38</v>
      </c>
      <c r="I177">
        <v>12.31</v>
      </c>
      <c r="J177">
        <v>7.25</v>
      </c>
      <c r="K177">
        <f t="shared" ca="1" si="23"/>
        <v>0.26629614333386192</v>
      </c>
      <c r="M177">
        <f t="shared" ca="1" si="31"/>
        <v>19.001401735120723</v>
      </c>
      <c r="N177">
        <f t="shared" ca="1" si="24"/>
        <v>43.501401735120723</v>
      </c>
      <c r="O177">
        <f t="shared" ca="1" si="25"/>
        <v>20.964841674600557</v>
      </c>
      <c r="P177">
        <v>11.071232876712299</v>
      </c>
      <c r="Q177">
        <v>4.5</v>
      </c>
      <c r="R177">
        <f t="shared" ca="1" si="26"/>
        <v>20</v>
      </c>
      <c r="S177">
        <f t="shared" ca="1" si="27"/>
        <v>0.96484167460055925</v>
      </c>
      <c r="T177">
        <f t="shared" ca="1" si="28"/>
        <v>20.96484167460056</v>
      </c>
      <c r="U177">
        <f t="shared" ca="1" si="29"/>
        <v>43.501401735120723</v>
      </c>
    </row>
    <row r="178" spans="1:21" x14ac:dyDescent="0.45">
      <c r="A178">
        <f t="shared" ca="1" si="21"/>
        <v>16</v>
      </c>
      <c r="B178">
        <v>0.33</v>
      </c>
      <c r="C178">
        <f t="shared" ca="1" si="22"/>
        <v>15.3</v>
      </c>
      <c r="D178">
        <v>39</v>
      </c>
      <c r="E178">
        <v>6472</v>
      </c>
      <c r="H178">
        <v>52.4</v>
      </c>
      <c r="I178">
        <v>12.38</v>
      </c>
      <c r="J178">
        <v>7.34</v>
      </c>
      <c r="K178">
        <f t="shared" ca="1" si="23"/>
        <v>0.20288709981417793</v>
      </c>
      <c r="M178">
        <f t="shared" ca="1" si="31"/>
        <v>24.841401965014441</v>
      </c>
      <c r="N178">
        <f t="shared" ca="1" si="24"/>
        <v>45.341401965014441</v>
      </c>
      <c r="O178">
        <f t="shared" ca="1" si="25"/>
        <v>20.246396454797129</v>
      </c>
      <c r="P178">
        <v>12.9428571428571</v>
      </c>
      <c r="Q178">
        <v>4.5</v>
      </c>
      <c r="R178">
        <f t="shared" ca="1" si="26"/>
        <v>19.899999999999999</v>
      </c>
      <c r="S178">
        <f t="shared" ca="1" si="27"/>
        <v>0.34639645479712966</v>
      </c>
      <c r="T178">
        <f t="shared" ca="1" si="28"/>
        <v>20.246396454797129</v>
      </c>
      <c r="U178">
        <f t="shared" ca="1" si="29"/>
        <v>45.341401965014441</v>
      </c>
    </row>
    <row r="179" spans="1:21" x14ac:dyDescent="0.45">
      <c r="A179">
        <f t="shared" ca="1" si="21"/>
        <v>18</v>
      </c>
      <c r="B179">
        <v>0.33</v>
      </c>
      <c r="C179">
        <f t="shared" ca="1" si="22"/>
        <v>15.2</v>
      </c>
      <c r="D179">
        <v>38.840000000000003</v>
      </c>
      <c r="E179">
        <v>6424</v>
      </c>
      <c r="F179">
        <v>10.039999999999999</v>
      </c>
      <c r="G179">
        <v>9.27</v>
      </c>
      <c r="H179">
        <v>59.82</v>
      </c>
      <c r="I179">
        <v>12.74</v>
      </c>
      <c r="J179">
        <v>7.03</v>
      </c>
      <c r="K179">
        <f t="shared" ca="1" si="23"/>
        <v>0.24068811800534112</v>
      </c>
      <c r="M179">
        <f t="shared" ca="1" si="31"/>
        <v>23.723647213333933</v>
      </c>
      <c r="N179">
        <f t="shared" ca="1" si="24"/>
        <v>46.223647213333933</v>
      </c>
      <c r="O179">
        <f t="shared" ca="1" si="25"/>
        <v>19.730160966980542</v>
      </c>
      <c r="P179">
        <v>13.9058823529412</v>
      </c>
      <c r="Q179">
        <v>4.5</v>
      </c>
      <c r="R179">
        <f t="shared" ca="1" si="26"/>
        <v>19.399999999999999</v>
      </c>
      <c r="S179">
        <f t="shared" ca="1" si="27"/>
        <v>0.3301609669805442</v>
      </c>
      <c r="T179">
        <f t="shared" ca="1" si="28"/>
        <v>19.730160966980542</v>
      </c>
      <c r="U179">
        <f t="shared" ca="1" si="29"/>
        <v>46.223647213333933</v>
      </c>
    </row>
    <row r="180" spans="1:21" x14ac:dyDescent="0.45">
      <c r="A180">
        <f t="shared" ca="1" si="21"/>
        <v>17</v>
      </c>
      <c r="B180">
        <v>0.33</v>
      </c>
      <c r="C180">
        <f t="shared" ca="1" si="22"/>
        <v>16.399999999999999</v>
      </c>
      <c r="D180">
        <v>30.27</v>
      </c>
      <c r="E180">
        <v>6482</v>
      </c>
      <c r="F180">
        <v>9.75</v>
      </c>
      <c r="G180">
        <v>0.11</v>
      </c>
      <c r="H180">
        <v>50.6</v>
      </c>
      <c r="I180">
        <v>13.29</v>
      </c>
      <c r="J180">
        <v>7.33</v>
      </c>
      <c r="K180">
        <f t="shared" ca="1" si="23"/>
        <v>0.2044175470690355</v>
      </c>
      <c r="M180">
        <f t="shared" ca="1" si="31"/>
        <v>29.156009772425257</v>
      </c>
      <c r="N180">
        <f t="shared" ca="1" si="24"/>
        <v>50.656009772425257</v>
      </c>
      <c r="O180">
        <f t="shared" ca="1" si="25"/>
        <v>19.425138387738606</v>
      </c>
      <c r="P180">
        <v>10.953488372093</v>
      </c>
      <c r="Q180">
        <v>4.5</v>
      </c>
      <c r="R180">
        <f t="shared" ca="1" si="26"/>
        <v>19.399999999999999</v>
      </c>
      <c r="S180">
        <f t="shared" ca="1" si="27"/>
        <v>2.513838773860877E-2</v>
      </c>
      <c r="T180">
        <f t="shared" ca="1" si="28"/>
        <v>19.425138387738606</v>
      </c>
      <c r="U180">
        <f t="shared" ca="1" si="29"/>
        <v>50.656009772425257</v>
      </c>
    </row>
    <row r="181" spans="1:21" x14ac:dyDescent="0.45">
      <c r="A181">
        <f t="shared" ca="1" si="21"/>
        <v>20</v>
      </c>
      <c r="B181">
        <v>0.33</v>
      </c>
      <c r="C181">
        <f t="shared" ca="1" si="22"/>
        <v>14.8</v>
      </c>
      <c r="D181">
        <v>42.07</v>
      </c>
      <c r="E181">
        <v>6738</v>
      </c>
      <c r="F181">
        <v>11.15</v>
      </c>
      <c r="G181">
        <v>9.73</v>
      </c>
      <c r="H181">
        <v>53.3</v>
      </c>
      <c r="I181">
        <v>11.69</v>
      </c>
      <c r="J181">
        <v>7.34</v>
      </c>
      <c r="K181">
        <f t="shared" ca="1" si="23"/>
        <v>0.23982291942552275</v>
      </c>
      <c r="M181">
        <f t="shared" ca="1" si="31"/>
        <v>18.138383147115746</v>
      </c>
      <c r="N181">
        <f t="shared" ca="1" si="24"/>
        <v>42.638383147115746</v>
      </c>
      <c r="O181">
        <f t="shared" ca="1" si="25"/>
        <v>20.826305653667085</v>
      </c>
      <c r="P181">
        <v>14.185074626865701</v>
      </c>
      <c r="Q181">
        <v>4.5</v>
      </c>
      <c r="R181">
        <f t="shared" ca="1" si="26"/>
        <v>20</v>
      </c>
      <c r="S181">
        <f t="shared" ca="1" si="27"/>
        <v>0.82630565366708453</v>
      </c>
      <c r="T181">
        <f t="shared" ca="1" si="28"/>
        <v>20.826305653667085</v>
      </c>
      <c r="U181">
        <f t="shared" ca="1" si="29"/>
        <v>42.638383147115746</v>
      </c>
    </row>
    <row r="182" spans="1:21" x14ac:dyDescent="0.45">
      <c r="A182">
        <f t="shared" ca="1" si="21"/>
        <v>20</v>
      </c>
      <c r="B182">
        <v>0.33</v>
      </c>
      <c r="C182">
        <f t="shared" ca="1" si="22"/>
        <v>15.3</v>
      </c>
      <c r="D182">
        <v>39.409999999999997</v>
      </c>
      <c r="E182">
        <v>6514</v>
      </c>
      <c r="F182">
        <v>9.6</v>
      </c>
      <c r="G182">
        <v>7.91</v>
      </c>
      <c r="H182">
        <v>62.5</v>
      </c>
      <c r="I182">
        <v>11.68</v>
      </c>
      <c r="J182">
        <v>7.14</v>
      </c>
      <c r="K182">
        <f t="shared" ca="1" si="23"/>
        <v>0.20974871293311767</v>
      </c>
      <c r="M182">
        <f t="shared" ca="1" si="31"/>
        <v>21.644948073877643</v>
      </c>
      <c r="N182">
        <f t="shared" ca="1" si="24"/>
        <v>46.144948073877643</v>
      </c>
      <c r="O182">
        <f t="shared" ca="1" si="25"/>
        <v>19.893835366989478</v>
      </c>
      <c r="P182">
        <v>13.192682926829301</v>
      </c>
      <c r="Q182">
        <v>4.5</v>
      </c>
      <c r="R182">
        <f t="shared" ca="1" si="26"/>
        <v>19.600000000000001</v>
      </c>
      <c r="S182">
        <f t="shared" ca="1" si="27"/>
        <v>0.2938353669894751</v>
      </c>
      <c r="T182">
        <f t="shared" ca="1" si="28"/>
        <v>19.893835366989478</v>
      </c>
      <c r="U182">
        <f t="shared" ca="1" si="29"/>
        <v>46.144948073877643</v>
      </c>
    </row>
    <row r="183" spans="1:21" x14ac:dyDescent="0.45">
      <c r="A183">
        <f t="shared" ca="1" si="21"/>
        <v>18</v>
      </c>
      <c r="B183">
        <v>0.33</v>
      </c>
      <c r="C183">
        <f t="shared" ca="1" si="22"/>
        <v>14.5</v>
      </c>
      <c r="D183">
        <v>40.369999999999997</v>
      </c>
      <c r="E183">
        <v>6391</v>
      </c>
      <c r="F183">
        <v>12.83</v>
      </c>
      <c r="G183">
        <v>11.8</v>
      </c>
      <c r="H183">
        <v>52.8</v>
      </c>
      <c r="I183">
        <v>12.84</v>
      </c>
      <c r="J183">
        <v>7.16</v>
      </c>
      <c r="K183">
        <f t="shared" ca="1" si="23"/>
        <v>0.2563693937306798</v>
      </c>
      <c r="M183">
        <f t="shared" ca="1" si="31"/>
        <v>22.155530803988761</v>
      </c>
      <c r="N183">
        <f t="shared" ca="1" si="24"/>
        <v>44.655530803988761</v>
      </c>
      <c r="O183">
        <f t="shared" ca="1" si="25"/>
        <v>19.482469121658927</v>
      </c>
      <c r="P183">
        <v>11.2357142857143</v>
      </c>
      <c r="Q183">
        <v>4.5</v>
      </c>
      <c r="R183">
        <f t="shared" ca="1" si="26"/>
        <v>19.100000000000001</v>
      </c>
      <c r="S183">
        <f t="shared" ca="1" si="27"/>
        <v>0.38246912165892433</v>
      </c>
      <c r="T183">
        <f t="shared" ca="1" si="28"/>
        <v>19.482469121658927</v>
      </c>
      <c r="U183">
        <f t="shared" ca="1" si="29"/>
        <v>44.655530803988761</v>
      </c>
    </row>
    <row r="184" spans="1:21" x14ac:dyDescent="0.45">
      <c r="A184">
        <f t="shared" ca="1" si="21"/>
        <v>22</v>
      </c>
      <c r="B184">
        <v>0.33</v>
      </c>
      <c r="C184">
        <f t="shared" ca="1" si="22"/>
        <v>15.6</v>
      </c>
      <c r="D184">
        <v>45.03</v>
      </c>
      <c r="E184">
        <v>6345</v>
      </c>
      <c r="F184">
        <v>8.6</v>
      </c>
      <c r="G184">
        <v>9.36</v>
      </c>
      <c r="H184">
        <v>62.45</v>
      </c>
      <c r="I184">
        <v>12.5</v>
      </c>
      <c r="J184">
        <v>7</v>
      </c>
      <c r="K184">
        <f t="shared" ca="1" si="23"/>
        <v>0.26622559809277713</v>
      </c>
      <c r="M184">
        <f t="shared" ca="1" si="31"/>
        <v>20.659170415623599</v>
      </c>
      <c r="N184">
        <f t="shared" ca="1" si="24"/>
        <v>47.159170415623599</v>
      </c>
      <c r="O184">
        <f t="shared" ca="1" si="25"/>
        <v>19.847677381744354</v>
      </c>
      <c r="P184">
        <v>4.6735294117647097</v>
      </c>
      <c r="Q184">
        <v>4.5</v>
      </c>
      <c r="R184">
        <f t="shared" ca="1" si="26"/>
        <v>19.8</v>
      </c>
      <c r="S184">
        <f t="shared" ca="1" si="27"/>
        <v>4.7677381744354763E-2</v>
      </c>
      <c r="T184">
        <f t="shared" ca="1" si="28"/>
        <v>19.847677381744354</v>
      </c>
      <c r="U184">
        <f t="shared" ca="1" si="29"/>
        <v>47.159170415623599</v>
      </c>
    </row>
    <row r="185" spans="1:21" x14ac:dyDescent="0.45">
      <c r="A185">
        <f t="shared" ca="1" si="21"/>
        <v>18</v>
      </c>
      <c r="B185">
        <v>0.33</v>
      </c>
      <c r="C185">
        <f t="shared" ca="1" si="22"/>
        <v>16.399999999999999</v>
      </c>
      <c r="D185">
        <v>32.94</v>
      </c>
      <c r="E185">
        <v>6515</v>
      </c>
      <c r="F185">
        <v>12.92</v>
      </c>
      <c r="G185">
        <v>11.41</v>
      </c>
      <c r="H185">
        <v>60.58</v>
      </c>
      <c r="I185">
        <v>12.53</v>
      </c>
      <c r="J185">
        <v>7.09</v>
      </c>
      <c r="K185">
        <f t="shared" ca="1" si="23"/>
        <v>0.19320270780628945</v>
      </c>
      <c r="M185">
        <f t="shared" ca="1" si="31"/>
        <v>28.15695526097025</v>
      </c>
      <c r="N185">
        <f t="shared" ca="1" si="24"/>
        <v>50.65695526097025</v>
      </c>
      <c r="O185">
        <f t="shared" ca="1" si="25"/>
        <v>19.424775826551581</v>
      </c>
      <c r="P185">
        <v>12.246153846153801</v>
      </c>
      <c r="Q185">
        <v>4.5</v>
      </c>
      <c r="R185">
        <f t="shared" ca="1" si="26"/>
        <v>19.3</v>
      </c>
      <c r="S185">
        <f t="shared" ca="1" si="27"/>
        <v>0.12477582655157959</v>
      </c>
      <c r="T185">
        <f t="shared" ca="1" si="28"/>
        <v>19.424775826551581</v>
      </c>
      <c r="U185">
        <f t="shared" ca="1" si="29"/>
        <v>50.65695526097025</v>
      </c>
    </row>
    <row r="186" spans="1:21" x14ac:dyDescent="0.45">
      <c r="A186">
        <f t="shared" ca="1" si="21"/>
        <v>22</v>
      </c>
      <c r="B186">
        <v>0.33</v>
      </c>
      <c r="C186">
        <f t="shared" ca="1" si="22"/>
        <v>15.2</v>
      </c>
      <c r="D186">
        <v>36.840000000000003</v>
      </c>
      <c r="E186">
        <v>6658</v>
      </c>
      <c r="F186">
        <v>12.94</v>
      </c>
      <c r="G186">
        <v>12.86</v>
      </c>
      <c r="H186">
        <v>62</v>
      </c>
      <c r="I186">
        <v>12.23</v>
      </c>
      <c r="J186">
        <v>7.36</v>
      </c>
      <c r="K186">
        <f t="shared" ca="1" si="23"/>
        <v>0.2424567504497237</v>
      </c>
      <c r="M186">
        <f t="shared" ca="1" si="31"/>
        <v>20.086056548092905</v>
      </c>
      <c r="N186">
        <f t="shared" ca="1" si="24"/>
        <v>46.586056548092905</v>
      </c>
      <c r="O186">
        <f t="shared" ca="1" si="25"/>
        <v>19.576673098709286</v>
      </c>
      <c r="P186">
        <v>17.443636363636401</v>
      </c>
      <c r="Q186">
        <v>4.5</v>
      </c>
      <c r="R186">
        <f t="shared" ca="1" si="26"/>
        <v>19.5</v>
      </c>
      <c r="S186">
        <f t="shared" ca="1" si="27"/>
        <v>7.6673098709284182E-2</v>
      </c>
      <c r="T186">
        <f t="shared" ca="1" si="28"/>
        <v>19.576673098709286</v>
      </c>
      <c r="U186">
        <f t="shared" ca="1" si="29"/>
        <v>46.586056548092905</v>
      </c>
    </row>
    <row r="187" spans="1:21" x14ac:dyDescent="0.45">
      <c r="A187">
        <f t="shared" ca="1" si="21"/>
        <v>19</v>
      </c>
      <c r="B187">
        <v>0.33</v>
      </c>
      <c r="C187">
        <f t="shared" ca="1" si="22"/>
        <v>16.5</v>
      </c>
      <c r="D187">
        <v>41.1</v>
      </c>
      <c r="E187">
        <v>6309</v>
      </c>
      <c r="F187">
        <v>13.19</v>
      </c>
      <c r="G187">
        <v>9.51</v>
      </c>
      <c r="H187">
        <v>51.1</v>
      </c>
      <c r="I187">
        <v>11.98</v>
      </c>
      <c r="J187">
        <v>7.14</v>
      </c>
      <c r="K187">
        <f t="shared" ca="1" si="23"/>
        <v>0.18157997974276702</v>
      </c>
      <c r="M187">
        <f t="shared" ca="1" si="31"/>
        <v>26.654920916152349</v>
      </c>
      <c r="N187">
        <f t="shared" ca="1" si="24"/>
        <v>50.154920916152349</v>
      </c>
      <c r="O187">
        <f t="shared" ca="1" si="25"/>
        <v>19.738840813946361</v>
      </c>
      <c r="P187">
        <v>14.878125000000001</v>
      </c>
      <c r="Q187">
        <v>4.5</v>
      </c>
      <c r="R187">
        <f t="shared" ca="1" si="26"/>
        <v>19.399999999999999</v>
      </c>
      <c r="S187">
        <f t="shared" ca="1" si="27"/>
        <v>0.33884081394636223</v>
      </c>
      <c r="T187">
        <f t="shared" ca="1" si="28"/>
        <v>19.738840813946361</v>
      </c>
      <c r="U187">
        <f t="shared" ca="1" si="29"/>
        <v>50.154920916152349</v>
      </c>
    </row>
    <row r="188" spans="1:21" x14ac:dyDescent="0.45">
      <c r="A188">
        <f t="shared" ca="1" si="21"/>
        <v>20</v>
      </c>
      <c r="B188">
        <v>0.33</v>
      </c>
      <c r="C188">
        <f t="shared" ca="1" si="22"/>
        <v>15.6</v>
      </c>
      <c r="D188">
        <v>40.21</v>
      </c>
      <c r="E188">
        <v>6624</v>
      </c>
      <c r="F188">
        <v>13.21</v>
      </c>
      <c r="G188">
        <v>8.51</v>
      </c>
      <c r="H188">
        <v>60.59</v>
      </c>
      <c r="I188">
        <v>12.39</v>
      </c>
      <c r="J188">
        <v>7.16</v>
      </c>
      <c r="K188">
        <f t="shared" ca="1" si="23"/>
        <v>0.23349998079640311</v>
      </c>
      <c r="M188">
        <f t="shared" ca="1" si="31"/>
        <v>22.398288779990189</v>
      </c>
      <c r="N188">
        <f t="shared" ca="1" si="24"/>
        <v>46.898288779990189</v>
      </c>
      <c r="O188">
        <f t="shared" ca="1" si="25"/>
        <v>19.958084278745744</v>
      </c>
      <c r="P188">
        <v>6.6083916083916101</v>
      </c>
      <c r="Q188">
        <v>4.5</v>
      </c>
      <c r="R188">
        <f t="shared" ca="1" si="26"/>
        <v>19.600000000000001</v>
      </c>
      <c r="S188">
        <f t="shared" ca="1" si="27"/>
        <v>0.35808427874573767</v>
      </c>
      <c r="T188">
        <f t="shared" ca="1" si="28"/>
        <v>19.958084278745741</v>
      </c>
      <c r="U188">
        <f t="shared" ca="1" si="29"/>
        <v>46.898288779990189</v>
      </c>
    </row>
    <row r="189" spans="1:21" x14ac:dyDescent="0.45">
      <c r="A189">
        <f t="shared" ca="1" si="21"/>
        <v>16</v>
      </c>
      <c r="B189">
        <v>0.33</v>
      </c>
      <c r="C189">
        <f t="shared" ca="1" si="22"/>
        <v>15.6</v>
      </c>
      <c r="D189">
        <v>34.979999999999997</v>
      </c>
      <c r="E189">
        <v>6528</v>
      </c>
      <c r="F189">
        <v>13.91</v>
      </c>
      <c r="G189">
        <v>10.01</v>
      </c>
      <c r="H189">
        <v>52</v>
      </c>
      <c r="I189">
        <v>12.57</v>
      </c>
      <c r="J189">
        <v>7.27</v>
      </c>
      <c r="K189">
        <f t="shared" ca="1" si="23"/>
        <v>0.19908108654352968</v>
      </c>
      <c r="M189">
        <f t="shared" ca="1" si="31"/>
        <v>26.622318031407467</v>
      </c>
      <c r="N189">
        <f t="shared" ca="1" si="24"/>
        <v>47.122318031407467</v>
      </c>
      <c r="O189">
        <f t="shared" ca="1" si="25"/>
        <v>19.863199415957151</v>
      </c>
      <c r="P189">
        <v>15.9050847457627</v>
      </c>
      <c r="Q189">
        <v>4.5</v>
      </c>
      <c r="R189">
        <f t="shared" ca="1" si="26"/>
        <v>19.5</v>
      </c>
      <c r="S189">
        <f t="shared" ca="1" si="27"/>
        <v>0.36319941595715155</v>
      </c>
      <c r="T189">
        <f t="shared" ca="1" si="28"/>
        <v>19.863199415957151</v>
      </c>
      <c r="U189">
        <f t="shared" ca="1" si="29"/>
        <v>47.122318031407467</v>
      </c>
    </row>
    <row r="190" spans="1:21" x14ac:dyDescent="0.45">
      <c r="A190">
        <f t="shared" ca="1" si="21"/>
        <v>21</v>
      </c>
      <c r="B190">
        <v>0.33</v>
      </c>
      <c r="C190">
        <f t="shared" ca="1" si="22"/>
        <v>15.3</v>
      </c>
      <c r="D190">
        <v>32.86</v>
      </c>
      <c r="E190">
        <v>4163</v>
      </c>
      <c r="F190">
        <v>10.58</v>
      </c>
      <c r="G190">
        <v>10.34</v>
      </c>
      <c r="H190">
        <v>58.7</v>
      </c>
      <c r="I190">
        <v>12.35</v>
      </c>
      <c r="J190">
        <v>7.38</v>
      </c>
      <c r="K190">
        <f t="shared" ca="1" si="23"/>
        <v>0.22649592382825967</v>
      </c>
      <c r="M190">
        <f t="shared" ca="1" si="31"/>
        <v>21.94299975026702</v>
      </c>
      <c r="N190">
        <f t="shared" ca="1" si="24"/>
        <v>47.44299975026702</v>
      </c>
      <c r="O190">
        <f t="shared" ca="1" si="25"/>
        <v>19.349535333604898</v>
      </c>
      <c r="P190">
        <v>6.16734693877551</v>
      </c>
      <c r="Q190">
        <v>4.5</v>
      </c>
      <c r="R190">
        <f t="shared" ca="1" si="26"/>
        <v>19</v>
      </c>
      <c r="S190">
        <f t="shared" ca="1" si="27"/>
        <v>0.34953533360489963</v>
      </c>
      <c r="T190">
        <f t="shared" ca="1" si="28"/>
        <v>19.349535333604898</v>
      </c>
      <c r="U190">
        <f t="shared" ca="1" si="29"/>
        <v>47.44299975026702</v>
      </c>
    </row>
    <row r="191" spans="1:21" x14ac:dyDescent="0.45">
      <c r="A191">
        <f t="shared" ca="1" si="21"/>
        <v>22</v>
      </c>
      <c r="B191">
        <v>0.33</v>
      </c>
      <c r="C191">
        <f t="shared" ca="1" si="22"/>
        <v>15</v>
      </c>
      <c r="D191">
        <v>34.619999999999997</v>
      </c>
      <c r="E191">
        <v>4744</v>
      </c>
      <c r="F191">
        <v>5.93</v>
      </c>
      <c r="G191">
        <v>4.76</v>
      </c>
      <c r="H191">
        <v>70.8</v>
      </c>
      <c r="I191">
        <v>12.47</v>
      </c>
      <c r="J191">
        <v>7.37</v>
      </c>
      <c r="K191">
        <f t="shared" ca="1" si="23"/>
        <v>0.2637438810647052</v>
      </c>
      <c r="M191">
        <f t="shared" ca="1" si="31"/>
        <v>19.336941503294248</v>
      </c>
      <c r="N191">
        <f t="shared" ca="1" si="24"/>
        <v>45.836941503294248</v>
      </c>
      <c r="O191">
        <f t="shared" ca="1" si="25"/>
        <v>19.634817910687129</v>
      </c>
      <c r="P191">
        <v>9.3711340206185607</v>
      </c>
      <c r="Q191">
        <v>4.5</v>
      </c>
      <c r="R191">
        <f t="shared" ca="1" si="26"/>
        <v>19.399999999999999</v>
      </c>
      <c r="S191">
        <f t="shared" ca="1" si="27"/>
        <v>0.23481791068712565</v>
      </c>
      <c r="T191">
        <f t="shared" ca="1" si="28"/>
        <v>19.634817910687126</v>
      </c>
      <c r="U191">
        <f t="shared" ca="1" si="29"/>
        <v>45.836941503294248</v>
      </c>
    </row>
    <row r="192" spans="1:21" x14ac:dyDescent="0.45">
      <c r="A192">
        <f t="shared" ca="1" si="21"/>
        <v>21</v>
      </c>
      <c r="B192">
        <v>0.33</v>
      </c>
      <c r="C192">
        <f t="shared" ca="1" si="22"/>
        <v>15.4</v>
      </c>
      <c r="D192">
        <v>33.380000000000003</v>
      </c>
      <c r="E192">
        <v>4610</v>
      </c>
      <c r="F192">
        <v>1.1299999999999999</v>
      </c>
      <c r="G192">
        <v>7.21</v>
      </c>
      <c r="H192">
        <v>54.9</v>
      </c>
      <c r="I192">
        <v>12.46</v>
      </c>
      <c r="J192">
        <v>7.31</v>
      </c>
      <c r="K192">
        <f t="shared" ca="1" si="23"/>
        <v>0.23030201029744127</v>
      </c>
      <c r="M192">
        <f t="shared" ca="1" si="31"/>
        <v>22.361941145666236</v>
      </c>
      <c r="N192">
        <f t="shared" ca="1" si="24"/>
        <v>47.861941145666236</v>
      </c>
      <c r="O192">
        <f t="shared" ca="1" si="25"/>
        <v>19.305527061425206</v>
      </c>
      <c r="P192">
        <v>15.579310344827601</v>
      </c>
      <c r="Q192">
        <v>4.5</v>
      </c>
      <c r="R192">
        <f t="shared" ca="1" si="26"/>
        <v>19.2</v>
      </c>
      <c r="S192">
        <f t="shared" ca="1" si="27"/>
        <v>0.10552706142520796</v>
      </c>
      <c r="T192">
        <f t="shared" ca="1" si="28"/>
        <v>19.305527061425206</v>
      </c>
      <c r="U192">
        <f t="shared" ca="1" si="29"/>
        <v>47.861941145666236</v>
      </c>
    </row>
    <row r="193" spans="1:21" x14ac:dyDescent="0.45">
      <c r="A193">
        <f t="shared" ca="1" si="21"/>
        <v>21</v>
      </c>
      <c r="B193">
        <v>0.33</v>
      </c>
      <c r="C193">
        <f t="shared" ca="1" si="22"/>
        <v>14.6</v>
      </c>
      <c r="D193">
        <v>33.19</v>
      </c>
      <c r="E193">
        <v>4608</v>
      </c>
      <c r="F193">
        <v>3.97</v>
      </c>
      <c r="G193">
        <v>7.41</v>
      </c>
      <c r="H193">
        <v>50.81</v>
      </c>
      <c r="I193">
        <v>12.38</v>
      </c>
      <c r="J193">
        <v>7.15</v>
      </c>
      <c r="K193">
        <f t="shared" ca="1" si="23"/>
        <v>0.27368118089101573</v>
      </c>
      <c r="M193">
        <f t="shared" ca="1" si="31"/>
        <v>19.109826926984326</v>
      </c>
      <c r="N193">
        <f t="shared" ca="1" si="24"/>
        <v>44.609826926984326</v>
      </c>
      <c r="O193">
        <f t="shared" ca="1" si="25"/>
        <v>19.636928908820998</v>
      </c>
      <c r="P193">
        <v>13.2441176470588</v>
      </c>
      <c r="Q193">
        <v>4.5</v>
      </c>
      <c r="R193">
        <f t="shared" ca="1" si="26"/>
        <v>19.3</v>
      </c>
      <c r="S193">
        <f t="shared" ca="1" si="27"/>
        <v>0.33692890882100057</v>
      </c>
      <c r="T193">
        <f t="shared" ca="1" si="28"/>
        <v>19.636928908821002</v>
      </c>
      <c r="U193">
        <f t="shared" ca="1" si="29"/>
        <v>44.609826926984326</v>
      </c>
    </row>
    <row r="194" spans="1:21" x14ac:dyDescent="0.45">
      <c r="A194">
        <f t="shared" ca="1" si="21"/>
        <v>16</v>
      </c>
      <c r="B194">
        <v>0.33</v>
      </c>
      <c r="C194">
        <f t="shared" ca="1" si="22"/>
        <v>16.3</v>
      </c>
      <c r="D194">
        <v>32</v>
      </c>
      <c r="E194">
        <v>4735</v>
      </c>
      <c r="F194">
        <v>1.65</v>
      </c>
      <c r="G194">
        <v>9.75</v>
      </c>
      <c r="H194">
        <v>54</v>
      </c>
      <c r="I194">
        <v>12.73</v>
      </c>
      <c r="J194">
        <v>7.31</v>
      </c>
      <c r="K194">
        <f t="shared" ca="1" si="23"/>
        <v>0.18370328195244601</v>
      </c>
      <c r="M194">
        <f t="shared" ca="1" si="31"/>
        <v>29.504099994267051</v>
      </c>
      <c r="N194">
        <f t="shared" ca="1" si="24"/>
        <v>50.004099994267051</v>
      </c>
      <c r="O194">
        <f t="shared" ca="1" si="25"/>
        <v>19.558396213753017</v>
      </c>
      <c r="P194">
        <v>14.724590163934399</v>
      </c>
      <c r="Q194">
        <v>4.5</v>
      </c>
      <c r="R194">
        <f t="shared" ca="1" si="26"/>
        <v>19.2</v>
      </c>
      <c r="S194">
        <f t="shared" ca="1" si="27"/>
        <v>0.35839621375301722</v>
      </c>
      <c r="T194">
        <f t="shared" ca="1" si="28"/>
        <v>19.558396213753017</v>
      </c>
      <c r="U194">
        <f t="shared" ca="1" si="29"/>
        <v>50.004099994267051</v>
      </c>
    </row>
    <row r="195" spans="1:21" x14ac:dyDescent="0.45">
      <c r="A195">
        <f t="shared" ca="1" si="21"/>
        <v>17</v>
      </c>
      <c r="B195">
        <v>0.33</v>
      </c>
      <c r="C195">
        <f t="shared" ca="1" si="22"/>
        <v>15.2</v>
      </c>
      <c r="D195">
        <v>35.380000000000003</v>
      </c>
      <c r="E195">
        <v>4589</v>
      </c>
      <c r="F195">
        <v>4.2300000000000004</v>
      </c>
      <c r="G195">
        <v>10.41</v>
      </c>
      <c r="H195">
        <v>54</v>
      </c>
      <c r="I195">
        <v>12.39</v>
      </c>
      <c r="J195">
        <v>7.19</v>
      </c>
      <c r="K195">
        <f t="shared" ca="1" si="23"/>
        <v>0.21605242356219873</v>
      </c>
      <c r="M195">
        <f t="shared" ca="1" si="31"/>
        <v>24.068232673645461</v>
      </c>
      <c r="N195">
        <f t="shared" ca="1" si="24"/>
        <v>45.568232673645461</v>
      </c>
      <c r="O195">
        <f t="shared" ca="1" si="25"/>
        <v>20.013942751118769</v>
      </c>
      <c r="P195">
        <v>12.5647058823529</v>
      </c>
      <c r="Q195">
        <v>4.5</v>
      </c>
      <c r="R195">
        <f t="shared" ca="1" si="26"/>
        <v>20</v>
      </c>
      <c r="S195">
        <f t="shared" ca="1" si="27"/>
        <v>1.3942751118769858E-2</v>
      </c>
      <c r="T195">
        <f t="shared" ca="1" si="28"/>
        <v>20.013942751118769</v>
      </c>
      <c r="U195">
        <f t="shared" ca="1" si="29"/>
        <v>45.568232673645461</v>
      </c>
    </row>
    <row r="196" spans="1:21" x14ac:dyDescent="0.45">
      <c r="A196">
        <f t="shared" ref="A196:A259" ca="1" si="32">RANDBETWEEN(16,22)</f>
        <v>22</v>
      </c>
      <c r="B196">
        <v>0.33</v>
      </c>
      <c r="C196">
        <f t="shared" ref="C196:C259" ca="1" si="33">RANDBETWEEN(145,165)/10</f>
        <v>15.5</v>
      </c>
      <c r="D196">
        <v>32.86</v>
      </c>
      <c r="E196">
        <v>4163</v>
      </c>
      <c r="F196">
        <v>10.58</v>
      </c>
      <c r="G196">
        <v>10.34</v>
      </c>
      <c r="H196">
        <v>58.7</v>
      </c>
      <c r="I196">
        <v>12.35</v>
      </c>
      <c r="J196">
        <v>7.38</v>
      </c>
      <c r="K196">
        <f t="shared" ref="K196:K259" ca="1" si="34">(I196-J196)/M196</f>
        <v>0.26649218521704521</v>
      </c>
      <c r="M196">
        <f t="shared" ca="1" si="31"/>
        <v>18.649702601793635</v>
      </c>
      <c r="N196">
        <f t="shared" ref="N196:N259" ca="1" si="35">U196</f>
        <v>45.149702601793635</v>
      </c>
      <c r="O196">
        <f t="shared" ref="O196:O259" ca="1" si="36">C196/N196*60</f>
        <v>20.598142322272007</v>
      </c>
      <c r="P196">
        <v>6.16734693877551</v>
      </c>
      <c r="Q196">
        <v>4.5</v>
      </c>
      <c r="R196">
        <f t="shared" ref="R196:R259" ca="1" si="37">RANDBETWEEN(190,200)/10</f>
        <v>19.899999999999999</v>
      </c>
      <c r="S196">
        <f t="shared" ref="S196:S259" ca="1" si="38">RAND()</f>
        <v>0.69814232227200945</v>
      </c>
      <c r="T196">
        <f t="shared" ref="T196:T259" ca="1" si="39">R196+S196</f>
        <v>20.598142322272007</v>
      </c>
      <c r="U196">
        <f t="shared" ref="U196:U259" ca="1" si="40">C196*60/T196</f>
        <v>45.149702601793635</v>
      </c>
    </row>
    <row r="197" spans="1:21" x14ac:dyDescent="0.45">
      <c r="A197">
        <f t="shared" ca="1" si="32"/>
        <v>20</v>
      </c>
      <c r="B197">
        <v>0.33</v>
      </c>
      <c r="C197">
        <f t="shared" ca="1" si="33"/>
        <v>15.7</v>
      </c>
      <c r="D197">
        <v>34.619999999999997</v>
      </c>
      <c r="E197">
        <v>4744</v>
      </c>
      <c r="F197">
        <v>5.93</v>
      </c>
      <c r="G197">
        <v>4.76</v>
      </c>
      <c r="H197">
        <v>70.8</v>
      </c>
      <c r="I197">
        <v>12.47</v>
      </c>
      <c r="J197">
        <v>7.37</v>
      </c>
      <c r="K197">
        <f t="shared" ca="1" si="34"/>
        <v>0.21500989189121306</v>
      </c>
      <c r="M197">
        <f t="shared" ca="1" si="31"/>
        <v>23.719838911320458</v>
      </c>
      <c r="N197">
        <f t="shared" ca="1" si="35"/>
        <v>48.219838911320458</v>
      </c>
      <c r="O197">
        <f t="shared" ca="1" si="36"/>
        <v>19.53552772609634</v>
      </c>
      <c r="P197">
        <v>9.3711340206185607</v>
      </c>
      <c r="Q197">
        <v>4.5</v>
      </c>
      <c r="R197">
        <f t="shared" ca="1" si="37"/>
        <v>19</v>
      </c>
      <c r="S197">
        <f t="shared" ca="1" si="38"/>
        <v>0.53552772609633936</v>
      </c>
      <c r="T197">
        <f t="shared" ca="1" si="39"/>
        <v>19.53552772609634</v>
      </c>
      <c r="U197">
        <f t="shared" ca="1" si="40"/>
        <v>48.219838911320458</v>
      </c>
    </row>
    <row r="198" spans="1:21" x14ac:dyDescent="0.45">
      <c r="A198">
        <f t="shared" ca="1" si="32"/>
        <v>18</v>
      </c>
      <c r="B198">
        <v>0.33</v>
      </c>
      <c r="C198">
        <f t="shared" ca="1" si="33"/>
        <v>15.5</v>
      </c>
      <c r="D198">
        <v>32.64</v>
      </c>
      <c r="E198">
        <v>6935</v>
      </c>
      <c r="F198">
        <v>12.53</v>
      </c>
      <c r="G198">
        <v>10.71</v>
      </c>
      <c r="H198">
        <v>54.3</v>
      </c>
      <c r="I198">
        <v>11.92</v>
      </c>
      <c r="J198">
        <v>7.22</v>
      </c>
      <c r="K198">
        <f t="shared" si="34"/>
        <v>0.12051282051282051</v>
      </c>
      <c r="M198">
        <v>39</v>
      </c>
      <c r="N198">
        <f t="shared" ca="1" si="35"/>
        <v>47.469021130523871</v>
      </c>
      <c r="O198">
        <f t="shared" ca="1" si="36"/>
        <v>19.591724831291806</v>
      </c>
      <c r="P198">
        <v>14.676923076923099</v>
      </c>
      <c r="Q198">
        <v>4.5</v>
      </c>
      <c r="R198">
        <f t="shared" ca="1" si="37"/>
        <v>19.3</v>
      </c>
      <c r="S198">
        <f t="shared" ca="1" si="38"/>
        <v>0.29172483129180693</v>
      </c>
      <c r="T198">
        <f t="shared" ca="1" si="39"/>
        <v>19.591724831291806</v>
      </c>
      <c r="U198">
        <f t="shared" ca="1" si="40"/>
        <v>47.469021130523871</v>
      </c>
    </row>
    <row r="199" spans="1:21" x14ac:dyDescent="0.45">
      <c r="A199">
        <f t="shared" ca="1" si="32"/>
        <v>21</v>
      </c>
      <c r="B199">
        <v>0.33</v>
      </c>
      <c r="C199">
        <f t="shared" ca="1" si="33"/>
        <v>16.2</v>
      </c>
      <c r="D199">
        <v>35.4</v>
      </c>
      <c r="E199">
        <v>6760</v>
      </c>
      <c r="F199">
        <v>11.57</v>
      </c>
      <c r="G199">
        <v>12.83</v>
      </c>
      <c r="H199">
        <v>52</v>
      </c>
      <c r="I199">
        <v>12.73</v>
      </c>
      <c r="J199">
        <v>7.18</v>
      </c>
      <c r="K199">
        <f t="shared" si="34"/>
        <v>0.11808510638297874</v>
      </c>
      <c r="M199">
        <v>47</v>
      </c>
      <c r="N199">
        <f t="shared" ca="1" si="35"/>
        <v>49.953745227760663</v>
      </c>
      <c r="O199">
        <f t="shared" ca="1" si="36"/>
        <v>19.458000507634271</v>
      </c>
      <c r="P199">
        <v>15.695652173913</v>
      </c>
      <c r="Q199">
        <v>4.5</v>
      </c>
      <c r="R199">
        <f t="shared" ca="1" si="37"/>
        <v>19.3</v>
      </c>
      <c r="S199">
        <f t="shared" ca="1" si="38"/>
        <v>0.15800050763426898</v>
      </c>
      <c r="T199">
        <f t="shared" ca="1" si="39"/>
        <v>19.458000507634271</v>
      </c>
      <c r="U199">
        <f t="shared" ca="1" si="40"/>
        <v>49.953745227760663</v>
      </c>
    </row>
    <row r="200" spans="1:21" x14ac:dyDescent="0.45">
      <c r="A200">
        <f t="shared" ca="1" si="32"/>
        <v>19</v>
      </c>
      <c r="B200">
        <v>0.33</v>
      </c>
      <c r="C200">
        <f t="shared" ca="1" si="33"/>
        <v>15.9</v>
      </c>
      <c r="D200">
        <v>32.25</v>
      </c>
      <c r="E200">
        <v>9213</v>
      </c>
      <c r="F200">
        <v>9.3800000000000008</v>
      </c>
      <c r="G200">
        <v>9.77</v>
      </c>
      <c r="H200">
        <v>55</v>
      </c>
      <c r="I200">
        <v>12.57</v>
      </c>
      <c r="J200">
        <v>7.3</v>
      </c>
      <c r="K200">
        <f t="shared" si="34"/>
        <v>0.21080000000000002</v>
      </c>
      <c r="M200">
        <v>25</v>
      </c>
      <c r="N200">
        <f t="shared" ca="1" si="35"/>
        <v>46.063839696622075</v>
      </c>
      <c r="O200">
        <f t="shared" ca="1" si="36"/>
        <v>20.710388154419487</v>
      </c>
      <c r="P200">
        <v>23.3739130434783</v>
      </c>
      <c r="Q200">
        <v>4.5</v>
      </c>
      <c r="R200">
        <f t="shared" ca="1" si="37"/>
        <v>20</v>
      </c>
      <c r="S200">
        <f t="shared" ca="1" si="38"/>
        <v>0.71038815441948699</v>
      </c>
      <c r="T200">
        <f t="shared" ca="1" si="39"/>
        <v>20.710388154419487</v>
      </c>
      <c r="U200">
        <f t="shared" ca="1" si="40"/>
        <v>46.063839696622075</v>
      </c>
    </row>
    <row r="201" spans="1:21" x14ac:dyDescent="0.45">
      <c r="A201">
        <f t="shared" ca="1" si="32"/>
        <v>19</v>
      </c>
      <c r="B201">
        <v>0.33</v>
      </c>
      <c r="C201">
        <f t="shared" ca="1" si="33"/>
        <v>16</v>
      </c>
      <c r="D201">
        <v>31.15</v>
      </c>
      <c r="E201">
        <v>7382</v>
      </c>
      <c r="F201">
        <v>10.38</v>
      </c>
      <c r="G201">
        <v>9.2799999999999994</v>
      </c>
      <c r="H201">
        <v>51.4</v>
      </c>
      <c r="I201">
        <v>12.51</v>
      </c>
      <c r="J201">
        <v>7.23</v>
      </c>
      <c r="K201">
        <f t="shared" si="34"/>
        <v>0.10999999999999999</v>
      </c>
      <c r="M201">
        <v>48</v>
      </c>
      <c r="N201">
        <f t="shared" ca="1" si="35"/>
        <v>48.271708119050928</v>
      </c>
      <c r="O201">
        <f t="shared" ca="1" si="36"/>
        <v>19.887425521226298</v>
      </c>
      <c r="P201">
        <v>13.695652173913</v>
      </c>
      <c r="Q201">
        <v>4.5</v>
      </c>
      <c r="R201">
        <f t="shared" ca="1" si="37"/>
        <v>19.600000000000001</v>
      </c>
      <c r="S201">
        <f t="shared" ca="1" si="38"/>
        <v>0.28742552122629406</v>
      </c>
      <c r="T201">
        <f t="shared" ca="1" si="39"/>
        <v>19.887425521226294</v>
      </c>
      <c r="U201">
        <f t="shared" ca="1" si="40"/>
        <v>48.271708119050928</v>
      </c>
    </row>
    <row r="202" spans="1:21" x14ac:dyDescent="0.45">
      <c r="A202">
        <f t="shared" ca="1" si="32"/>
        <v>19</v>
      </c>
      <c r="B202">
        <v>0.34</v>
      </c>
      <c r="C202">
        <f t="shared" ca="1" si="33"/>
        <v>15.3</v>
      </c>
      <c r="D202">
        <v>34.770000000000003</v>
      </c>
      <c r="E202">
        <v>6423</v>
      </c>
      <c r="F202">
        <v>5.62</v>
      </c>
      <c r="G202">
        <v>0.14000000000000001</v>
      </c>
      <c r="H202">
        <v>60.1</v>
      </c>
      <c r="I202">
        <v>13.02</v>
      </c>
      <c r="J202">
        <v>7.15</v>
      </c>
      <c r="K202">
        <f t="shared" ca="1" si="34"/>
        <v>0.28023404779989552</v>
      </c>
      <c r="M202">
        <f t="shared" ref="M202:M225" ca="1" si="41">N202-A202-Q202</f>
        <v>20.946776617920257</v>
      </c>
      <c r="N202">
        <f t="shared" ca="1" si="35"/>
        <v>44.446776617920257</v>
      </c>
      <c r="O202">
        <f t="shared" ca="1" si="36"/>
        <v>20.653916208400062</v>
      </c>
      <c r="P202">
        <v>8.3381443298969096</v>
      </c>
      <c r="Q202">
        <v>4.5</v>
      </c>
      <c r="R202">
        <f t="shared" ca="1" si="37"/>
        <v>19.7</v>
      </c>
      <c r="S202">
        <f t="shared" ca="1" si="38"/>
        <v>0.9539162084000582</v>
      </c>
      <c r="T202">
        <f t="shared" ca="1" si="39"/>
        <v>20.653916208400059</v>
      </c>
      <c r="U202">
        <f t="shared" ca="1" si="40"/>
        <v>44.446776617920257</v>
      </c>
    </row>
    <row r="203" spans="1:21" x14ac:dyDescent="0.45">
      <c r="A203">
        <f t="shared" ca="1" si="32"/>
        <v>20</v>
      </c>
      <c r="B203">
        <v>0.34</v>
      </c>
      <c r="C203">
        <f t="shared" ca="1" si="33"/>
        <v>16.5</v>
      </c>
      <c r="D203">
        <v>35.56</v>
      </c>
      <c r="E203">
        <v>6320</v>
      </c>
      <c r="F203">
        <v>7.32</v>
      </c>
      <c r="G203">
        <v>9.07</v>
      </c>
      <c r="H203">
        <v>60.2</v>
      </c>
      <c r="I203">
        <v>12.6</v>
      </c>
      <c r="J203">
        <v>7.42</v>
      </c>
      <c r="K203">
        <f t="shared" ca="1" si="34"/>
        <v>0.21020802902826083</v>
      </c>
      <c r="M203">
        <f t="shared" ca="1" si="41"/>
        <v>24.642255692828883</v>
      </c>
      <c r="N203">
        <f t="shared" ca="1" si="35"/>
        <v>49.142255692828883</v>
      </c>
      <c r="O203">
        <f t="shared" ca="1" si="36"/>
        <v>20.145595395297786</v>
      </c>
      <c r="P203">
        <v>8.5749999999999993</v>
      </c>
      <c r="Q203">
        <v>4.5</v>
      </c>
      <c r="R203">
        <f t="shared" ca="1" si="37"/>
        <v>19.7</v>
      </c>
      <c r="S203">
        <f t="shared" ca="1" si="38"/>
        <v>0.4455953952977848</v>
      </c>
      <c r="T203">
        <f t="shared" ca="1" si="39"/>
        <v>20.145595395297786</v>
      </c>
      <c r="U203">
        <f t="shared" ca="1" si="40"/>
        <v>49.142255692828883</v>
      </c>
    </row>
    <row r="204" spans="1:21" x14ac:dyDescent="0.45">
      <c r="A204">
        <f t="shared" ca="1" si="32"/>
        <v>16</v>
      </c>
      <c r="B204">
        <v>0.34</v>
      </c>
      <c r="C204">
        <f t="shared" ca="1" si="33"/>
        <v>15.9</v>
      </c>
      <c r="D204">
        <v>39.69</v>
      </c>
      <c r="E204">
        <v>6521</v>
      </c>
      <c r="F204">
        <v>11.93</v>
      </c>
      <c r="G204">
        <v>7.6</v>
      </c>
      <c r="H204">
        <v>58.3</v>
      </c>
      <c r="I204">
        <v>12.58</v>
      </c>
      <c r="J204">
        <v>7.16</v>
      </c>
      <c r="K204">
        <f t="shared" ca="1" si="34"/>
        <v>0.18782064508919025</v>
      </c>
      <c r="M204">
        <f t="shared" ca="1" si="41"/>
        <v>28.857317561795234</v>
      </c>
      <c r="N204">
        <f t="shared" ca="1" si="35"/>
        <v>49.357317561795234</v>
      </c>
      <c r="O204">
        <f t="shared" ca="1" si="36"/>
        <v>19.328440991664394</v>
      </c>
      <c r="P204">
        <v>11.842499999999999</v>
      </c>
      <c r="Q204">
        <v>4.5</v>
      </c>
      <c r="R204">
        <f t="shared" ca="1" si="37"/>
        <v>19.100000000000001</v>
      </c>
      <c r="S204">
        <f t="shared" ca="1" si="38"/>
        <v>0.22844099166439424</v>
      </c>
      <c r="T204">
        <f t="shared" ca="1" si="39"/>
        <v>19.328440991664397</v>
      </c>
      <c r="U204">
        <f t="shared" ca="1" si="40"/>
        <v>49.357317561795234</v>
      </c>
    </row>
    <row r="205" spans="1:21" x14ac:dyDescent="0.45">
      <c r="A205">
        <f t="shared" ca="1" si="32"/>
        <v>17</v>
      </c>
      <c r="B205">
        <v>0.34</v>
      </c>
      <c r="C205">
        <f t="shared" ca="1" si="33"/>
        <v>14.5</v>
      </c>
      <c r="D205">
        <v>39.25</v>
      </c>
      <c r="E205">
        <v>6584</v>
      </c>
      <c r="F205">
        <v>5.08</v>
      </c>
      <c r="G205">
        <v>4.78</v>
      </c>
      <c r="H205">
        <v>60.2</v>
      </c>
      <c r="I205">
        <v>12.5</v>
      </c>
      <c r="J205">
        <v>7.35</v>
      </c>
      <c r="K205">
        <f t="shared" ca="1" si="34"/>
        <v>0.21967755141929005</v>
      </c>
      <c r="M205">
        <f t="shared" ca="1" si="41"/>
        <v>23.443451398319688</v>
      </c>
      <c r="N205">
        <f t="shared" ca="1" si="35"/>
        <v>44.943451398319688</v>
      </c>
      <c r="O205">
        <f t="shared" ca="1" si="36"/>
        <v>19.357658856447479</v>
      </c>
      <c r="P205">
        <v>12.530232558139501</v>
      </c>
      <c r="Q205">
        <v>4.5</v>
      </c>
      <c r="R205">
        <f t="shared" ca="1" si="37"/>
        <v>19</v>
      </c>
      <c r="S205">
        <f t="shared" ca="1" si="38"/>
        <v>0.35765885644747986</v>
      </c>
      <c r="T205">
        <f t="shared" ca="1" si="39"/>
        <v>19.357658856447479</v>
      </c>
      <c r="U205">
        <f t="shared" ca="1" si="40"/>
        <v>44.943451398319688</v>
      </c>
    </row>
    <row r="206" spans="1:21" x14ac:dyDescent="0.45">
      <c r="A206">
        <f t="shared" ca="1" si="32"/>
        <v>22</v>
      </c>
      <c r="B206">
        <v>0.34</v>
      </c>
      <c r="C206">
        <f t="shared" ca="1" si="33"/>
        <v>14.7</v>
      </c>
      <c r="D206">
        <v>43.72</v>
      </c>
      <c r="E206">
        <v>6521</v>
      </c>
      <c r="F206">
        <v>0.01</v>
      </c>
      <c r="G206">
        <v>0.08</v>
      </c>
      <c r="H206">
        <v>62.5</v>
      </c>
      <c r="I206">
        <v>12.46</v>
      </c>
      <c r="J206">
        <v>7.43</v>
      </c>
      <c r="K206">
        <f t="shared" ca="1" si="34"/>
        <v>0.2838435206227134</v>
      </c>
      <c r="M206">
        <f t="shared" ca="1" si="41"/>
        <v>17.72103160560043</v>
      </c>
      <c r="N206">
        <f t="shared" ca="1" si="35"/>
        <v>44.22103160560043</v>
      </c>
      <c r="O206">
        <f t="shared" ca="1" si="36"/>
        <v>19.945260614144019</v>
      </c>
      <c r="P206">
        <v>8.4149999999999991</v>
      </c>
      <c r="Q206">
        <v>4.5</v>
      </c>
      <c r="R206">
        <f t="shared" ca="1" si="37"/>
        <v>19.899999999999999</v>
      </c>
      <c r="S206">
        <f t="shared" ca="1" si="38"/>
        <v>4.5260614144017608E-2</v>
      </c>
      <c r="T206">
        <f t="shared" ca="1" si="39"/>
        <v>19.945260614144015</v>
      </c>
      <c r="U206">
        <f t="shared" ca="1" si="40"/>
        <v>44.22103160560043</v>
      </c>
    </row>
    <row r="207" spans="1:21" x14ac:dyDescent="0.45">
      <c r="A207">
        <f t="shared" ca="1" si="32"/>
        <v>20</v>
      </c>
      <c r="B207">
        <v>0.34</v>
      </c>
      <c r="C207">
        <f t="shared" ca="1" si="33"/>
        <v>14.7</v>
      </c>
      <c r="D207">
        <v>40.549999999999997</v>
      </c>
      <c r="E207">
        <v>6512</v>
      </c>
      <c r="F207">
        <v>8.91</v>
      </c>
      <c r="G207">
        <v>9.11</v>
      </c>
      <c r="H207">
        <v>61.5</v>
      </c>
      <c r="I207">
        <v>12.56</v>
      </c>
      <c r="J207">
        <v>7.41</v>
      </c>
      <c r="K207">
        <f t="shared" ca="1" si="34"/>
        <v>0.26108051817290712</v>
      </c>
      <c r="M207">
        <f t="shared" ca="1" si="41"/>
        <v>19.725715407801069</v>
      </c>
      <c r="N207">
        <f t="shared" ca="1" si="35"/>
        <v>44.225715407801069</v>
      </c>
      <c r="O207">
        <f t="shared" ca="1" si="36"/>
        <v>19.943148276227141</v>
      </c>
      <c r="P207">
        <v>9.48</v>
      </c>
      <c r="Q207">
        <v>4.5</v>
      </c>
      <c r="R207">
        <f t="shared" ca="1" si="37"/>
        <v>19.5</v>
      </c>
      <c r="S207">
        <f t="shared" ca="1" si="38"/>
        <v>0.44314827622714059</v>
      </c>
      <c r="T207">
        <f t="shared" ca="1" si="39"/>
        <v>19.943148276227141</v>
      </c>
      <c r="U207">
        <f t="shared" ca="1" si="40"/>
        <v>44.225715407801069</v>
      </c>
    </row>
    <row r="208" spans="1:21" x14ac:dyDescent="0.45">
      <c r="A208">
        <f t="shared" ca="1" si="32"/>
        <v>17</v>
      </c>
      <c r="B208">
        <v>0.34</v>
      </c>
      <c r="C208">
        <f t="shared" ca="1" si="33"/>
        <v>15.3</v>
      </c>
      <c r="D208">
        <v>29.54</v>
      </c>
      <c r="E208">
        <v>6541</v>
      </c>
      <c r="F208">
        <v>11.93</v>
      </c>
      <c r="G208">
        <v>7.82</v>
      </c>
      <c r="H208">
        <v>52.1</v>
      </c>
      <c r="I208">
        <v>12.87</v>
      </c>
      <c r="J208">
        <v>7.38</v>
      </c>
      <c r="K208">
        <f t="shared" ca="1" si="34"/>
        <v>0.21397196456884771</v>
      </c>
      <c r="M208">
        <f t="shared" ca="1" si="41"/>
        <v>25.657566920331448</v>
      </c>
      <c r="N208">
        <f t="shared" ca="1" si="35"/>
        <v>47.157566920331448</v>
      </c>
      <c r="O208">
        <f t="shared" ca="1" si="36"/>
        <v>19.466653178924183</v>
      </c>
      <c r="P208">
        <v>14.803125</v>
      </c>
      <c r="Q208">
        <v>4.5</v>
      </c>
      <c r="R208">
        <f t="shared" ca="1" si="37"/>
        <v>19.3</v>
      </c>
      <c r="S208">
        <f t="shared" ca="1" si="38"/>
        <v>0.16665317892418297</v>
      </c>
      <c r="T208">
        <f t="shared" ca="1" si="39"/>
        <v>19.466653178924183</v>
      </c>
      <c r="U208">
        <f t="shared" ca="1" si="40"/>
        <v>47.157566920331448</v>
      </c>
    </row>
    <row r="209" spans="1:21" x14ac:dyDescent="0.45">
      <c r="A209">
        <f t="shared" ca="1" si="32"/>
        <v>21</v>
      </c>
      <c r="B209">
        <v>0.34</v>
      </c>
      <c r="C209">
        <f t="shared" ca="1" si="33"/>
        <v>15.4</v>
      </c>
      <c r="D209">
        <v>36.21</v>
      </c>
      <c r="E209">
        <v>6582</v>
      </c>
      <c r="F209">
        <v>4.1399999999999997</v>
      </c>
      <c r="G209">
        <v>12.61</v>
      </c>
      <c r="H209">
        <v>58.24</v>
      </c>
      <c r="I209">
        <v>12.83</v>
      </c>
      <c r="J209">
        <v>7.2</v>
      </c>
      <c r="K209">
        <f t="shared" ca="1" si="34"/>
        <v>0.28860574950413392</v>
      </c>
      <c r="M209">
        <f t="shared" ca="1" si="41"/>
        <v>19.507580876933837</v>
      </c>
      <c r="N209">
        <f t="shared" ca="1" si="35"/>
        <v>45.007580876933837</v>
      </c>
      <c r="O209">
        <f t="shared" ca="1" si="36"/>
        <v>20.52987478990557</v>
      </c>
      <c r="P209">
        <v>12</v>
      </c>
      <c r="Q209">
        <v>4.5</v>
      </c>
      <c r="R209">
        <f t="shared" ca="1" si="37"/>
        <v>20</v>
      </c>
      <c r="S209">
        <f t="shared" ca="1" si="38"/>
        <v>0.52987478990557135</v>
      </c>
      <c r="T209">
        <f t="shared" ca="1" si="39"/>
        <v>20.52987478990557</v>
      </c>
      <c r="U209">
        <f t="shared" ca="1" si="40"/>
        <v>45.007580876933837</v>
      </c>
    </row>
    <row r="210" spans="1:21" x14ac:dyDescent="0.45">
      <c r="A210">
        <f t="shared" ca="1" si="32"/>
        <v>21</v>
      </c>
      <c r="B210">
        <v>0.34</v>
      </c>
      <c r="C210">
        <f t="shared" ca="1" si="33"/>
        <v>16</v>
      </c>
      <c r="D210">
        <v>38.520000000000003</v>
      </c>
      <c r="E210">
        <v>6458</v>
      </c>
      <c r="F210">
        <v>11.45</v>
      </c>
      <c r="G210">
        <v>8.56</v>
      </c>
      <c r="H210">
        <v>54.9</v>
      </c>
      <c r="I210">
        <v>12.18</v>
      </c>
      <c r="J210">
        <v>7.24</v>
      </c>
      <c r="K210">
        <f t="shared" ca="1" si="34"/>
        <v>0.21731235088735823</v>
      </c>
      <c r="M210">
        <f t="shared" ca="1" si="41"/>
        <v>22.732256035279839</v>
      </c>
      <c r="N210">
        <f t="shared" ca="1" si="35"/>
        <v>48.232256035279839</v>
      </c>
      <c r="O210">
        <f t="shared" ca="1" si="36"/>
        <v>19.903692651195932</v>
      </c>
      <c r="P210">
        <v>11.124705882352901</v>
      </c>
      <c r="Q210">
        <v>4.5</v>
      </c>
      <c r="R210">
        <f t="shared" ca="1" si="37"/>
        <v>19.7</v>
      </c>
      <c r="S210">
        <f t="shared" ca="1" si="38"/>
        <v>0.20369265119593161</v>
      </c>
      <c r="T210">
        <f t="shared" ca="1" si="39"/>
        <v>19.903692651195932</v>
      </c>
      <c r="U210">
        <f t="shared" ca="1" si="40"/>
        <v>48.232256035279839</v>
      </c>
    </row>
    <row r="211" spans="1:21" x14ac:dyDescent="0.45">
      <c r="A211">
        <f t="shared" ca="1" si="32"/>
        <v>19</v>
      </c>
      <c r="B211">
        <v>0.34</v>
      </c>
      <c r="C211">
        <f t="shared" ca="1" si="33"/>
        <v>15.9</v>
      </c>
      <c r="D211">
        <v>34.01</v>
      </c>
      <c r="E211">
        <v>6423</v>
      </c>
      <c r="F211">
        <v>3.98</v>
      </c>
      <c r="G211">
        <v>5.88</v>
      </c>
      <c r="H211">
        <v>64.28</v>
      </c>
      <c r="I211">
        <v>12.94</v>
      </c>
      <c r="J211">
        <v>7.45</v>
      </c>
      <c r="K211">
        <f t="shared" ca="1" si="34"/>
        <v>0.22723584441091851</v>
      </c>
      <c r="M211">
        <f t="shared" ca="1" si="41"/>
        <v>24.159920782885997</v>
      </c>
      <c r="N211">
        <f t="shared" ca="1" si="35"/>
        <v>47.659920782885997</v>
      </c>
      <c r="O211">
        <f t="shared" ca="1" si="36"/>
        <v>20.016818834968941</v>
      </c>
      <c r="P211">
        <v>11.0093023255814</v>
      </c>
      <c r="Q211">
        <v>4.5</v>
      </c>
      <c r="R211">
        <f t="shared" ca="1" si="37"/>
        <v>19.8</v>
      </c>
      <c r="S211">
        <f t="shared" ca="1" si="38"/>
        <v>0.21681883496893561</v>
      </c>
      <c r="T211">
        <f t="shared" ca="1" si="39"/>
        <v>20.016818834968937</v>
      </c>
      <c r="U211">
        <f t="shared" ca="1" si="40"/>
        <v>47.659920782885997</v>
      </c>
    </row>
    <row r="212" spans="1:21" x14ac:dyDescent="0.45">
      <c r="A212">
        <f t="shared" ca="1" si="32"/>
        <v>17</v>
      </c>
      <c r="B212">
        <v>0.34</v>
      </c>
      <c r="C212">
        <f t="shared" ca="1" si="33"/>
        <v>14.9</v>
      </c>
      <c r="D212">
        <v>28.89</v>
      </c>
      <c r="E212">
        <v>6523</v>
      </c>
      <c r="F212">
        <v>7.17</v>
      </c>
      <c r="G212">
        <v>7.38</v>
      </c>
      <c r="H212">
        <v>63.74</v>
      </c>
      <c r="I212">
        <v>12.66</v>
      </c>
      <c r="J212">
        <v>7.4</v>
      </c>
      <c r="K212">
        <f t="shared" ca="1" si="34"/>
        <v>0.22451821357548413</v>
      </c>
      <c r="M212">
        <f t="shared" ca="1" si="41"/>
        <v>23.427943400376122</v>
      </c>
      <c r="N212">
        <f t="shared" ca="1" si="35"/>
        <v>44.927943400376122</v>
      </c>
      <c r="O212">
        <f t="shared" ca="1" si="36"/>
        <v>19.898529341374562</v>
      </c>
      <c r="P212">
        <v>13.233333333333301</v>
      </c>
      <c r="Q212">
        <v>4.5</v>
      </c>
      <c r="R212">
        <f t="shared" ca="1" si="37"/>
        <v>19.399999999999999</v>
      </c>
      <c r="S212">
        <f t="shared" ca="1" si="38"/>
        <v>0.4985293413745675</v>
      </c>
      <c r="T212">
        <f t="shared" ca="1" si="39"/>
        <v>19.898529341374566</v>
      </c>
      <c r="U212">
        <f t="shared" ca="1" si="40"/>
        <v>44.927943400376122</v>
      </c>
    </row>
    <row r="213" spans="1:21" x14ac:dyDescent="0.45">
      <c r="A213">
        <f t="shared" ca="1" si="32"/>
        <v>18</v>
      </c>
      <c r="B213">
        <v>0.34</v>
      </c>
      <c r="C213">
        <f t="shared" ca="1" si="33"/>
        <v>15.1</v>
      </c>
      <c r="D213">
        <v>40.729999999999997</v>
      </c>
      <c r="E213">
        <v>6521</v>
      </c>
      <c r="F213">
        <v>13.66</v>
      </c>
      <c r="G213">
        <v>12.73</v>
      </c>
      <c r="H213">
        <v>60.58</v>
      </c>
      <c r="I213">
        <v>12.73</v>
      </c>
      <c r="J213">
        <v>7.4</v>
      </c>
      <c r="K213">
        <f t="shared" ca="1" si="34"/>
        <v>0.22071103792759117</v>
      </c>
      <c r="M213">
        <f t="shared" ca="1" si="41"/>
        <v>24.149222667099309</v>
      </c>
      <c r="N213">
        <f t="shared" ca="1" si="35"/>
        <v>46.649222667099309</v>
      </c>
      <c r="O213">
        <f t="shared" ca="1" si="36"/>
        <v>19.421545487809002</v>
      </c>
      <c r="P213">
        <v>12.420779220779201</v>
      </c>
      <c r="Q213">
        <v>4.5</v>
      </c>
      <c r="R213">
        <f t="shared" ca="1" si="37"/>
        <v>19.399999999999999</v>
      </c>
      <c r="S213">
        <f t="shared" ca="1" si="38"/>
        <v>2.1545487809004671E-2</v>
      </c>
      <c r="T213">
        <f t="shared" ca="1" si="39"/>
        <v>19.421545487809002</v>
      </c>
      <c r="U213">
        <f t="shared" ca="1" si="40"/>
        <v>46.649222667099309</v>
      </c>
    </row>
    <row r="214" spans="1:21" x14ac:dyDescent="0.45">
      <c r="A214">
        <f t="shared" ca="1" si="32"/>
        <v>16</v>
      </c>
      <c r="B214">
        <v>0.34</v>
      </c>
      <c r="C214">
        <f t="shared" ca="1" si="33"/>
        <v>14.7</v>
      </c>
      <c r="D214">
        <v>39.96</v>
      </c>
      <c r="E214">
        <v>6542</v>
      </c>
      <c r="F214">
        <v>14.3</v>
      </c>
      <c r="G214">
        <v>12.2</v>
      </c>
      <c r="H214">
        <v>53.2</v>
      </c>
      <c r="I214">
        <v>12.82</v>
      </c>
      <c r="J214">
        <v>7.05</v>
      </c>
      <c r="K214">
        <f t="shared" ca="1" si="34"/>
        <v>0.24845464121074876</v>
      </c>
      <c r="M214">
        <f t="shared" ca="1" si="41"/>
        <v>23.223554898721595</v>
      </c>
      <c r="N214">
        <f t="shared" ca="1" si="35"/>
        <v>43.723554898721595</v>
      </c>
      <c r="O214">
        <f t="shared" ca="1" si="36"/>
        <v>20.172193273008283</v>
      </c>
      <c r="P214">
        <v>10.4571428571429</v>
      </c>
      <c r="Q214">
        <v>4.5</v>
      </c>
      <c r="R214">
        <f t="shared" ca="1" si="37"/>
        <v>19.399999999999999</v>
      </c>
      <c r="S214">
        <f t="shared" ca="1" si="38"/>
        <v>0.77219327300828056</v>
      </c>
      <c r="T214">
        <f t="shared" ca="1" si="39"/>
        <v>20.172193273008279</v>
      </c>
      <c r="U214">
        <f t="shared" ca="1" si="40"/>
        <v>43.723554898721595</v>
      </c>
    </row>
    <row r="215" spans="1:21" x14ac:dyDescent="0.45">
      <c r="A215">
        <f t="shared" ca="1" si="32"/>
        <v>18</v>
      </c>
      <c r="B215">
        <v>0.34</v>
      </c>
      <c r="C215">
        <f t="shared" ca="1" si="33"/>
        <v>14.8</v>
      </c>
      <c r="D215">
        <v>42</v>
      </c>
      <c r="E215">
        <v>6722</v>
      </c>
      <c r="F215">
        <v>6.27</v>
      </c>
      <c r="G215">
        <v>10.09</v>
      </c>
      <c r="H215">
        <v>53.3</v>
      </c>
      <c r="I215">
        <v>12.85</v>
      </c>
      <c r="J215">
        <v>7.35</v>
      </c>
      <c r="K215">
        <f t="shared" ca="1" si="34"/>
        <v>0.23479434015340225</v>
      </c>
      <c r="M215">
        <f t="shared" ca="1" si="41"/>
        <v>23.424755453673157</v>
      </c>
      <c r="N215">
        <f t="shared" ca="1" si="35"/>
        <v>45.924755453673157</v>
      </c>
      <c r="O215">
        <f t="shared" ca="1" si="36"/>
        <v>19.33597666939729</v>
      </c>
      <c r="P215">
        <v>13.2083333333333</v>
      </c>
      <c r="Q215">
        <v>4.5</v>
      </c>
      <c r="R215">
        <f t="shared" ca="1" si="37"/>
        <v>19.100000000000001</v>
      </c>
      <c r="S215">
        <f t="shared" ca="1" si="38"/>
        <v>0.23597666939728557</v>
      </c>
      <c r="T215">
        <f t="shared" ca="1" si="39"/>
        <v>19.335976669397287</v>
      </c>
      <c r="U215">
        <f t="shared" ca="1" si="40"/>
        <v>45.924755453673157</v>
      </c>
    </row>
    <row r="216" spans="1:21" x14ac:dyDescent="0.45">
      <c r="A216">
        <f t="shared" ca="1" si="32"/>
        <v>16</v>
      </c>
      <c r="B216">
        <v>0.34</v>
      </c>
      <c r="C216">
        <f t="shared" ca="1" si="33"/>
        <v>15.4</v>
      </c>
      <c r="D216">
        <v>41.31</v>
      </c>
      <c r="E216">
        <v>6385</v>
      </c>
      <c r="F216">
        <v>6.43</v>
      </c>
      <c r="G216">
        <v>12.04</v>
      </c>
      <c r="H216">
        <v>52.5</v>
      </c>
      <c r="I216">
        <v>12.63</v>
      </c>
      <c r="J216">
        <v>6.98</v>
      </c>
      <c r="K216">
        <f t="shared" ca="1" si="34"/>
        <v>0.2276125069654035</v>
      </c>
      <c r="M216">
        <f t="shared" ca="1" si="41"/>
        <v>24.822889020148551</v>
      </c>
      <c r="N216">
        <f t="shared" ca="1" si="35"/>
        <v>45.322889020148551</v>
      </c>
      <c r="O216">
        <f t="shared" ca="1" si="36"/>
        <v>20.38704989854531</v>
      </c>
      <c r="P216">
        <v>27.681818181818201</v>
      </c>
      <c r="Q216">
        <v>4.5</v>
      </c>
      <c r="R216">
        <f t="shared" ca="1" si="37"/>
        <v>20</v>
      </c>
      <c r="S216">
        <f t="shared" ca="1" si="38"/>
        <v>0.38704989854531435</v>
      </c>
      <c r="T216">
        <f t="shared" ca="1" si="39"/>
        <v>20.387049898545314</v>
      </c>
      <c r="U216">
        <f t="shared" ca="1" si="40"/>
        <v>45.322889020148551</v>
      </c>
    </row>
    <row r="217" spans="1:21" x14ac:dyDescent="0.45">
      <c r="A217">
        <f t="shared" ca="1" si="32"/>
        <v>17</v>
      </c>
      <c r="B217">
        <v>0.34</v>
      </c>
      <c r="C217">
        <f t="shared" ca="1" si="33"/>
        <v>15.2</v>
      </c>
      <c r="D217">
        <v>37.92</v>
      </c>
      <c r="E217">
        <v>6381</v>
      </c>
      <c r="F217">
        <v>8.85</v>
      </c>
      <c r="G217">
        <v>8.32</v>
      </c>
      <c r="H217">
        <v>50.7</v>
      </c>
      <c r="I217">
        <v>12.36</v>
      </c>
      <c r="J217">
        <v>7.31</v>
      </c>
      <c r="K217">
        <f t="shared" ca="1" si="34"/>
        <v>0.20320546010030163</v>
      </c>
      <c r="M217">
        <f t="shared" ca="1" si="41"/>
        <v>24.851694425471315</v>
      </c>
      <c r="N217">
        <f t="shared" ca="1" si="35"/>
        <v>46.351694425471315</v>
      </c>
      <c r="O217">
        <f t="shared" ca="1" si="36"/>
        <v>19.675656117952727</v>
      </c>
      <c r="P217">
        <v>14.3391304347826</v>
      </c>
      <c r="Q217">
        <v>4.5</v>
      </c>
      <c r="R217">
        <f t="shared" ca="1" si="37"/>
        <v>19.2</v>
      </c>
      <c r="S217">
        <f t="shared" ca="1" si="38"/>
        <v>0.47565611795272855</v>
      </c>
      <c r="T217">
        <f t="shared" ca="1" si="39"/>
        <v>19.675656117952727</v>
      </c>
      <c r="U217">
        <f t="shared" ca="1" si="40"/>
        <v>46.351694425471315</v>
      </c>
    </row>
    <row r="218" spans="1:21" x14ac:dyDescent="0.45">
      <c r="A218">
        <f t="shared" ca="1" si="32"/>
        <v>20</v>
      </c>
      <c r="B218">
        <v>0.34</v>
      </c>
      <c r="C218">
        <f t="shared" ca="1" si="33"/>
        <v>15.6</v>
      </c>
      <c r="D218">
        <v>32.18</v>
      </c>
      <c r="E218">
        <v>4311</v>
      </c>
      <c r="F218">
        <v>6.55</v>
      </c>
      <c r="G218">
        <v>7.22</v>
      </c>
      <c r="H218">
        <v>57.3</v>
      </c>
      <c r="I218">
        <v>12.87</v>
      </c>
      <c r="J218">
        <v>7.3</v>
      </c>
      <c r="K218">
        <f t="shared" ca="1" si="34"/>
        <v>0.25981928709300878</v>
      </c>
      <c r="M218">
        <f t="shared" ca="1" si="41"/>
        <v>21.437977381587068</v>
      </c>
      <c r="N218">
        <f t="shared" ca="1" si="35"/>
        <v>45.937977381587068</v>
      </c>
      <c r="O218">
        <f t="shared" ca="1" si="36"/>
        <v>20.375298464384915</v>
      </c>
      <c r="P218">
        <v>9.06</v>
      </c>
      <c r="Q218">
        <v>4.5</v>
      </c>
      <c r="R218">
        <f t="shared" ca="1" si="37"/>
        <v>19.399999999999999</v>
      </c>
      <c r="S218">
        <f t="shared" ca="1" si="38"/>
        <v>0.97529846438491841</v>
      </c>
      <c r="T218">
        <f t="shared" ca="1" si="39"/>
        <v>20.375298464384915</v>
      </c>
      <c r="U218">
        <f t="shared" ca="1" si="40"/>
        <v>45.937977381587068</v>
      </c>
    </row>
    <row r="219" spans="1:21" x14ac:dyDescent="0.45">
      <c r="A219">
        <f t="shared" ca="1" si="32"/>
        <v>21</v>
      </c>
      <c r="B219">
        <v>0.34</v>
      </c>
      <c r="C219">
        <f t="shared" ca="1" si="33"/>
        <v>15.7</v>
      </c>
      <c r="D219">
        <v>31.43</v>
      </c>
      <c r="E219">
        <v>4381</v>
      </c>
      <c r="F219">
        <v>6.58</v>
      </c>
      <c r="G219">
        <v>5.88</v>
      </c>
      <c r="H219">
        <v>52.5</v>
      </c>
      <c r="I219">
        <v>12.64</v>
      </c>
      <c r="J219">
        <v>7.23</v>
      </c>
      <c r="K219">
        <f t="shared" ca="1" si="34"/>
        <v>0.27283777209920457</v>
      </c>
      <c r="M219">
        <f t="shared" ca="1" si="41"/>
        <v>19.828632811269657</v>
      </c>
      <c r="N219">
        <f t="shared" ca="1" si="35"/>
        <v>45.328632811269657</v>
      </c>
      <c r="O219">
        <f t="shared" ca="1" si="36"/>
        <v>20.781566563503297</v>
      </c>
      <c r="P219">
        <v>13.02</v>
      </c>
      <c r="Q219">
        <v>4.5</v>
      </c>
      <c r="R219">
        <f t="shared" ca="1" si="37"/>
        <v>19.899999999999999</v>
      </c>
      <c r="S219">
        <f t="shared" ca="1" si="38"/>
        <v>0.88156656350329743</v>
      </c>
      <c r="T219">
        <f t="shared" ca="1" si="39"/>
        <v>20.781566563503297</v>
      </c>
      <c r="U219">
        <f t="shared" ca="1" si="40"/>
        <v>45.328632811269657</v>
      </c>
    </row>
    <row r="220" spans="1:21" x14ac:dyDescent="0.45">
      <c r="A220">
        <f t="shared" ca="1" si="32"/>
        <v>16</v>
      </c>
      <c r="B220">
        <v>0.34</v>
      </c>
      <c r="C220">
        <f t="shared" ca="1" si="33"/>
        <v>14.8</v>
      </c>
      <c r="D220">
        <v>31.95</v>
      </c>
      <c r="E220">
        <v>4234</v>
      </c>
      <c r="F220">
        <v>11.59</v>
      </c>
      <c r="G220">
        <v>5.68</v>
      </c>
      <c r="H220">
        <v>50.1</v>
      </c>
      <c r="I220">
        <v>12.12</v>
      </c>
      <c r="J220">
        <v>7.32</v>
      </c>
      <c r="K220">
        <f t="shared" ca="1" si="34"/>
        <v>0.19980983385350037</v>
      </c>
      <c r="M220">
        <f t="shared" ca="1" si="41"/>
        <v>24.022841656128577</v>
      </c>
      <c r="N220">
        <f t="shared" ca="1" si="35"/>
        <v>44.522841656128577</v>
      </c>
      <c r="O220">
        <f t="shared" ca="1" si="36"/>
        <v>19.944818591285191</v>
      </c>
      <c r="P220">
        <v>13.0521739130435</v>
      </c>
      <c r="Q220">
        <v>4.5</v>
      </c>
      <c r="R220">
        <f t="shared" ca="1" si="37"/>
        <v>19.2</v>
      </c>
      <c r="S220">
        <f t="shared" ca="1" si="38"/>
        <v>0.74481859128519046</v>
      </c>
      <c r="T220">
        <f t="shared" ca="1" si="39"/>
        <v>19.944818591285191</v>
      </c>
      <c r="U220">
        <f t="shared" ca="1" si="40"/>
        <v>44.522841656128577</v>
      </c>
    </row>
    <row r="221" spans="1:21" x14ac:dyDescent="0.45">
      <c r="A221">
        <f t="shared" ca="1" si="32"/>
        <v>16</v>
      </c>
      <c r="B221">
        <v>0.34</v>
      </c>
      <c r="C221">
        <f t="shared" ca="1" si="33"/>
        <v>16.3</v>
      </c>
      <c r="D221">
        <v>33.159999999999997</v>
      </c>
      <c r="E221">
        <v>4651</v>
      </c>
      <c r="F221">
        <v>8.64</v>
      </c>
      <c r="G221">
        <v>7.46</v>
      </c>
      <c r="H221">
        <v>53.8</v>
      </c>
      <c r="I221">
        <v>12.46</v>
      </c>
      <c r="J221">
        <v>7.27</v>
      </c>
      <c r="K221">
        <f t="shared" ca="1" si="34"/>
        <v>0.18169458159234256</v>
      </c>
      <c r="M221">
        <f t="shared" ca="1" si="41"/>
        <v>28.564418126923009</v>
      </c>
      <c r="N221">
        <f t="shared" ca="1" si="35"/>
        <v>49.064418126923009</v>
      </c>
      <c r="O221">
        <f t="shared" ca="1" si="36"/>
        <v>19.932978670409305</v>
      </c>
      <c r="P221">
        <v>15.01</v>
      </c>
      <c r="Q221">
        <v>4.5</v>
      </c>
      <c r="R221">
        <f t="shared" ca="1" si="37"/>
        <v>19.899999999999999</v>
      </c>
      <c r="S221">
        <f t="shared" ca="1" si="38"/>
        <v>3.2978670409308242E-2</v>
      </c>
      <c r="T221">
        <f t="shared" ca="1" si="39"/>
        <v>19.932978670409305</v>
      </c>
      <c r="U221">
        <f t="shared" ca="1" si="40"/>
        <v>49.064418126923009</v>
      </c>
    </row>
    <row r="222" spans="1:21" x14ac:dyDescent="0.45">
      <c r="A222">
        <f t="shared" ca="1" si="32"/>
        <v>22</v>
      </c>
      <c r="B222">
        <v>0.34</v>
      </c>
      <c r="C222">
        <f t="shared" ca="1" si="33"/>
        <v>16.3</v>
      </c>
      <c r="D222">
        <v>32.18</v>
      </c>
      <c r="E222">
        <v>4311</v>
      </c>
      <c r="F222">
        <v>6.55</v>
      </c>
      <c r="G222">
        <v>7.22</v>
      </c>
      <c r="H222">
        <v>57.3</v>
      </c>
      <c r="I222">
        <v>12.87</v>
      </c>
      <c r="J222">
        <v>7.3</v>
      </c>
      <c r="K222">
        <f t="shared" ca="1" si="34"/>
        <v>0.23048207282283356</v>
      </c>
      <c r="M222">
        <f t="shared" ca="1" si="41"/>
        <v>24.166738574420641</v>
      </c>
      <c r="N222">
        <f t="shared" ca="1" si="35"/>
        <v>50.666738574420641</v>
      </c>
      <c r="O222">
        <f t="shared" ca="1" si="36"/>
        <v>19.302604184074092</v>
      </c>
      <c r="P222">
        <v>9.06</v>
      </c>
      <c r="Q222">
        <v>4.5</v>
      </c>
      <c r="R222">
        <f t="shared" ca="1" si="37"/>
        <v>19.2</v>
      </c>
      <c r="S222">
        <f t="shared" ca="1" si="38"/>
        <v>0.10260418407409244</v>
      </c>
      <c r="T222">
        <f t="shared" ca="1" si="39"/>
        <v>19.302604184074092</v>
      </c>
      <c r="U222">
        <f t="shared" ca="1" si="40"/>
        <v>50.666738574420641</v>
      </c>
    </row>
    <row r="223" spans="1:21" x14ac:dyDescent="0.45">
      <c r="A223">
        <f t="shared" ca="1" si="32"/>
        <v>22</v>
      </c>
      <c r="B223">
        <v>0.34</v>
      </c>
      <c r="C223">
        <f t="shared" ca="1" si="33"/>
        <v>16.399999999999999</v>
      </c>
      <c r="D223">
        <v>31.43</v>
      </c>
      <c r="E223">
        <v>4381</v>
      </c>
      <c r="F223">
        <v>6.58</v>
      </c>
      <c r="G223">
        <v>5.88</v>
      </c>
      <c r="H223">
        <v>52.5</v>
      </c>
      <c r="I223">
        <v>12.64</v>
      </c>
      <c r="J223">
        <v>7.23</v>
      </c>
      <c r="K223">
        <f t="shared" ca="1" si="34"/>
        <v>0.24345234302078916</v>
      </c>
      <c r="M223">
        <f t="shared" ca="1" si="41"/>
        <v>22.222008352320614</v>
      </c>
      <c r="N223">
        <f t="shared" ca="1" si="35"/>
        <v>48.722008352320614</v>
      </c>
      <c r="O223">
        <f t="shared" ca="1" si="36"/>
        <v>20.196211799900738</v>
      </c>
      <c r="P223">
        <v>13.02</v>
      </c>
      <c r="Q223">
        <v>4.5</v>
      </c>
      <c r="R223">
        <f t="shared" ca="1" si="37"/>
        <v>20</v>
      </c>
      <c r="S223">
        <f t="shared" ca="1" si="38"/>
        <v>0.19621179990073578</v>
      </c>
      <c r="T223">
        <f t="shared" ca="1" si="39"/>
        <v>20.196211799900738</v>
      </c>
      <c r="U223">
        <f t="shared" ca="1" si="40"/>
        <v>48.722008352320614</v>
      </c>
    </row>
    <row r="224" spans="1:21" x14ac:dyDescent="0.45">
      <c r="A224">
        <f t="shared" ca="1" si="32"/>
        <v>18</v>
      </c>
      <c r="B224">
        <v>0.34</v>
      </c>
      <c r="C224">
        <f t="shared" ca="1" si="33"/>
        <v>15.7</v>
      </c>
      <c r="D224">
        <v>33.07</v>
      </c>
      <c r="E224">
        <v>4382</v>
      </c>
      <c r="F224">
        <v>10.71</v>
      </c>
      <c r="G224">
        <v>6.06</v>
      </c>
      <c r="H224">
        <v>51</v>
      </c>
      <c r="I224">
        <v>12.09</v>
      </c>
      <c r="J224">
        <v>7.22</v>
      </c>
      <c r="K224">
        <f t="shared" ca="1" si="34"/>
        <v>0.19295036202006527</v>
      </c>
      <c r="M224">
        <f t="shared" ca="1" si="41"/>
        <v>25.239652048403826</v>
      </c>
      <c r="N224">
        <f t="shared" ca="1" si="35"/>
        <v>47.739652048403826</v>
      </c>
      <c r="O224">
        <f t="shared" ca="1" si="36"/>
        <v>19.732024838490535</v>
      </c>
      <c r="P224">
        <v>12.020930232558101</v>
      </c>
      <c r="Q224">
        <v>4.5</v>
      </c>
      <c r="R224">
        <f t="shared" ca="1" si="37"/>
        <v>19.100000000000001</v>
      </c>
      <c r="S224">
        <f t="shared" ca="1" si="38"/>
        <v>0.63202483849053737</v>
      </c>
      <c r="T224">
        <f t="shared" ca="1" si="39"/>
        <v>19.732024838490538</v>
      </c>
      <c r="U224">
        <f t="shared" ca="1" si="40"/>
        <v>47.739652048403826</v>
      </c>
    </row>
    <row r="225" spans="1:21" x14ac:dyDescent="0.45">
      <c r="A225">
        <f t="shared" ca="1" si="32"/>
        <v>18</v>
      </c>
      <c r="B225">
        <v>0.34</v>
      </c>
      <c r="C225">
        <f t="shared" ca="1" si="33"/>
        <v>15.8</v>
      </c>
      <c r="D225">
        <v>30.13</v>
      </c>
      <c r="E225">
        <v>5234</v>
      </c>
      <c r="F225">
        <v>1.1399999999999999</v>
      </c>
      <c r="G225">
        <v>5.04</v>
      </c>
      <c r="H225">
        <v>50.7</v>
      </c>
      <c r="I225">
        <v>11.73</v>
      </c>
      <c r="J225">
        <v>7.4</v>
      </c>
      <c r="K225">
        <f t="shared" ca="1" si="34"/>
        <v>0.17475863811948872</v>
      </c>
      <c r="M225">
        <f t="shared" ca="1" si="41"/>
        <v>24.777029888728158</v>
      </c>
      <c r="N225">
        <f t="shared" ca="1" si="35"/>
        <v>47.277029888728158</v>
      </c>
      <c r="O225">
        <f t="shared" ca="1" si="36"/>
        <v>20.052021081510944</v>
      </c>
      <c r="P225">
        <v>11.229629629629599</v>
      </c>
      <c r="Q225">
        <v>4.5</v>
      </c>
      <c r="R225">
        <f t="shared" ca="1" si="37"/>
        <v>19.600000000000001</v>
      </c>
      <c r="S225">
        <f t="shared" ca="1" si="38"/>
        <v>0.45202108151094156</v>
      </c>
      <c r="T225">
        <f t="shared" ca="1" si="39"/>
        <v>20.052021081510944</v>
      </c>
      <c r="U225">
        <f t="shared" ca="1" si="40"/>
        <v>47.277029888728158</v>
      </c>
    </row>
    <row r="226" spans="1:21" x14ac:dyDescent="0.45">
      <c r="A226">
        <f t="shared" ca="1" si="32"/>
        <v>22</v>
      </c>
      <c r="B226">
        <v>0.34</v>
      </c>
      <c r="C226">
        <f t="shared" ca="1" si="33"/>
        <v>15.5</v>
      </c>
      <c r="D226">
        <v>36.22</v>
      </c>
      <c r="E226">
        <v>4726</v>
      </c>
      <c r="F226">
        <v>2.3199999999999998</v>
      </c>
      <c r="G226">
        <v>6.95</v>
      </c>
      <c r="H226">
        <v>56</v>
      </c>
      <c r="I226">
        <v>11.69</v>
      </c>
      <c r="J226">
        <v>7.21</v>
      </c>
      <c r="K226">
        <f t="shared" si="34"/>
        <v>8.2962962962962961E-2</v>
      </c>
      <c r="M226">
        <v>54</v>
      </c>
      <c r="N226">
        <f t="shared" ca="1" si="35"/>
        <v>47.052987795475715</v>
      </c>
      <c r="O226">
        <f t="shared" ca="1" si="36"/>
        <v>19.764951038654814</v>
      </c>
      <c r="P226">
        <v>13.4181818181818</v>
      </c>
      <c r="Q226">
        <v>4.5</v>
      </c>
      <c r="R226">
        <f t="shared" ca="1" si="37"/>
        <v>19.100000000000001</v>
      </c>
      <c r="S226">
        <f t="shared" ca="1" si="38"/>
        <v>0.66495103865481386</v>
      </c>
      <c r="T226">
        <f t="shared" ca="1" si="39"/>
        <v>19.764951038654814</v>
      </c>
      <c r="U226">
        <f t="shared" ca="1" si="40"/>
        <v>47.052987795475715</v>
      </c>
    </row>
    <row r="227" spans="1:21" x14ac:dyDescent="0.45">
      <c r="A227">
        <f t="shared" ca="1" si="32"/>
        <v>22</v>
      </c>
      <c r="B227">
        <v>0.34</v>
      </c>
      <c r="C227">
        <f t="shared" ca="1" si="33"/>
        <v>14.9</v>
      </c>
      <c r="D227">
        <v>33.04</v>
      </c>
      <c r="E227">
        <v>4261</v>
      </c>
      <c r="F227">
        <v>1.0900000000000001</v>
      </c>
      <c r="G227">
        <v>5.51</v>
      </c>
      <c r="H227">
        <v>53</v>
      </c>
      <c r="I227">
        <v>11.42</v>
      </c>
      <c r="J227">
        <v>7.21</v>
      </c>
      <c r="K227">
        <f t="shared" si="34"/>
        <v>8.2549019607843138E-2</v>
      </c>
      <c r="M227">
        <v>51</v>
      </c>
      <c r="N227">
        <f t="shared" ca="1" si="35"/>
        <v>43.846646361367597</v>
      </c>
      <c r="O227">
        <f t="shared" ca="1" si="36"/>
        <v>20.38924465583953</v>
      </c>
      <c r="P227">
        <v>13.363636363636401</v>
      </c>
      <c r="Q227">
        <v>4.5</v>
      </c>
      <c r="R227">
        <f t="shared" ca="1" si="37"/>
        <v>19.600000000000001</v>
      </c>
      <c r="S227">
        <f t="shared" ca="1" si="38"/>
        <v>0.78924465583952863</v>
      </c>
      <c r="T227">
        <f t="shared" ca="1" si="39"/>
        <v>20.38924465583953</v>
      </c>
      <c r="U227">
        <f t="shared" ca="1" si="40"/>
        <v>43.846646361367597</v>
      </c>
    </row>
    <row r="228" spans="1:21" x14ac:dyDescent="0.45">
      <c r="A228">
        <f t="shared" ca="1" si="32"/>
        <v>21</v>
      </c>
      <c r="B228">
        <v>0.34</v>
      </c>
      <c r="C228">
        <f t="shared" ca="1" si="33"/>
        <v>15.2</v>
      </c>
      <c r="D228">
        <v>35.29</v>
      </c>
      <c r="E228">
        <v>4582</v>
      </c>
      <c r="F228">
        <v>6.9</v>
      </c>
      <c r="G228">
        <v>7.02</v>
      </c>
      <c r="H228">
        <v>56</v>
      </c>
      <c r="I228">
        <v>12.33</v>
      </c>
      <c r="J228">
        <v>7.12</v>
      </c>
      <c r="K228">
        <f t="shared" si="34"/>
        <v>0.14472222222222222</v>
      </c>
      <c r="M228">
        <v>36</v>
      </c>
      <c r="N228">
        <f t="shared" ca="1" si="35"/>
        <v>44.866082788908059</v>
      </c>
      <c r="O228">
        <f t="shared" ca="1" si="36"/>
        <v>20.327159032155748</v>
      </c>
      <c r="P228">
        <v>17.7147540983607</v>
      </c>
      <c r="Q228">
        <v>4.5</v>
      </c>
      <c r="R228">
        <f t="shared" ca="1" si="37"/>
        <v>19.399999999999999</v>
      </c>
      <c r="S228">
        <f t="shared" ca="1" si="38"/>
        <v>0.92715903215574791</v>
      </c>
      <c r="T228">
        <f t="shared" ca="1" si="39"/>
        <v>20.327159032155748</v>
      </c>
      <c r="U228">
        <f t="shared" ca="1" si="40"/>
        <v>44.866082788908059</v>
      </c>
    </row>
    <row r="229" spans="1:21" x14ac:dyDescent="0.45">
      <c r="A229">
        <f t="shared" ca="1" si="32"/>
        <v>21</v>
      </c>
      <c r="B229">
        <v>0.34</v>
      </c>
      <c r="C229">
        <f t="shared" ca="1" si="33"/>
        <v>14.8</v>
      </c>
      <c r="D229">
        <v>34.5</v>
      </c>
      <c r="E229">
        <v>8741</v>
      </c>
      <c r="F229">
        <v>11.85</v>
      </c>
      <c r="G229">
        <v>12.08</v>
      </c>
      <c r="H229">
        <v>73</v>
      </c>
      <c r="I229">
        <v>12.48</v>
      </c>
      <c r="J229">
        <v>7.25</v>
      </c>
      <c r="K229">
        <f t="shared" si="34"/>
        <v>0.10460000000000001</v>
      </c>
      <c r="M229">
        <v>50</v>
      </c>
      <c r="N229">
        <f t="shared" ca="1" si="35"/>
        <v>44.554408175135386</v>
      </c>
      <c r="O229">
        <f t="shared" ca="1" si="36"/>
        <v>19.930687812290792</v>
      </c>
      <c r="P229">
        <v>12.794594594594599</v>
      </c>
      <c r="Q229">
        <v>4.5</v>
      </c>
      <c r="R229">
        <f t="shared" ca="1" si="37"/>
        <v>19.5</v>
      </c>
      <c r="S229">
        <f t="shared" ca="1" si="38"/>
        <v>0.43068781229079023</v>
      </c>
      <c r="T229">
        <f t="shared" ca="1" si="39"/>
        <v>19.930687812290792</v>
      </c>
      <c r="U229">
        <f t="shared" ca="1" si="40"/>
        <v>44.554408175135386</v>
      </c>
    </row>
    <row r="230" spans="1:21" x14ac:dyDescent="0.45">
      <c r="A230">
        <f t="shared" ca="1" si="32"/>
        <v>21</v>
      </c>
      <c r="B230">
        <v>0.35</v>
      </c>
      <c r="C230">
        <f t="shared" ca="1" si="33"/>
        <v>15.2</v>
      </c>
      <c r="D230">
        <v>34.58</v>
      </c>
      <c r="E230">
        <v>6685</v>
      </c>
      <c r="F230">
        <v>10.24</v>
      </c>
      <c r="G230">
        <v>8.56</v>
      </c>
      <c r="H230">
        <v>61.2</v>
      </c>
      <c r="I230">
        <v>11.66</v>
      </c>
      <c r="J230">
        <v>7.45</v>
      </c>
      <c r="K230">
        <f t="shared" ca="1" si="34"/>
        <v>0.20157652006531637</v>
      </c>
      <c r="M230">
        <f t="shared" ref="M230:M248" ca="1" si="42">N230-A230-Q230</f>
        <v>20.885368983628865</v>
      </c>
      <c r="N230">
        <f t="shared" ca="1" si="35"/>
        <v>46.385368983628865</v>
      </c>
      <c r="O230">
        <f t="shared" ca="1" si="36"/>
        <v>19.6613721089915</v>
      </c>
      <c r="P230">
        <v>8.6181818181818208</v>
      </c>
      <c r="Q230">
        <v>4.5</v>
      </c>
      <c r="R230">
        <f t="shared" ca="1" si="37"/>
        <v>19.100000000000001</v>
      </c>
      <c r="S230">
        <f t="shared" ca="1" si="38"/>
        <v>0.56137210899149959</v>
      </c>
      <c r="T230">
        <f t="shared" ca="1" si="39"/>
        <v>19.6613721089915</v>
      </c>
      <c r="U230">
        <f t="shared" ca="1" si="40"/>
        <v>46.385368983628865</v>
      </c>
    </row>
    <row r="231" spans="1:21" s="2" customFormat="1" x14ac:dyDescent="0.45">
      <c r="A231" s="2">
        <f t="shared" ca="1" si="32"/>
        <v>21</v>
      </c>
      <c r="B231" s="2">
        <v>0.35</v>
      </c>
      <c r="C231" s="2">
        <f t="shared" ca="1" si="33"/>
        <v>15.6</v>
      </c>
      <c r="D231" s="2">
        <v>36.46</v>
      </c>
      <c r="E231" s="2">
        <v>6691</v>
      </c>
      <c r="F231" s="2">
        <v>8.57</v>
      </c>
      <c r="G231" s="2">
        <v>4.71</v>
      </c>
      <c r="H231" s="2">
        <v>53.1</v>
      </c>
      <c r="I231" s="2">
        <v>12.54</v>
      </c>
      <c r="J231" s="2">
        <v>7.4</v>
      </c>
      <c r="K231" s="2">
        <f t="shared" ca="1" si="34"/>
        <v>0.24462837960057557</v>
      </c>
      <c r="M231" s="2">
        <f t="shared" ca="1" si="42"/>
        <v>21.011462400202667</v>
      </c>
      <c r="N231" s="2">
        <f t="shared" ca="1" si="35"/>
        <v>46.511462400202667</v>
      </c>
      <c r="O231" s="2">
        <f t="shared" ca="1" si="36"/>
        <v>20.124071609408727</v>
      </c>
      <c r="P231" s="2">
        <v>9.3386138613861398</v>
      </c>
      <c r="Q231" s="2">
        <v>4.5</v>
      </c>
      <c r="R231" s="2">
        <f t="shared" ca="1" si="37"/>
        <v>19.5</v>
      </c>
      <c r="S231" s="2">
        <f t="shared" ca="1" si="38"/>
        <v>0.62407160940872852</v>
      </c>
      <c r="T231" s="2">
        <f t="shared" ca="1" si="39"/>
        <v>20.124071609408727</v>
      </c>
      <c r="U231" s="2">
        <f t="shared" ca="1" si="40"/>
        <v>46.511462400202667</v>
      </c>
    </row>
    <row r="232" spans="1:21" x14ac:dyDescent="0.45">
      <c r="A232">
        <f t="shared" ca="1" si="32"/>
        <v>22</v>
      </c>
      <c r="B232">
        <v>0.35</v>
      </c>
      <c r="C232">
        <f t="shared" ca="1" si="33"/>
        <v>16.2</v>
      </c>
      <c r="D232">
        <v>20.12</v>
      </c>
      <c r="E232">
        <v>7420</v>
      </c>
      <c r="F232">
        <v>11.67</v>
      </c>
      <c r="G232">
        <v>11.05</v>
      </c>
      <c r="H232">
        <v>67.3</v>
      </c>
      <c r="I232">
        <v>12.37</v>
      </c>
      <c r="J232">
        <v>7.4</v>
      </c>
      <c r="K232">
        <f t="shared" ca="1" si="34"/>
        <v>0.2102329460242981</v>
      </c>
      <c r="M232">
        <f t="shared" ca="1" si="42"/>
        <v>23.640443108405954</v>
      </c>
      <c r="N232">
        <f t="shared" ca="1" si="35"/>
        <v>50.140443108405954</v>
      </c>
      <c r="O232">
        <f t="shared" ca="1" si="36"/>
        <v>19.385548665744558</v>
      </c>
      <c r="P232">
        <v>10.780219780219801</v>
      </c>
      <c r="Q232">
        <v>4.5</v>
      </c>
      <c r="R232">
        <f t="shared" ca="1" si="37"/>
        <v>19.3</v>
      </c>
      <c r="S232">
        <f t="shared" ca="1" si="38"/>
        <v>8.5548665744555774E-2</v>
      </c>
      <c r="T232">
        <f t="shared" ca="1" si="39"/>
        <v>19.385548665744558</v>
      </c>
      <c r="U232">
        <f t="shared" ca="1" si="40"/>
        <v>50.140443108405954</v>
      </c>
    </row>
    <row r="233" spans="1:21" x14ac:dyDescent="0.45">
      <c r="A233">
        <f t="shared" ca="1" si="32"/>
        <v>20</v>
      </c>
      <c r="B233">
        <v>0.35</v>
      </c>
      <c r="C233">
        <f t="shared" ca="1" si="33"/>
        <v>16.2</v>
      </c>
      <c r="D233">
        <v>36.15</v>
      </c>
      <c r="E233">
        <v>6352</v>
      </c>
      <c r="F233">
        <v>11.98</v>
      </c>
      <c r="G233">
        <v>11.34</v>
      </c>
      <c r="H233">
        <v>53.3</v>
      </c>
      <c r="I233">
        <v>12.98</v>
      </c>
      <c r="J233">
        <v>7.15</v>
      </c>
      <c r="K233">
        <f t="shared" ca="1" si="34"/>
        <v>0.23888163596045664</v>
      </c>
      <c r="M233">
        <f t="shared" ca="1" si="42"/>
        <v>24.405392137238508</v>
      </c>
      <c r="N233">
        <f t="shared" ca="1" si="35"/>
        <v>48.905392137238508</v>
      </c>
      <c r="O233">
        <f t="shared" ca="1" si="36"/>
        <v>19.875109011954542</v>
      </c>
      <c r="P233">
        <v>11.3</v>
      </c>
      <c r="Q233">
        <v>4.5</v>
      </c>
      <c r="R233">
        <f t="shared" ca="1" si="37"/>
        <v>19.8</v>
      </c>
      <c r="S233">
        <f t="shared" ca="1" si="38"/>
        <v>7.5109011954544558E-2</v>
      </c>
      <c r="T233">
        <f t="shared" ca="1" si="39"/>
        <v>19.875109011954546</v>
      </c>
      <c r="U233">
        <f t="shared" ca="1" si="40"/>
        <v>48.905392137238508</v>
      </c>
    </row>
    <row r="234" spans="1:21" x14ac:dyDescent="0.45">
      <c r="A234">
        <f t="shared" ca="1" si="32"/>
        <v>18</v>
      </c>
      <c r="B234">
        <v>0.35</v>
      </c>
      <c r="C234">
        <f t="shared" ca="1" si="33"/>
        <v>14.8</v>
      </c>
      <c r="D234">
        <v>33.799999999999997</v>
      </c>
      <c r="E234">
        <v>7208</v>
      </c>
      <c r="F234" t="s">
        <v>24</v>
      </c>
      <c r="G234" t="s">
        <v>25</v>
      </c>
      <c r="H234">
        <v>63.3</v>
      </c>
      <c r="I234">
        <v>12.43</v>
      </c>
      <c r="J234">
        <v>7.32</v>
      </c>
      <c r="K234">
        <f t="shared" ca="1" si="34"/>
        <v>0.2377657834492341</v>
      </c>
      <c r="M234">
        <f t="shared" ca="1" si="42"/>
        <v>21.491738322772783</v>
      </c>
      <c r="N234">
        <f t="shared" ca="1" si="35"/>
        <v>43.991738322772783</v>
      </c>
      <c r="O234">
        <f t="shared" ca="1" si="36"/>
        <v>20.185608340471457</v>
      </c>
      <c r="P234">
        <v>14.301369863013701</v>
      </c>
      <c r="Q234">
        <v>4.5</v>
      </c>
      <c r="R234">
        <f t="shared" ca="1" si="37"/>
        <v>20</v>
      </c>
      <c r="S234">
        <f t="shared" ca="1" si="38"/>
        <v>0.18560834047145236</v>
      </c>
      <c r="T234">
        <f t="shared" ca="1" si="39"/>
        <v>20.185608340471454</v>
      </c>
      <c r="U234">
        <f t="shared" ca="1" si="40"/>
        <v>43.991738322772783</v>
      </c>
    </row>
    <row r="235" spans="1:21" x14ac:dyDescent="0.45">
      <c r="A235">
        <f t="shared" ca="1" si="32"/>
        <v>19</v>
      </c>
      <c r="B235">
        <v>0.35</v>
      </c>
      <c r="C235">
        <f t="shared" ca="1" si="33"/>
        <v>16.399999999999999</v>
      </c>
      <c r="D235">
        <v>619.94000000000005</v>
      </c>
      <c r="E235">
        <v>37.92</v>
      </c>
      <c r="F235">
        <v>35.33</v>
      </c>
      <c r="G235">
        <v>7284</v>
      </c>
      <c r="H235">
        <v>50.2</v>
      </c>
      <c r="I235">
        <v>11.8</v>
      </c>
      <c r="J235">
        <v>7.53</v>
      </c>
      <c r="K235">
        <f t="shared" ca="1" si="34"/>
        <v>0.16781100435693599</v>
      </c>
      <c r="M235">
        <f t="shared" ca="1" si="42"/>
        <v>25.445291960220082</v>
      </c>
      <c r="N235">
        <f t="shared" ca="1" si="35"/>
        <v>48.945291960220082</v>
      </c>
      <c r="O235">
        <f t="shared" ca="1" si="36"/>
        <v>20.104078668071661</v>
      </c>
      <c r="P235">
        <v>17.5178571428571</v>
      </c>
      <c r="Q235">
        <v>4.5</v>
      </c>
      <c r="R235">
        <f t="shared" ca="1" si="37"/>
        <v>19.2</v>
      </c>
      <c r="S235">
        <f t="shared" ca="1" si="38"/>
        <v>0.90407866807166304</v>
      </c>
      <c r="T235">
        <f t="shared" ca="1" si="39"/>
        <v>20.104078668071661</v>
      </c>
      <c r="U235">
        <f t="shared" ca="1" si="40"/>
        <v>48.945291960220082</v>
      </c>
    </row>
    <row r="236" spans="1:21" x14ac:dyDescent="0.45">
      <c r="A236">
        <f t="shared" ca="1" si="32"/>
        <v>19</v>
      </c>
      <c r="B236">
        <v>0.35</v>
      </c>
      <c r="C236">
        <f t="shared" ca="1" si="33"/>
        <v>16.5</v>
      </c>
      <c r="D236">
        <v>33.42</v>
      </c>
      <c r="E236">
        <v>6616</v>
      </c>
      <c r="F236">
        <v>13.25</v>
      </c>
      <c r="G236">
        <v>9.3699999999999992</v>
      </c>
      <c r="H236">
        <v>65.89</v>
      </c>
      <c r="I236">
        <v>12.91</v>
      </c>
      <c r="J236">
        <v>7.24</v>
      </c>
      <c r="K236">
        <f t="shared" ca="1" si="34"/>
        <v>0.22104288157934823</v>
      </c>
      <c r="M236">
        <f t="shared" ca="1" si="42"/>
        <v>25.651131398070504</v>
      </c>
      <c r="N236">
        <f t="shared" ca="1" si="35"/>
        <v>49.151131398070504</v>
      </c>
      <c r="O236">
        <f t="shared" ca="1" si="36"/>
        <v>20.141957506167678</v>
      </c>
      <c r="P236">
        <v>14.0597014925373</v>
      </c>
      <c r="Q236">
        <v>4.5</v>
      </c>
      <c r="R236">
        <f t="shared" ca="1" si="37"/>
        <v>20</v>
      </c>
      <c r="S236">
        <f t="shared" ca="1" si="38"/>
        <v>0.14195750616767699</v>
      </c>
      <c r="T236">
        <f t="shared" ca="1" si="39"/>
        <v>20.141957506167678</v>
      </c>
      <c r="U236">
        <f t="shared" ca="1" si="40"/>
        <v>49.151131398070504</v>
      </c>
    </row>
    <row r="237" spans="1:21" x14ac:dyDescent="0.45">
      <c r="A237">
        <f t="shared" ca="1" si="32"/>
        <v>21</v>
      </c>
      <c r="B237">
        <v>0.35</v>
      </c>
      <c r="C237">
        <f t="shared" ca="1" si="33"/>
        <v>14.8</v>
      </c>
      <c r="D237">
        <v>31.44</v>
      </c>
      <c r="E237">
        <v>6385</v>
      </c>
      <c r="F237">
        <v>7.37</v>
      </c>
      <c r="G237">
        <v>6.93</v>
      </c>
      <c r="H237">
        <v>60.83</v>
      </c>
      <c r="I237">
        <v>13.18</v>
      </c>
      <c r="J237">
        <v>7.35</v>
      </c>
      <c r="K237">
        <f t="shared" ca="1" si="34"/>
        <v>0.29643894259305847</v>
      </c>
      <c r="M237">
        <f t="shared" ca="1" si="42"/>
        <v>19.666781796625251</v>
      </c>
      <c r="N237">
        <f t="shared" ca="1" si="35"/>
        <v>45.166781796625251</v>
      </c>
      <c r="O237">
        <f t="shared" ca="1" si="36"/>
        <v>19.660466490582451</v>
      </c>
      <c r="P237">
        <v>12.859459459459501</v>
      </c>
      <c r="Q237">
        <v>4.5</v>
      </c>
      <c r="R237">
        <f t="shared" ca="1" si="37"/>
        <v>19.2</v>
      </c>
      <c r="S237">
        <f t="shared" ca="1" si="38"/>
        <v>0.46046649058244815</v>
      </c>
      <c r="T237">
        <f t="shared" ca="1" si="39"/>
        <v>19.660466490582447</v>
      </c>
      <c r="U237">
        <f t="shared" ca="1" si="40"/>
        <v>45.166781796625251</v>
      </c>
    </row>
    <row r="238" spans="1:21" x14ac:dyDescent="0.45">
      <c r="A238">
        <f t="shared" ca="1" si="32"/>
        <v>17</v>
      </c>
      <c r="B238">
        <v>0.35</v>
      </c>
      <c r="C238">
        <f t="shared" ca="1" si="33"/>
        <v>16.3</v>
      </c>
      <c r="D238">
        <v>30.25</v>
      </c>
      <c r="E238">
        <v>6523</v>
      </c>
      <c r="F238">
        <v>5.88</v>
      </c>
      <c r="G238">
        <v>0.14000000000000001</v>
      </c>
      <c r="H238">
        <v>54.9</v>
      </c>
      <c r="I238">
        <v>13.2</v>
      </c>
      <c r="J238">
        <v>7.38</v>
      </c>
      <c r="K238">
        <f t="shared" ca="1" si="34"/>
        <v>0.21570617089489491</v>
      </c>
      <c r="M238">
        <f t="shared" ca="1" si="42"/>
        <v>26.981147437065466</v>
      </c>
      <c r="N238">
        <f t="shared" ca="1" si="35"/>
        <v>48.481147437065466</v>
      </c>
      <c r="O238">
        <f t="shared" ca="1" si="36"/>
        <v>20.17278987197168</v>
      </c>
      <c r="P238">
        <v>7.6176000000000004</v>
      </c>
      <c r="Q238">
        <v>4.5</v>
      </c>
      <c r="R238">
        <f t="shared" ca="1" si="37"/>
        <v>19.7</v>
      </c>
      <c r="S238">
        <f t="shared" ca="1" si="38"/>
        <v>0.47278987197168287</v>
      </c>
      <c r="T238">
        <f t="shared" ca="1" si="39"/>
        <v>20.17278987197168</v>
      </c>
      <c r="U238">
        <f t="shared" ca="1" si="40"/>
        <v>48.481147437065466</v>
      </c>
    </row>
    <row r="239" spans="1:21" x14ac:dyDescent="0.45">
      <c r="A239">
        <f t="shared" ca="1" si="32"/>
        <v>22</v>
      </c>
      <c r="B239">
        <v>0.35</v>
      </c>
      <c r="C239">
        <f t="shared" ca="1" si="33"/>
        <v>15.2</v>
      </c>
      <c r="D239">
        <v>42</v>
      </c>
      <c r="E239">
        <v>6325</v>
      </c>
      <c r="F239">
        <v>7.17</v>
      </c>
      <c r="G239">
        <v>6.9</v>
      </c>
      <c r="H239">
        <v>54.1</v>
      </c>
      <c r="I239">
        <v>12.6</v>
      </c>
      <c r="J239">
        <v>7.35</v>
      </c>
      <c r="K239">
        <f t="shared" ca="1" si="34"/>
        <v>0.2754404283822609</v>
      </c>
      <c r="M239">
        <f t="shared" ca="1" si="42"/>
        <v>19.060382787068427</v>
      </c>
      <c r="N239">
        <f t="shared" ca="1" si="35"/>
        <v>45.560382787068427</v>
      </c>
      <c r="O239">
        <f t="shared" ca="1" si="36"/>
        <v>20.017391079928686</v>
      </c>
      <c r="P239">
        <v>10.58</v>
      </c>
      <c r="Q239">
        <v>4.5</v>
      </c>
      <c r="R239">
        <f t="shared" ca="1" si="37"/>
        <v>19.399999999999999</v>
      </c>
      <c r="S239">
        <f t="shared" ca="1" si="38"/>
        <v>0.61739107992868592</v>
      </c>
      <c r="T239">
        <f t="shared" ca="1" si="39"/>
        <v>20.017391079928686</v>
      </c>
      <c r="U239">
        <f t="shared" ca="1" si="40"/>
        <v>45.560382787068427</v>
      </c>
    </row>
    <row r="240" spans="1:21" s="2" customFormat="1" x14ac:dyDescent="0.45">
      <c r="A240" s="2">
        <f t="shared" ca="1" si="32"/>
        <v>20</v>
      </c>
      <c r="B240" s="2">
        <v>0.35</v>
      </c>
      <c r="C240" s="2">
        <f t="shared" ca="1" si="33"/>
        <v>15.7</v>
      </c>
      <c r="D240" s="2">
        <v>39.9</v>
      </c>
      <c r="E240" s="2">
        <v>6671</v>
      </c>
      <c r="F240" s="2">
        <v>11.78</v>
      </c>
      <c r="G240" s="2">
        <v>11.14</v>
      </c>
      <c r="H240" s="2">
        <v>53</v>
      </c>
      <c r="I240" s="2">
        <v>12.45</v>
      </c>
      <c r="J240" s="2">
        <v>7.14</v>
      </c>
      <c r="K240" s="2">
        <f t="shared" ca="1" si="34"/>
        <v>0.22325876096339062</v>
      </c>
      <c r="M240" s="2">
        <f t="shared" ca="1" si="42"/>
        <v>23.784061046861758</v>
      </c>
      <c r="N240" s="2">
        <f t="shared" ca="1" si="35"/>
        <v>48.284061046861758</v>
      </c>
      <c r="O240" s="2">
        <f t="shared" ca="1" si="36"/>
        <v>19.509543720561293</v>
      </c>
      <c r="P240" s="2">
        <v>12.3506493506494</v>
      </c>
      <c r="Q240" s="2">
        <v>4.5</v>
      </c>
      <c r="R240" s="2">
        <f t="shared" ca="1" si="37"/>
        <v>19</v>
      </c>
      <c r="S240" s="2">
        <f t="shared" ca="1" si="38"/>
        <v>0.50954372056129338</v>
      </c>
      <c r="T240" s="2">
        <f t="shared" ca="1" si="39"/>
        <v>19.509543720561293</v>
      </c>
      <c r="U240" s="2">
        <f t="shared" ca="1" si="40"/>
        <v>48.284061046861758</v>
      </c>
    </row>
    <row r="241" spans="1:21" x14ac:dyDescent="0.45">
      <c r="A241">
        <f t="shared" ca="1" si="32"/>
        <v>16</v>
      </c>
      <c r="B241">
        <v>0.35</v>
      </c>
      <c r="C241">
        <f t="shared" ca="1" si="33"/>
        <v>14.6</v>
      </c>
      <c r="D241">
        <v>41.96</v>
      </c>
      <c r="E241">
        <v>6577</v>
      </c>
      <c r="F241">
        <v>9.8800000000000008</v>
      </c>
      <c r="G241">
        <v>11.87</v>
      </c>
      <c r="H241">
        <v>63.25</v>
      </c>
      <c r="I241">
        <v>11.87</v>
      </c>
      <c r="J241">
        <v>7.03</v>
      </c>
      <c r="K241">
        <f t="shared" ca="1" si="34"/>
        <v>0.22113739201466359</v>
      </c>
      <c r="M241">
        <f t="shared" ca="1" si="42"/>
        <v>21.886845801632042</v>
      </c>
      <c r="N241">
        <f t="shared" ca="1" si="35"/>
        <v>42.386845801632042</v>
      </c>
      <c r="O241">
        <f t="shared" ca="1" si="36"/>
        <v>20.666789034023168</v>
      </c>
      <c r="P241">
        <v>14.3727272727273</v>
      </c>
      <c r="Q241">
        <v>4.5</v>
      </c>
      <c r="R241">
        <f t="shared" ca="1" si="37"/>
        <v>19.8</v>
      </c>
      <c r="S241">
        <f t="shared" ca="1" si="38"/>
        <v>0.86678903402316709</v>
      </c>
      <c r="T241">
        <f t="shared" ca="1" si="39"/>
        <v>20.666789034023168</v>
      </c>
      <c r="U241">
        <f t="shared" ca="1" si="40"/>
        <v>42.386845801632042</v>
      </c>
    </row>
    <row r="242" spans="1:21" x14ac:dyDescent="0.45">
      <c r="A242">
        <f t="shared" ca="1" si="32"/>
        <v>16</v>
      </c>
      <c r="B242">
        <v>0.35</v>
      </c>
      <c r="C242">
        <f t="shared" ca="1" si="33"/>
        <v>15.8</v>
      </c>
      <c r="D242">
        <v>42.86</v>
      </c>
      <c r="E242">
        <v>6461</v>
      </c>
      <c r="F242">
        <v>13.07</v>
      </c>
      <c r="G242">
        <v>13.37</v>
      </c>
      <c r="H242">
        <v>52.8</v>
      </c>
      <c r="I242">
        <v>12.86</v>
      </c>
      <c r="J242">
        <v>7.17</v>
      </c>
      <c r="K242">
        <f t="shared" ca="1" si="34"/>
        <v>0.21637137554302852</v>
      </c>
      <c r="M242">
        <f t="shared" ca="1" si="42"/>
        <v>26.29737868846918</v>
      </c>
      <c r="N242">
        <f t="shared" ca="1" si="35"/>
        <v>46.79737868846918</v>
      </c>
      <c r="O242">
        <f t="shared" ca="1" si="36"/>
        <v>20.257544900342594</v>
      </c>
      <c r="P242">
        <v>13.895652173913</v>
      </c>
      <c r="Q242">
        <v>4.5</v>
      </c>
      <c r="R242">
        <f t="shared" ca="1" si="37"/>
        <v>19.7</v>
      </c>
      <c r="S242">
        <f t="shared" ca="1" si="38"/>
        <v>0.55754490034259596</v>
      </c>
      <c r="T242">
        <f t="shared" ca="1" si="39"/>
        <v>20.257544900342594</v>
      </c>
      <c r="U242">
        <f t="shared" ca="1" si="40"/>
        <v>46.79737868846918</v>
      </c>
    </row>
    <row r="243" spans="1:21" x14ac:dyDescent="0.45">
      <c r="A243">
        <f t="shared" ca="1" si="32"/>
        <v>20</v>
      </c>
      <c r="B243">
        <v>0.35</v>
      </c>
      <c r="C243">
        <f t="shared" ca="1" si="33"/>
        <v>15.7</v>
      </c>
      <c r="D243">
        <v>30.49</v>
      </c>
      <c r="E243">
        <v>6523</v>
      </c>
      <c r="F243">
        <v>15.44</v>
      </c>
      <c r="G243">
        <v>12.48</v>
      </c>
      <c r="H243">
        <v>61.25</v>
      </c>
      <c r="I243">
        <v>12.17</v>
      </c>
      <c r="J243">
        <v>7</v>
      </c>
      <c r="K243">
        <f t="shared" ca="1" si="34"/>
        <v>0.24388551213183957</v>
      </c>
      <c r="M243">
        <f t="shared" ca="1" si="42"/>
        <v>21.198471179399959</v>
      </c>
      <c r="N243">
        <f t="shared" ca="1" si="35"/>
        <v>45.698471179399959</v>
      </c>
      <c r="O243">
        <f t="shared" ca="1" si="36"/>
        <v>20.613381053864146</v>
      </c>
      <c r="P243">
        <v>8.73818181818182</v>
      </c>
      <c r="Q243">
        <v>4.5</v>
      </c>
      <c r="R243">
        <f t="shared" ca="1" si="37"/>
        <v>19.899999999999999</v>
      </c>
      <c r="S243">
        <f t="shared" ca="1" si="38"/>
        <v>0.71338105386415107</v>
      </c>
      <c r="T243">
        <f t="shared" ca="1" si="39"/>
        <v>20.613381053864149</v>
      </c>
      <c r="U243">
        <f t="shared" ca="1" si="40"/>
        <v>45.698471179399959</v>
      </c>
    </row>
    <row r="244" spans="1:21" s="2" customFormat="1" x14ac:dyDescent="0.45">
      <c r="A244" s="2">
        <f t="shared" ca="1" si="32"/>
        <v>22</v>
      </c>
      <c r="B244" s="2">
        <v>0.35</v>
      </c>
      <c r="C244" s="2">
        <f t="shared" ca="1" si="33"/>
        <v>16.5</v>
      </c>
      <c r="D244" s="2">
        <v>37.86</v>
      </c>
      <c r="E244" s="2">
        <v>7098</v>
      </c>
      <c r="F244" s="2">
        <v>12.12</v>
      </c>
      <c r="G244" s="2">
        <v>11.38</v>
      </c>
      <c r="H244" s="2">
        <v>52.3</v>
      </c>
      <c r="I244" s="2">
        <v>11.93</v>
      </c>
      <c r="J244" s="2">
        <v>7.26</v>
      </c>
      <c r="K244" s="2">
        <f t="shared" ca="1" si="34"/>
        <v>0.19657849488526671</v>
      </c>
      <c r="M244" s="2">
        <f t="shared" ca="1" si="42"/>
        <v>23.75641345064551</v>
      </c>
      <c r="N244" s="2">
        <f t="shared" ca="1" si="35"/>
        <v>50.25641345064551</v>
      </c>
      <c r="O244" s="2">
        <f t="shared" ca="1" si="36"/>
        <v>19.698978339794042</v>
      </c>
      <c r="P244" s="2">
        <v>14.005970149253701</v>
      </c>
      <c r="Q244" s="2">
        <v>4.5</v>
      </c>
      <c r="R244" s="2">
        <f t="shared" ca="1" si="37"/>
        <v>19</v>
      </c>
      <c r="S244" s="2">
        <f t="shared" ca="1" si="38"/>
        <v>0.69897833979404689</v>
      </c>
      <c r="T244" s="2">
        <f t="shared" ca="1" si="39"/>
        <v>19.698978339794046</v>
      </c>
      <c r="U244" s="2">
        <f t="shared" ca="1" si="40"/>
        <v>50.25641345064551</v>
      </c>
    </row>
    <row r="245" spans="1:21" x14ac:dyDescent="0.45">
      <c r="A245">
        <f t="shared" ca="1" si="32"/>
        <v>20</v>
      </c>
      <c r="B245">
        <v>0.35</v>
      </c>
      <c r="C245">
        <f t="shared" ca="1" si="33"/>
        <v>15.6</v>
      </c>
      <c r="D245">
        <v>31.54</v>
      </c>
      <c r="E245">
        <v>4152</v>
      </c>
      <c r="F245">
        <v>2.4700000000000002</v>
      </c>
      <c r="G245">
        <v>4.2</v>
      </c>
      <c r="H245">
        <v>50.3</v>
      </c>
      <c r="I245">
        <v>12.23</v>
      </c>
      <c r="J245">
        <v>7.4</v>
      </c>
      <c r="K245">
        <f t="shared" ca="1" si="34"/>
        <v>0.1993712013913318</v>
      </c>
      <c r="M245">
        <f t="shared" ca="1" si="42"/>
        <v>24.226166900201051</v>
      </c>
      <c r="N245">
        <f t="shared" ca="1" si="35"/>
        <v>48.726166900201051</v>
      </c>
      <c r="O245">
        <f t="shared" ca="1" si="36"/>
        <v>19.209391165881712</v>
      </c>
      <c r="P245">
        <v>12.8112676056338</v>
      </c>
      <c r="Q245">
        <v>4.5</v>
      </c>
      <c r="R245">
        <f t="shared" ca="1" si="37"/>
        <v>19.2</v>
      </c>
      <c r="S245">
        <f t="shared" ca="1" si="38"/>
        <v>9.3911658817141808E-3</v>
      </c>
      <c r="T245">
        <f t="shared" ca="1" si="39"/>
        <v>19.209391165881712</v>
      </c>
      <c r="U245">
        <f t="shared" ca="1" si="40"/>
        <v>48.726166900201051</v>
      </c>
    </row>
    <row r="246" spans="1:21" x14ac:dyDescent="0.45">
      <c r="A246">
        <f t="shared" ca="1" si="32"/>
        <v>19</v>
      </c>
      <c r="B246">
        <v>0.35</v>
      </c>
      <c r="C246">
        <f t="shared" ca="1" si="33"/>
        <v>16.399999999999999</v>
      </c>
      <c r="D246">
        <v>33.57</v>
      </c>
      <c r="E246">
        <v>4462</v>
      </c>
      <c r="F246">
        <v>3.48</v>
      </c>
      <c r="G246">
        <v>8.43</v>
      </c>
      <c r="H246">
        <v>52</v>
      </c>
      <c r="I246">
        <v>11.95</v>
      </c>
      <c r="J246">
        <v>7.24</v>
      </c>
      <c r="K246">
        <f t="shared" ca="1" si="34"/>
        <v>0.19224267877401796</v>
      </c>
      <c r="M246">
        <f t="shared" ca="1" si="42"/>
        <v>24.500282819803104</v>
      </c>
      <c r="N246">
        <f t="shared" ca="1" si="35"/>
        <v>48.000282819803104</v>
      </c>
      <c r="O246">
        <f t="shared" ca="1" si="36"/>
        <v>20.499879213087443</v>
      </c>
      <c r="P246">
        <v>10.0659574468085</v>
      </c>
      <c r="Q246">
        <v>4.5</v>
      </c>
      <c r="R246">
        <f t="shared" ca="1" si="37"/>
        <v>19.600000000000001</v>
      </c>
      <c r="S246">
        <f t="shared" ca="1" si="38"/>
        <v>0.89987921308744023</v>
      </c>
      <c r="T246">
        <f t="shared" ca="1" si="39"/>
        <v>20.499879213087443</v>
      </c>
      <c r="U246">
        <f t="shared" ca="1" si="40"/>
        <v>48.000282819803104</v>
      </c>
    </row>
    <row r="247" spans="1:21" x14ac:dyDescent="0.45">
      <c r="A247">
        <f t="shared" ca="1" si="32"/>
        <v>20</v>
      </c>
      <c r="B247">
        <v>0.35</v>
      </c>
      <c r="C247">
        <f t="shared" ca="1" si="33"/>
        <v>16.3</v>
      </c>
      <c r="D247">
        <v>35.44</v>
      </c>
      <c r="E247">
        <v>4751</v>
      </c>
      <c r="F247">
        <v>2.92</v>
      </c>
      <c r="G247">
        <v>6.74</v>
      </c>
      <c r="H247">
        <v>50.6</v>
      </c>
      <c r="I247">
        <v>11.72</v>
      </c>
      <c r="J247">
        <v>7.33</v>
      </c>
      <c r="K247">
        <f t="shared" ca="1" si="34"/>
        <v>0.18442553485456792</v>
      </c>
      <c r="M247">
        <f t="shared" ca="1" si="42"/>
        <v>23.803645213564458</v>
      </c>
      <c r="N247">
        <f t="shared" ca="1" si="35"/>
        <v>48.303645213564458</v>
      </c>
      <c r="O247">
        <f t="shared" ca="1" si="36"/>
        <v>20.246919164712679</v>
      </c>
      <c r="P247">
        <v>11.1290322580645</v>
      </c>
      <c r="Q247">
        <v>4.5</v>
      </c>
      <c r="R247">
        <f t="shared" ca="1" si="37"/>
        <v>19.600000000000001</v>
      </c>
      <c r="S247">
        <f t="shared" ca="1" si="38"/>
        <v>0.64691916471267485</v>
      </c>
      <c r="T247">
        <f t="shared" ca="1" si="39"/>
        <v>20.246919164712676</v>
      </c>
      <c r="U247">
        <f t="shared" ca="1" si="40"/>
        <v>48.303645213564458</v>
      </c>
    </row>
    <row r="248" spans="1:21" x14ac:dyDescent="0.45">
      <c r="A248">
        <f t="shared" ca="1" si="32"/>
        <v>19</v>
      </c>
      <c r="B248">
        <v>0.35</v>
      </c>
      <c r="C248">
        <f t="shared" ca="1" si="33"/>
        <v>16.100000000000001</v>
      </c>
      <c r="D248">
        <v>33.159999999999997</v>
      </c>
      <c r="E248">
        <v>4581</v>
      </c>
      <c r="F248">
        <v>7.24</v>
      </c>
      <c r="G248">
        <v>6.92</v>
      </c>
      <c r="H248">
        <v>54.8</v>
      </c>
      <c r="I248">
        <v>11.47</v>
      </c>
      <c r="J248">
        <v>7.4</v>
      </c>
      <c r="K248">
        <f t="shared" ca="1" si="34"/>
        <v>0.1633466168200341</v>
      </c>
      <c r="M248">
        <f t="shared" ca="1" si="42"/>
        <v>24.916340963976573</v>
      </c>
      <c r="N248">
        <f t="shared" ca="1" si="35"/>
        <v>48.416340963976573</v>
      </c>
      <c r="O248">
        <f t="shared" ca="1" si="36"/>
        <v>19.951941447180765</v>
      </c>
      <c r="P248">
        <v>15.84</v>
      </c>
      <c r="Q248">
        <v>4.5</v>
      </c>
      <c r="R248">
        <f t="shared" ca="1" si="37"/>
        <v>19.399999999999999</v>
      </c>
      <c r="S248">
        <f t="shared" ca="1" si="38"/>
        <v>0.55194144718076721</v>
      </c>
      <c r="T248">
        <f t="shared" ca="1" si="39"/>
        <v>19.951941447180765</v>
      </c>
      <c r="U248">
        <f t="shared" ca="1" si="40"/>
        <v>48.416340963976573</v>
      </c>
    </row>
    <row r="249" spans="1:21" x14ac:dyDescent="0.45">
      <c r="A249">
        <f t="shared" ca="1" si="32"/>
        <v>20</v>
      </c>
      <c r="B249">
        <v>0.35</v>
      </c>
      <c r="C249">
        <f t="shared" ca="1" si="33"/>
        <v>16.100000000000001</v>
      </c>
      <c r="D249">
        <v>36.44</v>
      </c>
      <c r="E249">
        <v>4857</v>
      </c>
      <c r="F249">
        <v>0.36</v>
      </c>
      <c r="G249">
        <v>7.08</v>
      </c>
      <c r="H249">
        <v>54</v>
      </c>
      <c r="I249">
        <v>12.32</v>
      </c>
      <c r="J249">
        <v>7.41</v>
      </c>
      <c r="K249">
        <f t="shared" si="34"/>
        <v>0.12275</v>
      </c>
      <c r="M249">
        <v>40</v>
      </c>
      <c r="N249">
        <f t="shared" ca="1" si="35"/>
        <v>47.525261014218408</v>
      </c>
      <c r="O249">
        <f t="shared" ca="1" si="36"/>
        <v>20.326032501136527</v>
      </c>
      <c r="P249">
        <v>16.0746268656716</v>
      </c>
      <c r="Q249">
        <v>4.5</v>
      </c>
      <c r="R249">
        <f t="shared" ca="1" si="37"/>
        <v>19.8</v>
      </c>
      <c r="S249">
        <f t="shared" ca="1" si="38"/>
        <v>0.52603250113652555</v>
      </c>
      <c r="T249">
        <f t="shared" ca="1" si="39"/>
        <v>20.326032501136527</v>
      </c>
      <c r="U249">
        <f t="shared" ca="1" si="40"/>
        <v>47.525261014218408</v>
      </c>
    </row>
    <row r="250" spans="1:21" x14ac:dyDescent="0.45">
      <c r="A250">
        <f t="shared" ca="1" si="32"/>
        <v>22</v>
      </c>
      <c r="B250">
        <v>0.36</v>
      </c>
      <c r="C250">
        <f t="shared" ca="1" si="33"/>
        <v>15.1</v>
      </c>
      <c r="D250">
        <v>40.130000000000003</v>
      </c>
      <c r="E250">
        <v>6522</v>
      </c>
      <c r="F250">
        <v>6.37</v>
      </c>
      <c r="G250">
        <v>0.14000000000000001</v>
      </c>
      <c r="H250">
        <v>61.3</v>
      </c>
      <c r="I250">
        <v>12.9</v>
      </c>
      <c r="J250">
        <v>7.28</v>
      </c>
      <c r="K250">
        <f t="shared" ca="1" si="34"/>
        <v>0.27487968780729266</v>
      </c>
      <c r="M250">
        <f t="shared" ref="M250:M260" ca="1" si="43">N250-A250-Q250</f>
        <v>20.445308435958211</v>
      </c>
      <c r="N250">
        <f t="shared" ca="1" si="35"/>
        <v>46.945308435958211</v>
      </c>
      <c r="O250">
        <f t="shared" ca="1" si="36"/>
        <v>19.299053093579005</v>
      </c>
      <c r="P250">
        <v>7.8545454545454598</v>
      </c>
      <c r="Q250">
        <v>4.5</v>
      </c>
      <c r="R250">
        <f t="shared" ca="1" si="37"/>
        <v>19.100000000000001</v>
      </c>
      <c r="S250">
        <f t="shared" ca="1" si="38"/>
        <v>0.19905309357900769</v>
      </c>
      <c r="T250">
        <f t="shared" ca="1" si="39"/>
        <v>19.299053093579008</v>
      </c>
      <c r="U250">
        <f t="shared" ca="1" si="40"/>
        <v>46.945308435958211</v>
      </c>
    </row>
    <row r="251" spans="1:21" s="2" customFormat="1" x14ac:dyDescent="0.45">
      <c r="A251" s="2">
        <f t="shared" ca="1" si="32"/>
        <v>18</v>
      </c>
      <c r="B251" s="2">
        <v>0.36</v>
      </c>
      <c r="C251" s="2">
        <f t="shared" ca="1" si="33"/>
        <v>15.5</v>
      </c>
      <c r="D251" s="2">
        <v>36.369999999999997</v>
      </c>
      <c r="E251" s="2">
        <v>6444</v>
      </c>
      <c r="F251" s="2">
        <v>11.11</v>
      </c>
      <c r="G251" s="2">
        <v>11.16</v>
      </c>
      <c r="H251" s="2">
        <v>59</v>
      </c>
      <c r="I251" s="2">
        <v>12.12</v>
      </c>
      <c r="J251" s="2">
        <v>7.34</v>
      </c>
      <c r="K251" s="2">
        <f t="shared" ca="1" si="34"/>
        <v>0.19318059507635016</v>
      </c>
      <c r="M251" s="2">
        <f t="shared" ca="1" si="43"/>
        <v>24.743686073183568</v>
      </c>
      <c r="N251" s="2">
        <f t="shared" ca="1" si="35"/>
        <v>47.243686073183568</v>
      </c>
      <c r="O251" s="2">
        <f t="shared" ca="1" si="36"/>
        <v>19.685170174049691</v>
      </c>
      <c r="P251" s="2">
        <v>10.862068965517199</v>
      </c>
      <c r="Q251" s="2">
        <v>4.5</v>
      </c>
      <c r="R251" s="2">
        <f t="shared" ca="1" si="37"/>
        <v>19.2</v>
      </c>
      <c r="S251" s="2">
        <f t="shared" ca="1" si="38"/>
        <v>0.48517017404969365</v>
      </c>
      <c r="T251" s="2">
        <f t="shared" ca="1" si="39"/>
        <v>19.685170174049691</v>
      </c>
      <c r="U251" s="2">
        <f t="shared" ca="1" si="40"/>
        <v>47.243686073183568</v>
      </c>
    </row>
    <row r="252" spans="1:21" x14ac:dyDescent="0.45">
      <c r="A252">
        <f t="shared" ca="1" si="32"/>
        <v>16</v>
      </c>
      <c r="B252">
        <v>0.36</v>
      </c>
      <c r="C252">
        <f t="shared" ca="1" si="33"/>
        <v>15.9</v>
      </c>
      <c r="D252">
        <v>38.049999999999997</v>
      </c>
      <c r="E252">
        <v>6547</v>
      </c>
      <c r="F252">
        <v>8.3800000000000008</v>
      </c>
      <c r="G252">
        <v>5.51</v>
      </c>
      <c r="H252">
        <v>54.6</v>
      </c>
      <c r="I252">
        <v>12.22</v>
      </c>
      <c r="J252">
        <v>7.38</v>
      </c>
      <c r="K252">
        <f t="shared" ca="1" si="34"/>
        <v>0.18012159963228042</v>
      </c>
      <c r="M252">
        <f t="shared" ca="1" si="43"/>
        <v>26.870736268614628</v>
      </c>
      <c r="N252">
        <f t="shared" ca="1" si="35"/>
        <v>47.370736268614628</v>
      </c>
      <c r="O252">
        <f t="shared" ca="1" si="36"/>
        <v>20.139015669724149</v>
      </c>
      <c r="P252">
        <v>12.342857142857101</v>
      </c>
      <c r="Q252">
        <v>4.5</v>
      </c>
      <c r="R252">
        <f t="shared" ca="1" si="37"/>
        <v>19.5</v>
      </c>
      <c r="S252">
        <f t="shared" ca="1" si="38"/>
        <v>0.63901566972414769</v>
      </c>
      <c r="T252">
        <f t="shared" ca="1" si="39"/>
        <v>20.139015669724149</v>
      </c>
      <c r="U252">
        <f t="shared" ca="1" si="40"/>
        <v>47.370736268614628</v>
      </c>
    </row>
    <row r="253" spans="1:21" x14ac:dyDescent="0.45">
      <c r="A253">
        <f t="shared" ca="1" si="32"/>
        <v>16</v>
      </c>
      <c r="B253">
        <v>0.36</v>
      </c>
      <c r="C253">
        <f t="shared" ca="1" si="33"/>
        <v>14.6</v>
      </c>
      <c r="D253">
        <v>40.4</v>
      </c>
      <c r="E253">
        <v>6348</v>
      </c>
      <c r="H253">
        <v>51.6</v>
      </c>
      <c r="I253">
        <v>12.63</v>
      </c>
      <c r="J253">
        <v>7.2</v>
      </c>
      <c r="K253">
        <f t="shared" ca="1" si="34"/>
        <v>0.24034933937965042</v>
      </c>
      <c r="M253">
        <f t="shared" ca="1" si="43"/>
        <v>22.592115351825015</v>
      </c>
      <c r="N253">
        <f t="shared" ca="1" si="35"/>
        <v>43.092115351825015</v>
      </c>
      <c r="O253">
        <f t="shared" ca="1" si="36"/>
        <v>20.328544859028373</v>
      </c>
      <c r="P253">
        <v>13.0875</v>
      </c>
      <c r="Q253">
        <v>4.5</v>
      </c>
      <c r="R253">
        <f t="shared" ca="1" si="37"/>
        <v>19.7</v>
      </c>
      <c r="S253">
        <f t="shared" ca="1" si="38"/>
        <v>0.62854485902837309</v>
      </c>
      <c r="T253">
        <f t="shared" ca="1" si="39"/>
        <v>20.328544859028373</v>
      </c>
      <c r="U253">
        <f t="shared" ca="1" si="40"/>
        <v>43.092115351825015</v>
      </c>
    </row>
    <row r="254" spans="1:21" x14ac:dyDescent="0.45">
      <c r="A254">
        <f t="shared" ca="1" si="32"/>
        <v>18</v>
      </c>
      <c r="B254">
        <v>0.36</v>
      </c>
      <c r="C254">
        <f t="shared" ca="1" si="33"/>
        <v>14.5</v>
      </c>
      <c r="D254">
        <v>13.45</v>
      </c>
      <c r="E254">
        <v>6821</v>
      </c>
      <c r="F254">
        <v>12.53</v>
      </c>
      <c r="G254">
        <v>7.26</v>
      </c>
      <c r="H254">
        <v>61.3</v>
      </c>
      <c r="I254">
        <v>12.53</v>
      </c>
      <c r="J254">
        <v>7.26</v>
      </c>
      <c r="K254">
        <f t="shared" ca="1" si="34"/>
        <v>0.25100624714789199</v>
      </c>
      <c r="M254">
        <f t="shared" ca="1" si="43"/>
        <v>20.995493378676485</v>
      </c>
      <c r="N254">
        <f t="shared" ca="1" si="35"/>
        <v>43.495493378676485</v>
      </c>
      <c r="O254">
        <f t="shared" ca="1" si="36"/>
        <v>20.002072224487385</v>
      </c>
      <c r="P254">
        <v>13.9868852459016</v>
      </c>
      <c r="Q254">
        <v>4.5</v>
      </c>
      <c r="R254">
        <f t="shared" ca="1" si="37"/>
        <v>20</v>
      </c>
      <c r="S254">
        <f t="shared" ca="1" si="38"/>
        <v>2.0722244873901952E-3</v>
      </c>
      <c r="T254">
        <f t="shared" ca="1" si="39"/>
        <v>20.002072224487389</v>
      </c>
      <c r="U254">
        <f t="shared" ca="1" si="40"/>
        <v>43.495493378676485</v>
      </c>
    </row>
    <row r="255" spans="1:21" x14ac:dyDescent="0.45">
      <c r="A255">
        <f t="shared" ca="1" si="32"/>
        <v>16</v>
      </c>
      <c r="B255">
        <v>0.36</v>
      </c>
      <c r="C255">
        <f t="shared" ca="1" si="33"/>
        <v>14.9</v>
      </c>
      <c r="D255">
        <v>26.36</v>
      </c>
      <c r="E255">
        <v>6523</v>
      </c>
      <c r="F255">
        <v>13.62</v>
      </c>
      <c r="G255">
        <v>12.21</v>
      </c>
      <c r="H255">
        <v>60.1</v>
      </c>
      <c r="I255">
        <v>10.53</v>
      </c>
      <c r="J255">
        <v>7.46</v>
      </c>
      <c r="K255">
        <f t="shared" ca="1" si="34"/>
        <v>0.13074546816743685</v>
      </c>
      <c r="M255">
        <f t="shared" ca="1" si="43"/>
        <v>23.480737367267359</v>
      </c>
      <c r="N255">
        <f t="shared" ca="1" si="35"/>
        <v>43.980737367267359</v>
      </c>
      <c r="O255">
        <f t="shared" ca="1" si="36"/>
        <v>20.327080752069406</v>
      </c>
      <c r="P255">
        <v>17.588571428571399</v>
      </c>
      <c r="Q255">
        <v>4.5</v>
      </c>
      <c r="R255">
        <f t="shared" ca="1" si="37"/>
        <v>19.600000000000001</v>
      </c>
      <c r="S255">
        <f t="shared" ca="1" si="38"/>
        <v>0.72708075206940492</v>
      </c>
      <c r="T255">
        <f t="shared" ca="1" si="39"/>
        <v>20.327080752069406</v>
      </c>
      <c r="U255">
        <f t="shared" ca="1" si="40"/>
        <v>43.980737367267359</v>
      </c>
    </row>
    <row r="256" spans="1:21" x14ac:dyDescent="0.45">
      <c r="A256">
        <f t="shared" ca="1" si="32"/>
        <v>20</v>
      </c>
      <c r="B256">
        <v>0.36</v>
      </c>
      <c r="C256">
        <f t="shared" ca="1" si="33"/>
        <v>14.7</v>
      </c>
      <c r="D256">
        <v>33.93</v>
      </c>
      <c r="E256">
        <v>6123</v>
      </c>
      <c r="F256">
        <v>6.15</v>
      </c>
      <c r="G256">
        <v>8.39</v>
      </c>
      <c r="H256">
        <v>53.8</v>
      </c>
      <c r="I256">
        <v>12.17</v>
      </c>
      <c r="J256">
        <v>7.33</v>
      </c>
      <c r="K256">
        <f t="shared" ca="1" si="34"/>
        <v>0.24565031046692706</v>
      </c>
      <c r="M256">
        <f t="shared" ca="1" si="43"/>
        <v>19.702804327013581</v>
      </c>
      <c r="N256">
        <f t="shared" ca="1" si="35"/>
        <v>44.202804327013581</v>
      </c>
      <c r="O256">
        <f t="shared" ca="1" si="36"/>
        <v>19.953485156166547</v>
      </c>
      <c r="P256">
        <v>15.1809523809524</v>
      </c>
      <c r="Q256">
        <v>4.5</v>
      </c>
      <c r="R256">
        <f t="shared" ca="1" si="37"/>
        <v>19.8</v>
      </c>
      <c r="S256">
        <f t="shared" ca="1" si="38"/>
        <v>0.15348515616655123</v>
      </c>
      <c r="T256">
        <f t="shared" ca="1" si="39"/>
        <v>19.95348515616655</v>
      </c>
      <c r="U256">
        <f t="shared" ca="1" si="40"/>
        <v>44.202804327013581</v>
      </c>
    </row>
    <row r="257" spans="1:21" s="2" customFormat="1" x14ac:dyDescent="0.45">
      <c r="A257" s="2">
        <f t="shared" ca="1" si="32"/>
        <v>18</v>
      </c>
      <c r="B257" s="2">
        <v>0.36</v>
      </c>
      <c r="C257" s="2">
        <f t="shared" ca="1" si="33"/>
        <v>16</v>
      </c>
      <c r="D257" s="2">
        <v>40.35</v>
      </c>
      <c r="E257" s="2">
        <v>6519</v>
      </c>
      <c r="F257" s="2">
        <v>10.99</v>
      </c>
      <c r="G257" s="2">
        <v>10.78</v>
      </c>
      <c r="H257" s="2">
        <v>61</v>
      </c>
      <c r="I257" s="2">
        <v>12.64</v>
      </c>
      <c r="J257" s="2">
        <v>7.11</v>
      </c>
      <c r="K257" s="2">
        <f t="shared" ca="1" si="34"/>
        <v>0.21483474096550198</v>
      </c>
      <c r="M257" s="2">
        <f t="shared" ca="1" si="43"/>
        <v>25.740715748054939</v>
      </c>
      <c r="N257" s="2">
        <f t="shared" ca="1" si="35"/>
        <v>48.240715748054939</v>
      </c>
      <c r="O257" s="2">
        <f t="shared" ca="1" si="36"/>
        <v>19.900202248527108</v>
      </c>
      <c r="P257" s="2">
        <v>16.551724137931</v>
      </c>
      <c r="Q257" s="2">
        <v>4.5</v>
      </c>
      <c r="R257" s="2">
        <f t="shared" ca="1" si="37"/>
        <v>19.5</v>
      </c>
      <c r="S257" s="2">
        <f t="shared" ca="1" si="38"/>
        <v>0.40020224852710706</v>
      </c>
      <c r="T257" s="2">
        <f t="shared" ca="1" si="39"/>
        <v>19.900202248527108</v>
      </c>
      <c r="U257" s="2">
        <f t="shared" ca="1" si="40"/>
        <v>48.240715748054939</v>
      </c>
    </row>
    <row r="258" spans="1:21" x14ac:dyDescent="0.45">
      <c r="A258">
        <f t="shared" ca="1" si="32"/>
        <v>17</v>
      </c>
      <c r="B258">
        <v>0.36</v>
      </c>
      <c r="C258">
        <f t="shared" ca="1" si="33"/>
        <v>15.4</v>
      </c>
      <c r="D258">
        <v>40.65</v>
      </c>
      <c r="E258">
        <v>6478</v>
      </c>
      <c r="F258">
        <v>12.58</v>
      </c>
      <c r="G258">
        <v>12.71</v>
      </c>
      <c r="H258">
        <v>62.3</v>
      </c>
      <c r="I258">
        <v>12.32</v>
      </c>
      <c r="J258">
        <v>7.37</v>
      </c>
      <c r="K258">
        <f t="shared" ca="1" si="34"/>
        <v>0.19094200176666734</v>
      </c>
      <c r="M258">
        <f t="shared" ca="1" si="43"/>
        <v>25.924102367214836</v>
      </c>
      <c r="N258">
        <f t="shared" ca="1" si="35"/>
        <v>47.424102367214836</v>
      </c>
      <c r="O258">
        <f t="shared" ca="1" si="36"/>
        <v>19.483763611280882</v>
      </c>
      <c r="P258">
        <v>16.342372881355899</v>
      </c>
      <c r="Q258">
        <v>4.5</v>
      </c>
      <c r="R258">
        <f t="shared" ca="1" si="37"/>
        <v>19.100000000000001</v>
      </c>
      <c r="S258">
        <f t="shared" ca="1" si="38"/>
        <v>0.38376361128087877</v>
      </c>
      <c r="T258">
        <f t="shared" ca="1" si="39"/>
        <v>19.483763611280882</v>
      </c>
      <c r="U258">
        <f t="shared" ca="1" si="40"/>
        <v>47.424102367214836</v>
      </c>
    </row>
    <row r="259" spans="1:21" x14ac:dyDescent="0.45">
      <c r="A259">
        <f t="shared" ca="1" si="32"/>
        <v>20</v>
      </c>
      <c r="B259">
        <v>0.36</v>
      </c>
      <c r="C259">
        <f t="shared" ca="1" si="33"/>
        <v>15.3</v>
      </c>
      <c r="D259">
        <v>30.34</v>
      </c>
      <c r="E259">
        <v>4337</v>
      </c>
      <c r="F259">
        <v>9.6999999999999993</v>
      </c>
      <c r="G259">
        <v>8.5399999999999991</v>
      </c>
      <c r="H259">
        <v>70.900000000000006</v>
      </c>
      <c r="I259">
        <v>12.67</v>
      </c>
      <c r="J259">
        <v>7.2</v>
      </c>
      <c r="K259">
        <f t="shared" ca="1" si="34"/>
        <v>0.23976814184445042</v>
      </c>
      <c r="M259">
        <f t="shared" ca="1" si="43"/>
        <v>22.813706432894918</v>
      </c>
      <c r="N259">
        <f t="shared" ca="1" si="35"/>
        <v>47.313706432894918</v>
      </c>
      <c r="O259">
        <f t="shared" ca="1" si="36"/>
        <v>19.402411461930178</v>
      </c>
      <c r="P259">
        <v>10.9084337349398</v>
      </c>
      <c r="Q259">
        <v>4.5</v>
      </c>
      <c r="R259">
        <f t="shared" ca="1" si="37"/>
        <v>19</v>
      </c>
      <c r="S259">
        <f t="shared" ca="1" si="38"/>
        <v>0.40241146193017863</v>
      </c>
      <c r="T259">
        <f t="shared" ca="1" si="39"/>
        <v>19.402411461930178</v>
      </c>
      <c r="U259">
        <f t="shared" ca="1" si="40"/>
        <v>47.313706432894918</v>
      </c>
    </row>
    <row r="260" spans="1:21" x14ac:dyDescent="0.45">
      <c r="A260">
        <f t="shared" ref="A260:A315" ca="1" si="44">RANDBETWEEN(16,22)</f>
        <v>21</v>
      </c>
      <c r="B260">
        <v>0.36</v>
      </c>
      <c r="C260">
        <f t="shared" ref="C260:C315" ca="1" si="45">RANDBETWEEN(145,165)/10</f>
        <v>15.1</v>
      </c>
      <c r="D260">
        <v>30.34</v>
      </c>
      <c r="E260">
        <v>4337</v>
      </c>
      <c r="F260">
        <v>9.6999999999999993</v>
      </c>
      <c r="G260">
        <v>8.5399999999999991</v>
      </c>
      <c r="H260">
        <v>70.900000000000006</v>
      </c>
      <c r="I260">
        <v>12.67</v>
      </c>
      <c r="J260">
        <v>7.2</v>
      </c>
      <c r="K260">
        <f t="shared" ref="K260:K323" ca="1" si="46">(I260-J260)/M260</f>
        <v>0.28030195566099403</v>
      </c>
      <c r="M260">
        <f t="shared" ca="1" si="43"/>
        <v>19.514669411067501</v>
      </c>
      <c r="N260">
        <f t="shared" ref="N260:N315" ca="1" si="47">U260</f>
        <v>45.014669411067501</v>
      </c>
      <c r="O260">
        <f t="shared" ref="O260:O323" ca="1" si="48">C260/N260*60</f>
        <v>20.126772268980538</v>
      </c>
      <c r="P260">
        <v>10.9084337349398</v>
      </c>
      <c r="Q260">
        <v>4.5</v>
      </c>
      <c r="R260">
        <f t="shared" ref="R260:R315" ca="1" si="49">RANDBETWEEN(190,200)/10</f>
        <v>19.399999999999999</v>
      </c>
      <c r="S260">
        <f t="shared" ref="S260:S315" ca="1" si="50">RAND()</f>
        <v>0.72677226898054192</v>
      </c>
      <c r="T260">
        <f t="shared" ref="T260:T323" ca="1" si="51">R260+S260</f>
        <v>20.126772268980542</v>
      </c>
      <c r="U260">
        <f t="shared" ref="U260:U323" ca="1" si="52">C260*60/T260</f>
        <v>45.014669411067501</v>
      </c>
    </row>
    <row r="261" spans="1:21" x14ac:dyDescent="0.45">
      <c r="A261">
        <f t="shared" ca="1" si="44"/>
        <v>18</v>
      </c>
      <c r="B261">
        <v>0.36</v>
      </c>
      <c r="C261">
        <f t="shared" ca="1" si="45"/>
        <v>15</v>
      </c>
      <c r="D261">
        <v>35.71</v>
      </c>
      <c r="E261">
        <v>5602</v>
      </c>
      <c r="F261">
        <v>3.45</v>
      </c>
      <c r="G261">
        <v>4.2699999999999996</v>
      </c>
      <c r="H261">
        <v>52.5</v>
      </c>
      <c r="I261">
        <v>11.47</v>
      </c>
      <c r="J261">
        <v>7.39</v>
      </c>
      <c r="K261">
        <f t="shared" si="46"/>
        <v>0.10461538461538464</v>
      </c>
      <c r="M261">
        <v>39</v>
      </c>
      <c r="N261">
        <f t="shared" ca="1" si="47"/>
        <v>44.947699192877998</v>
      </c>
      <c r="O261">
        <f t="shared" ca="1" si="48"/>
        <v>20.023271850644711</v>
      </c>
      <c r="P261">
        <v>17.047058823529401</v>
      </c>
      <c r="Q261">
        <v>4.5</v>
      </c>
      <c r="R261">
        <f t="shared" ca="1" si="49"/>
        <v>19.2</v>
      </c>
      <c r="S261">
        <f t="shared" ca="1" si="50"/>
        <v>0.82327185064471131</v>
      </c>
      <c r="T261">
        <f t="shared" ca="1" si="51"/>
        <v>20.023271850644711</v>
      </c>
      <c r="U261">
        <f t="shared" ca="1" si="52"/>
        <v>44.947699192877998</v>
      </c>
    </row>
    <row r="262" spans="1:21" x14ac:dyDescent="0.45">
      <c r="A262">
        <f t="shared" ca="1" si="44"/>
        <v>17</v>
      </c>
      <c r="B262">
        <v>0.37</v>
      </c>
      <c r="C262">
        <f t="shared" ca="1" si="45"/>
        <v>15.2</v>
      </c>
      <c r="D262">
        <v>32.799999999999997</v>
      </c>
      <c r="E262">
        <v>6815</v>
      </c>
      <c r="F262">
        <v>6.1</v>
      </c>
      <c r="G262">
        <v>0.16</v>
      </c>
      <c r="H262">
        <v>62.6</v>
      </c>
      <c r="I262">
        <v>11.56</v>
      </c>
      <c r="J262">
        <v>7.33</v>
      </c>
      <c r="K262">
        <f t="shared" ca="1" si="46"/>
        <v>0.17643406428161956</v>
      </c>
      <c r="M262">
        <f t="shared" ref="M262:M293" ca="1" si="53">N262-A262-Q262</f>
        <v>23.9749620756238</v>
      </c>
      <c r="N262">
        <f t="shared" ca="1" si="47"/>
        <v>45.4749620756238</v>
      </c>
      <c r="O262">
        <f t="shared" ca="1" si="48"/>
        <v>20.054991986213537</v>
      </c>
      <c r="P262">
        <v>8.2216216216216207</v>
      </c>
      <c r="Q262">
        <v>4.5</v>
      </c>
      <c r="R262">
        <f t="shared" ca="1" si="49"/>
        <v>19.8</v>
      </c>
      <c r="S262">
        <f t="shared" ca="1" si="50"/>
        <v>0.25499198621353969</v>
      </c>
      <c r="T262">
        <f t="shared" ca="1" si="51"/>
        <v>20.05499198621354</v>
      </c>
      <c r="U262">
        <f t="shared" ca="1" si="52"/>
        <v>45.4749620756238</v>
      </c>
    </row>
    <row r="263" spans="1:21" x14ac:dyDescent="0.45">
      <c r="A263">
        <f t="shared" ca="1" si="44"/>
        <v>21</v>
      </c>
      <c r="B263">
        <v>0.37</v>
      </c>
      <c r="C263">
        <f t="shared" ca="1" si="45"/>
        <v>15.9</v>
      </c>
      <c r="D263">
        <v>46.78</v>
      </c>
      <c r="E263">
        <v>6638</v>
      </c>
      <c r="F263">
        <v>12.68</v>
      </c>
      <c r="G263">
        <v>12.4</v>
      </c>
      <c r="H263">
        <v>60.22</v>
      </c>
      <c r="I263">
        <v>12.52</v>
      </c>
      <c r="J263">
        <v>7.37</v>
      </c>
      <c r="K263">
        <f t="shared" ca="1" si="46"/>
        <v>0.2109244790297144</v>
      </c>
      <c r="M263">
        <f t="shared" ca="1" si="53"/>
        <v>24.416322011038289</v>
      </c>
      <c r="N263">
        <f t="shared" ca="1" si="47"/>
        <v>49.916322011038289</v>
      </c>
      <c r="O263">
        <f t="shared" ca="1" si="48"/>
        <v>19.111985049480136</v>
      </c>
      <c r="P263">
        <v>9.42</v>
      </c>
      <c r="Q263">
        <v>4.5</v>
      </c>
      <c r="R263">
        <f t="shared" ca="1" si="49"/>
        <v>19</v>
      </c>
      <c r="S263">
        <f t="shared" ca="1" si="50"/>
        <v>0.11198504948013555</v>
      </c>
      <c r="T263">
        <f t="shared" ca="1" si="51"/>
        <v>19.111985049480136</v>
      </c>
      <c r="U263">
        <f t="shared" ca="1" si="52"/>
        <v>49.916322011038289</v>
      </c>
    </row>
    <row r="264" spans="1:21" x14ac:dyDescent="0.45">
      <c r="A264">
        <f t="shared" ca="1" si="44"/>
        <v>19</v>
      </c>
      <c r="B264">
        <v>0.37</v>
      </c>
      <c r="C264">
        <f t="shared" ca="1" si="45"/>
        <v>14.6</v>
      </c>
      <c r="D264">
        <v>42.35</v>
      </c>
      <c r="E264">
        <v>6324</v>
      </c>
      <c r="F264">
        <v>12.19</v>
      </c>
      <c r="G264">
        <v>0.15</v>
      </c>
      <c r="H264">
        <v>60.21</v>
      </c>
      <c r="I264">
        <v>12.87</v>
      </c>
      <c r="J264">
        <v>7.35</v>
      </c>
      <c r="K264">
        <f t="shared" ca="1" si="46"/>
        <v>0.26090729141435237</v>
      </c>
      <c r="M264">
        <f t="shared" ca="1" si="53"/>
        <v>21.156940344888909</v>
      </c>
      <c r="N264">
        <f t="shared" ca="1" si="47"/>
        <v>44.656940344888909</v>
      </c>
      <c r="O264">
        <f t="shared" ca="1" si="48"/>
        <v>19.616211796746171</v>
      </c>
      <c r="P264">
        <v>10.2129032258065</v>
      </c>
      <c r="Q264">
        <v>4.5</v>
      </c>
      <c r="R264">
        <f t="shared" ca="1" si="49"/>
        <v>19.5</v>
      </c>
      <c r="S264">
        <f t="shared" ca="1" si="50"/>
        <v>0.11621179674617377</v>
      </c>
      <c r="T264">
        <f t="shared" ca="1" si="51"/>
        <v>19.616211796746175</v>
      </c>
      <c r="U264">
        <f t="shared" ca="1" si="52"/>
        <v>44.656940344888909</v>
      </c>
    </row>
    <row r="265" spans="1:21" x14ac:dyDescent="0.45">
      <c r="A265">
        <f t="shared" ca="1" si="44"/>
        <v>16</v>
      </c>
      <c r="B265">
        <v>0.37</v>
      </c>
      <c r="C265">
        <f t="shared" ca="1" si="45"/>
        <v>14.6</v>
      </c>
      <c r="D265">
        <v>34.6</v>
      </c>
      <c r="E265">
        <v>7007</v>
      </c>
      <c r="F265">
        <v>11.28</v>
      </c>
      <c r="G265">
        <v>8.6</v>
      </c>
      <c r="H265">
        <v>71.5</v>
      </c>
      <c r="I265">
        <v>12.36</v>
      </c>
      <c r="J265">
        <v>7.4</v>
      </c>
      <c r="K265">
        <f t="shared" ca="1" si="46"/>
        <v>0.20847633948798128</v>
      </c>
      <c r="M265">
        <f t="shared" ca="1" si="53"/>
        <v>23.791668695746381</v>
      </c>
      <c r="N265">
        <f t="shared" ca="1" si="47"/>
        <v>44.291668695746381</v>
      </c>
      <c r="O265">
        <f t="shared" ca="1" si="48"/>
        <v>19.777985923662616</v>
      </c>
      <c r="P265">
        <v>11.406185567010301</v>
      </c>
      <c r="Q265">
        <v>4.5</v>
      </c>
      <c r="R265">
        <f t="shared" ca="1" si="49"/>
        <v>19.600000000000001</v>
      </c>
      <c r="S265">
        <f t="shared" ca="1" si="50"/>
        <v>0.17798592366261556</v>
      </c>
      <c r="T265">
        <f t="shared" ca="1" si="51"/>
        <v>19.777985923662616</v>
      </c>
      <c r="U265">
        <f t="shared" ca="1" si="52"/>
        <v>44.291668695746381</v>
      </c>
    </row>
    <row r="266" spans="1:21" x14ac:dyDescent="0.45">
      <c r="A266">
        <f t="shared" ca="1" si="44"/>
        <v>17</v>
      </c>
      <c r="B266">
        <v>0.37</v>
      </c>
      <c r="C266">
        <f t="shared" ca="1" si="45"/>
        <v>14.7</v>
      </c>
      <c r="D266">
        <v>37.340000000000003</v>
      </c>
      <c r="E266">
        <v>6352</v>
      </c>
      <c r="F266">
        <v>6.63</v>
      </c>
      <c r="G266">
        <v>6.14</v>
      </c>
      <c r="H266">
        <v>59.68</v>
      </c>
      <c r="I266">
        <v>12.33</v>
      </c>
      <c r="J266">
        <v>7.47</v>
      </c>
      <c r="K266">
        <f t="shared" ca="1" si="46"/>
        <v>0.20812454370792746</v>
      </c>
      <c r="M266">
        <f t="shared" ca="1" si="53"/>
        <v>23.351402546834187</v>
      </c>
      <c r="N266">
        <f t="shared" ca="1" si="47"/>
        <v>44.851402546834187</v>
      </c>
      <c r="O266">
        <f t="shared" ca="1" si="48"/>
        <v>19.66493687859613</v>
      </c>
      <c r="P266">
        <v>13.0184210526316</v>
      </c>
      <c r="Q266">
        <v>4.5</v>
      </c>
      <c r="R266">
        <f t="shared" ca="1" si="49"/>
        <v>19.5</v>
      </c>
      <c r="S266">
        <f t="shared" ca="1" si="50"/>
        <v>0.16493687859613104</v>
      </c>
      <c r="T266">
        <f t="shared" ca="1" si="51"/>
        <v>19.66493687859613</v>
      </c>
      <c r="U266">
        <f t="shared" ca="1" si="52"/>
        <v>44.851402546834187</v>
      </c>
    </row>
    <row r="267" spans="1:21" x14ac:dyDescent="0.45">
      <c r="A267">
        <f t="shared" ca="1" si="44"/>
        <v>20</v>
      </c>
      <c r="B267">
        <v>0.37</v>
      </c>
      <c r="C267">
        <f t="shared" ca="1" si="45"/>
        <v>15.6</v>
      </c>
      <c r="D267">
        <v>36.17</v>
      </c>
      <c r="E267">
        <v>6443</v>
      </c>
      <c r="F267">
        <v>5.01</v>
      </c>
      <c r="G267">
        <v>4.3899999999999997</v>
      </c>
      <c r="H267">
        <v>53</v>
      </c>
      <c r="I267">
        <v>12.45</v>
      </c>
      <c r="J267">
        <v>7.43</v>
      </c>
      <c r="K267">
        <f t="shared" ca="1" si="46"/>
        <v>0.23947877132466561</v>
      </c>
      <c r="M267">
        <f t="shared" ca="1" si="53"/>
        <v>20.962192065008956</v>
      </c>
      <c r="N267">
        <f t="shared" ca="1" si="47"/>
        <v>45.462192065008956</v>
      </c>
      <c r="O267">
        <f t="shared" ca="1" si="48"/>
        <v>20.588536484592751</v>
      </c>
      <c r="P267">
        <v>14.8684931506849</v>
      </c>
      <c r="Q267">
        <v>4.5</v>
      </c>
      <c r="R267">
        <f t="shared" ca="1" si="49"/>
        <v>19.600000000000001</v>
      </c>
      <c r="S267">
        <f t="shared" ca="1" si="50"/>
        <v>0.98853648459275012</v>
      </c>
      <c r="T267">
        <f t="shared" ca="1" si="51"/>
        <v>20.588536484592751</v>
      </c>
      <c r="U267">
        <f t="shared" ca="1" si="52"/>
        <v>45.462192065008956</v>
      </c>
    </row>
    <row r="268" spans="1:21" x14ac:dyDescent="0.45">
      <c r="A268">
        <f t="shared" ca="1" si="44"/>
        <v>18</v>
      </c>
      <c r="B268">
        <v>0.37</v>
      </c>
      <c r="C268">
        <f t="shared" ca="1" si="45"/>
        <v>15.3</v>
      </c>
      <c r="D268">
        <v>45.77</v>
      </c>
      <c r="E268">
        <v>6328</v>
      </c>
      <c r="F268">
        <v>9.1</v>
      </c>
      <c r="G268">
        <v>9.31</v>
      </c>
      <c r="H268">
        <v>63.6</v>
      </c>
      <c r="I268">
        <v>11.94</v>
      </c>
      <c r="J268">
        <v>7.05</v>
      </c>
      <c r="K268">
        <f t="shared" ca="1" si="46"/>
        <v>0.21650322907249206</v>
      </c>
      <c r="M268">
        <f t="shared" ca="1" si="53"/>
        <v>22.586268209250008</v>
      </c>
      <c r="N268">
        <f t="shared" ca="1" si="47"/>
        <v>45.086268209250008</v>
      </c>
      <c r="O268">
        <f t="shared" ca="1" si="48"/>
        <v>20.360966574999459</v>
      </c>
      <c r="P268">
        <v>21.2842105263158</v>
      </c>
      <c r="Q268">
        <v>4.5</v>
      </c>
      <c r="R268">
        <f t="shared" ca="1" si="49"/>
        <v>19.899999999999999</v>
      </c>
      <c r="S268">
        <f t="shared" ca="1" si="50"/>
        <v>0.46096657499945792</v>
      </c>
      <c r="T268">
        <f t="shared" ca="1" si="51"/>
        <v>20.360966574999456</v>
      </c>
      <c r="U268">
        <f t="shared" ca="1" si="52"/>
        <v>45.086268209250008</v>
      </c>
    </row>
    <row r="269" spans="1:21" x14ac:dyDescent="0.45">
      <c r="A269">
        <f t="shared" ca="1" si="44"/>
        <v>19</v>
      </c>
      <c r="B269">
        <v>0.37</v>
      </c>
      <c r="C269">
        <f t="shared" ca="1" si="45"/>
        <v>15</v>
      </c>
      <c r="D269">
        <v>40.6</v>
      </c>
      <c r="E269">
        <v>6717</v>
      </c>
      <c r="F269">
        <v>12.06</v>
      </c>
      <c r="G269">
        <v>11.59</v>
      </c>
      <c r="H269">
        <v>50.7</v>
      </c>
      <c r="I269">
        <v>12.6</v>
      </c>
      <c r="J269">
        <v>7.14</v>
      </c>
      <c r="K269">
        <f t="shared" ca="1" si="46"/>
        <v>0.24295436420801494</v>
      </c>
      <c r="M269">
        <f t="shared" ca="1" si="53"/>
        <v>22.473356335040791</v>
      </c>
      <c r="N269">
        <f t="shared" ca="1" si="47"/>
        <v>45.973356335040791</v>
      </c>
      <c r="O269">
        <f t="shared" ca="1" si="48"/>
        <v>19.576556330607126</v>
      </c>
      <c r="P269">
        <v>13.714285714285699</v>
      </c>
      <c r="Q269">
        <v>4.5</v>
      </c>
      <c r="R269">
        <f t="shared" ca="1" si="49"/>
        <v>19.5</v>
      </c>
      <c r="S269">
        <f t="shared" ca="1" si="50"/>
        <v>7.6556330607125411E-2</v>
      </c>
      <c r="T269">
        <f t="shared" ca="1" si="51"/>
        <v>19.576556330607126</v>
      </c>
      <c r="U269">
        <f t="shared" ca="1" si="52"/>
        <v>45.973356335040791</v>
      </c>
    </row>
    <row r="270" spans="1:21" x14ac:dyDescent="0.45">
      <c r="A270">
        <f t="shared" ca="1" si="44"/>
        <v>18</v>
      </c>
      <c r="B270">
        <v>0.37</v>
      </c>
      <c r="C270">
        <f t="shared" ca="1" si="45"/>
        <v>16</v>
      </c>
      <c r="D270">
        <v>41.6</v>
      </c>
      <c r="E270">
        <v>6519</v>
      </c>
      <c r="F270">
        <v>14.07</v>
      </c>
      <c r="G270">
        <v>13.44</v>
      </c>
      <c r="H270">
        <v>51.8</v>
      </c>
      <c r="I270">
        <v>12.46</v>
      </c>
      <c r="J270">
        <v>7.1</v>
      </c>
      <c r="K270">
        <f t="shared" ca="1" si="46"/>
        <v>0.21376874082099392</v>
      </c>
      <c r="M270">
        <f t="shared" ca="1" si="53"/>
        <v>25.073825010216851</v>
      </c>
      <c r="N270">
        <f t="shared" ca="1" si="47"/>
        <v>47.573825010216851</v>
      </c>
      <c r="O270">
        <f t="shared" ca="1" si="48"/>
        <v>20.179163642903056</v>
      </c>
      <c r="P270">
        <v>20.037500000000001</v>
      </c>
      <c r="Q270">
        <v>4.5</v>
      </c>
      <c r="R270">
        <f t="shared" ca="1" si="49"/>
        <v>19.8</v>
      </c>
      <c r="S270">
        <f t="shared" ca="1" si="50"/>
        <v>0.37916364290305693</v>
      </c>
      <c r="T270">
        <f t="shared" ca="1" si="51"/>
        <v>20.179163642903056</v>
      </c>
      <c r="U270">
        <f t="shared" ca="1" si="52"/>
        <v>47.573825010216851</v>
      </c>
    </row>
    <row r="271" spans="1:21" x14ac:dyDescent="0.45">
      <c r="A271">
        <f t="shared" ca="1" si="44"/>
        <v>16</v>
      </c>
      <c r="B271">
        <v>0.37</v>
      </c>
      <c r="C271">
        <f t="shared" ca="1" si="45"/>
        <v>16.399999999999999</v>
      </c>
      <c r="D271">
        <v>35.659999999999997</v>
      </c>
      <c r="E271">
        <v>6947</v>
      </c>
      <c r="F271">
        <v>5.95</v>
      </c>
      <c r="G271">
        <v>7.94</v>
      </c>
      <c r="H271">
        <v>60.1</v>
      </c>
      <c r="I271">
        <v>12.52</v>
      </c>
      <c r="J271">
        <v>7.45</v>
      </c>
      <c r="K271">
        <f t="shared" ca="1" si="46"/>
        <v>0.1681265601431341</v>
      </c>
      <c r="M271">
        <f t="shared" ca="1" si="53"/>
        <v>30.155853992871016</v>
      </c>
      <c r="N271">
        <f t="shared" ca="1" si="47"/>
        <v>50.655853992871016</v>
      </c>
      <c r="O271">
        <f t="shared" ca="1" si="48"/>
        <v>19.425198124948832</v>
      </c>
      <c r="P271">
        <v>12.323076923076901</v>
      </c>
      <c r="Q271">
        <v>4.5</v>
      </c>
      <c r="R271">
        <f t="shared" ca="1" si="49"/>
        <v>19.100000000000001</v>
      </c>
      <c r="S271">
        <f t="shared" ca="1" si="50"/>
        <v>0.32519812494882949</v>
      </c>
      <c r="T271">
        <f t="shared" ca="1" si="51"/>
        <v>19.425198124948832</v>
      </c>
      <c r="U271">
        <f t="shared" ca="1" si="52"/>
        <v>50.655853992871016</v>
      </c>
    </row>
    <row r="272" spans="1:21" x14ac:dyDescent="0.45">
      <c r="A272">
        <f t="shared" ca="1" si="44"/>
        <v>21</v>
      </c>
      <c r="B272">
        <v>0.37</v>
      </c>
      <c r="C272">
        <f t="shared" ca="1" si="45"/>
        <v>14.9</v>
      </c>
      <c r="D272">
        <v>41.76</v>
      </c>
      <c r="E272">
        <v>6375</v>
      </c>
      <c r="F272">
        <v>13.67</v>
      </c>
      <c r="G272">
        <v>9.4600000000000009</v>
      </c>
      <c r="H272">
        <v>54.9</v>
      </c>
      <c r="I272">
        <v>12.3</v>
      </c>
      <c r="J272">
        <v>7.15</v>
      </c>
      <c r="K272">
        <f t="shared" ca="1" si="46"/>
        <v>0.27360253651997241</v>
      </c>
      <c r="M272">
        <f t="shared" ca="1" si="53"/>
        <v>18.822924909630949</v>
      </c>
      <c r="N272">
        <f t="shared" ca="1" si="47"/>
        <v>44.322924909630949</v>
      </c>
      <c r="O272">
        <f t="shared" ca="1" si="48"/>
        <v>20.17014901030916</v>
      </c>
      <c r="P272">
        <v>13.2</v>
      </c>
      <c r="Q272">
        <v>4.5</v>
      </c>
      <c r="R272">
        <f t="shared" ca="1" si="49"/>
        <v>19.5</v>
      </c>
      <c r="S272">
        <f t="shared" ca="1" si="50"/>
        <v>0.67014901030916429</v>
      </c>
      <c r="T272">
        <f t="shared" ca="1" si="51"/>
        <v>20.170149010309164</v>
      </c>
      <c r="U272">
        <f t="shared" ca="1" si="52"/>
        <v>44.322924909630949</v>
      </c>
    </row>
    <row r="273" spans="1:21" x14ac:dyDescent="0.45">
      <c r="A273">
        <f t="shared" ca="1" si="44"/>
        <v>20</v>
      </c>
      <c r="B273">
        <v>0.37</v>
      </c>
      <c r="C273">
        <f t="shared" ca="1" si="45"/>
        <v>15.1</v>
      </c>
      <c r="D273">
        <v>43.16</v>
      </c>
      <c r="E273">
        <v>6949</v>
      </c>
      <c r="F273">
        <v>9.5399999999999991</v>
      </c>
      <c r="G273">
        <v>9.0299999999999994</v>
      </c>
      <c r="H273">
        <v>50.3</v>
      </c>
      <c r="I273">
        <v>12.54</v>
      </c>
      <c r="J273">
        <v>7.25</v>
      </c>
      <c r="K273">
        <f t="shared" ca="1" si="46"/>
        <v>0.25717732357076328</v>
      </c>
      <c r="M273">
        <f t="shared" ca="1" si="53"/>
        <v>20.56946517115626</v>
      </c>
      <c r="N273">
        <f t="shared" ca="1" si="47"/>
        <v>45.06946517115626</v>
      </c>
      <c r="O273">
        <f t="shared" ca="1" si="48"/>
        <v>20.102302003348946</v>
      </c>
      <c r="P273">
        <v>14.6238805970149</v>
      </c>
      <c r="Q273">
        <v>4.5</v>
      </c>
      <c r="R273">
        <f t="shared" ca="1" si="49"/>
        <v>19.899999999999999</v>
      </c>
      <c r="S273">
        <f t="shared" ca="1" si="50"/>
        <v>0.20230200334894588</v>
      </c>
      <c r="T273">
        <f t="shared" ca="1" si="51"/>
        <v>20.102302003348946</v>
      </c>
      <c r="U273">
        <f t="shared" ca="1" si="52"/>
        <v>45.06946517115626</v>
      </c>
    </row>
    <row r="274" spans="1:21" x14ac:dyDescent="0.45">
      <c r="A274">
        <f t="shared" ca="1" si="44"/>
        <v>20</v>
      </c>
      <c r="B274">
        <v>0.37</v>
      </c>
      <c r="C274">
        <f t="shared" ca="1" si="45"/>
        <v>15.9</v>
      </c>
      <c r="D274">
        <v>42.21</v>
      </c>
      <c r="E274">
        <v>6889</v>
      </c>
      <c r="F274">
        <v>12.87</v>
      </c>
      <c r="G274">
        <v>8.9</v>
      </c>
      <c r="H274">
        <v>51.4</v>
      </c>
      <c r="I274">
        <v>12.37</v>
      </c>
      <c r="J274">
        <v>7.3</v>
      </c>
      <c r="K274">
        <f t="shared" ca="1" si="46"/>
        <v>0.2300058627686003</v>
      </c>
      <c r="M274">
        <f t="shared" ca="1" si="53"/>
        <v>22.042916380356459</v>
      </c>
      <c r="N274">
        <f t="shared" ca="1" si="47"/>
        <v>46.542916380356459</v>
      </c>
      <c r="O274">
        <f t="shared" ca="1" si="48"/>
        <v>20.497211481200559</v>
      </c>
      <c r="P274">
        <v>14.3090909090909</v>
      </c>
      <c r="Q274">
        <v>4.5</v>
      </c>
      <c r="R274">
        <f t="shared" ca="1" si="49"/>
        <v>19.7</v>
      </c>
      <c r="S274">
        <f t="shared" ca="1" si="50"/>
        <v>0.79721148120055918</v>
      </c>
      <c r="T274">
        <f t="shared" ca="1" si="51"/>
        <v>20.497211481200559</v>
      </c>
      <c r="U274">
        <f t="shared" ca="1" si="52"/>
        <v>46.542916380356459</v>
      </c>
    </row>
    <row r="275" spans="1:21" x14ac:dyDescent="0.45">
      <c r="A275">
        <f t="shared" ca="1" si="44"/>
        <v>22</v>
      </c>
      <c r="B275">
        <v>0.38</v>
      </c>
      <c r="C275">
        <f t="shared" ca="1" si="45"/>
        <v>15.2</v>
      </c>
      <c r="D275">
        <v>44.2</v>
      </c>
      <c r="E275">
        <v>6424</v>
      </c>
      <c r="F275">
        <v>7.16</v>
      </c>
      <c r="G275">
        <v>9.01</v>
      </c>
      <c r="H275">
        <v>60.1</v>
      </c>
      <c r="I275">
        <v>12.59</v>
      </c>
      <c r="J275">
        <v>7.37</v>
      </c>
      <c r="K275">
        <f t="shared" ca="1" si="46"/>
        <v>0.25904799469529621</v>
      </c>
      <c r="M275">
        <f t="shared" ca="1" si="53"/>
        <v>20.150706073366813</v>
      </c>
      <c r="N275">
        <f t="shared" ca="1" si="47"/>
        <v>46.650706073366813</v>
      </c>
      <c r="O275">
        <f t="shared" ca="1" si="48"/>
        <v>19.549543335222243</v>
      </c>
      <c r="P275">
        <v>8.0865671641790993</v>
      </c>
      <c r="Q275">
        <v>4.5</v>
      </c>
      <c r="R275">
        <f t="shared" ca="1" si="49"/>
        <v>19</v>
      </c>
      <c r="S275">
        <f t="shared" ca="1" si="50"/>
        <v>0.54954333522224308</v>
      </c>
      <c r="T275">
        <f t="shared" ca="1" si="51"/>
        <v>19.549543335222243</v>
      </c>
      <c r="U275">
        <f t="shared" ca="1" si="52"/>
        <v>46.650706073366813</v>
      </c>
    </row>
    <row r="276" spans="1:21" x14ac:dyDescent="0.45">
      <c r="A276">
        <f t="shared" ca="1" si="44"/>
        <v>19</v>
      </c>
      <c r="B276">
        <v>0.38</v>
      </c>
      <c r="C276">
        <f t="shared" ca="1" si="45"/>
        <v>16.399999999999999</v>
      </c>
      <c r="D276">
        <v>34.58</v>
      </c>
      <c r="E276">
        <v>6582</v>
      </c>
      <c r="F276">
        <v>3.65</v>
      </c>
      <c r="G276">
        <v>4.41</v>
      </c>
      <c r="H276">
        <v>63.2</v>
      </c>
      <c r="I276">
        <v>12.01</v>
      </c>
      <c r="J276">
        <v>7.42</v>
      </c>
      <c r="K276">
        <f t="shared" ca="1" si="46"/>
        <v>0.1692611003264852</v>
      </c>
      <c r="M276">
        <f t="shared" ca="1" si="53"/>
        <v>27.117866959073396</v>
      </c>
      <c r="N276">
        <f t="shared" ca="1" si="47"/>
        <v>50.617866959073396</v>
      </c>
      <c r="O276">
        <f t="shared" ca="1" si="48"/>
        <v>19.439776093204479</v>
      </c>
      <c r="P276">
        <v>9.8036697247706392</v>
      </c>
      <c r="Q276">
        <v>4.5</v>
      </c>
      <c r="R276">
        <f t="shared" ca="1" si="49"/>
        <v>19.3</v>
      </c>
      <c r="S276">
        <f t="shared" ca="1" si="50"/>
        <v>0.13977609320447659</v>
      </c>
      <c r="T276">
        <f t="shared" ca="1" si="51"/>
        <v>19.439776093204479</v>
      </c>
      <c r="U276">
        <f t="shared" ca="1" si="52"/>
        <v>50.617866959073396</v>
      </c>
    </row>
    <row r="277" spans="1:21" x14ac:dyDescent="0.45">
      <c r="A277">
        <f t="shared" ca="1" si="44"/>
        <v>22</v>
      </c>
      <c r="B277">
        <v>0.38</v>
      </c>
      <c r="C277">
        <f t="shared" ca="1" si="45"/>
        <v>15.7</v>
      </c>
      <c r="D277">
        <v>32.21</v>
      </c>
      <c r="E277">
        <v>6434</v>
      </c>
      <c r="F277">
        <v>9.9499999999999993</v>
      </c>
      <c r="G277">
        <v>6.5</v>
      </c>
      <c r="H277">
        <v>59.66</v>
      </c>
      <c r="I277">
        <v>12.3</v>
      </c>
      <c r="J277">
        <v>7.43</v>
      </c>
      <c r="K277">
        <f t="shared" ca="1" si="46"/>
        <v>0.23356879190529978</v>
      </c>
      <c r="M277">
        <f t="shared" ca="1" si="53"/>
        <v>20.850388274365599</v>
      </c>
      <c r="N277">
        <f t="shared" ca="1" si="47"/>
        <v>47.350388274365599</v>
      </c>
      <c r="O277">
        <f t="shared" ca="1" si="48"/>
        <v>19.894240244487644</v>
      </c>
      <c r="P277">
        <v>11.530188679245301</v>
      </c>
      <c r="Q277">
        <v>4.5</v>
      </c>
      <c r="R277">
        <f t="shared" ca="1" si="49"/>
        <v>19</v>
      </c>
      <c r="S277">
        <f t="shared" ca="1" si="50"/>
        <v>0.89424024448764305</v>
      </c>
      <c r="T277">
        <f t="shared" ca="1" si="51"/>
        <v>19.894240244487644</v>
      </c>
      <c r="U277">
        <f t="shared" ca="1" si="52"/>
        <v>47.350388274365599</v>
      </c>
    </row>
    <row r="278" spans="1:21" x14ac:dyDescent="0.45">
      <c r="A278">
        <f t="shared" ca="1" si="44"/>
        <v>17</v>
      </c>
      <c r="B278">
        <v>0.38</v>
      </c>
      <c r="C278">
        <f t="shared" ca="1" si="45"/>
        <v>15.6</v>
      </c>
      <c r="D278">
        <v>41.57</v>
      </c>
      <c r="E278">
        <v>6635</v>
      </c>
      <c r="F278">
        <v>12.61</v>
      </c>
      <c r="G278">
        <v>10.48</v>
      </c>
      <c r="H278">
        <v>51.7</v>
      </c>
      <c r="I278">
        <v>12.66</v>
      </c>
      <c r="J278">
        <v>7.06</v>
      </c>
      <c r="K278">
        <f t="shared" ca="1" si="46"/>
        <v>0.21260704430131064</v>
      </c>
      <c r="M278">
        <f t="shared" ca="1" si="53"/>
        <v>26.339672885267042</v>
      </c>
      <c r="N278">
        <f t="shared" ca="1" si="47"/>
        <v>47.839672885267042</v>
      </c>
      <c r="O278">
        <f t="shared" ca="1" si="48"/>
        <v>19.565351172964551</v>
      </c>
      <c r="P278">
        <v>16.5</v>
      </c>
      <c r="Q278">
        <v>4.5</v>
      </c>
      <c r="R278">
        <f t="shared" ca="1" si="49"/>
        <v>19.3</v>
      </c>
      <c r="S278">
        <f t="shared" ca="1" si="50"/>
        <v>0.26535117296455113</v>
      </c>
      <c r="T278">
        <f t="shared" ca="1" si="51"/>
        <v>19.565351172964551</v>
      </c>
      <c r="U278">
        <f t="shared" ca="1" si="52"/>
        <v>47.839672885267042</v>
      </c>
    </row>
    <row r="279" spans="1:21" x14ac:dyDescent="0.45">
      <c r="A279">
        <f t="shared" ca="1" si="44"/>
        <v>21</v>
      </c>
      <c r="B279">
        <v>0.38</v>
      </c>
      <c r="C279">
        <f t="shared" ca="1" si="45"/>
        <v>14.7</v>
      </c>
      <c r="D279">
        <v>40.67</v>
      </c>
      <c r="E279">
        <v>6208</v>
      </c>
      <c r="F279">
        <v>7.87</v>
      </c>
      <c r="G279">
        <v>9.01</v>
      </c>
      <c r="H279">
        <v>52.6</v>
      </c>
      <c r="I279">
        <v>12.35</v>
      </c>
      <c r="J279">
        <v>7.29</v>
      </c>
      <c r="K279">
        <f t="shared" ca="1" si="46"/>
        <v>0.26898241623352076</v>
      </c>
      <c r="M279">
        <f t="shared" ca="1" si="53"/>
        <v>18.811638585353073</v>
      </c>
      <c r="N279">
        <f t="shared" ca="1" si="47"/>
        <v>44.311638585353073</v>
      </c>
      <c r="O279">
        <f t="shared" ca="1" si="48"/>
        <v>19.904477201877601</v>
      </c>
      <c r="P279">
        <v>13.7931818181818</v>
      </c>
      <c r="Q279">
        <v>4.5</v>
      </c>
      <c r="R279">
        <f t="shared" ca="1" si="49"/>
        <v>19.2</v>
      </c>
      <c r="S279">
        <f t="shared" ca="1" si="50"/>
        <v>0.70447720187760077</v>
      </c>
      <c r="T279">
        <f t="shared" ca="1" si="51"/>
        <v>19.904477201877601</v>
      </c>
      <c r="U279">
        <f t="shared" ca="1" si="52"/>
        <v>44.311638585353073</v>
      </c>
    </row>
    <row r="280" spans="1:21" x14ac:dyDescent="0.45">
      <c r="A280">
        <f t="shared" ca="1" si="44"/>
        <v>22</v>
      </c>
      <c r="B280">
        <v>0.38</v>
      </c>
      <c r="C280">
        <f t="shared" ca="1" si="45"/>
        <v>14.9</v>
      </c>
      <c r="D280">
        <v>37.22</v>
      </c>
      <c r="E280">
        <v>6298</v>
      </c>
      <c r="F280">
        <v>12.09</v>
      </c>
      <c r="G280">
        <v>9.5</v>
      </c>
      <c r="H280">
        <v>59</v>
      </c>
      <c r="I280">
        <v>12.35</v>
      </c>
      <c r="J280">
        <v>7.23</v>
      </c>
      <c r="K280">
        <f t="shared" ca="1" si="46"/>
        <v>0.26549250164948252</v>
      </c>
      <c r="M280">
        <f t="shared" ca="1" si="53"/>
        <v>19.284913766640756</v>
      </c>
      <c r="N280">
        <f t="shared" ca="1" si="47"/>
        <v>45.784913766640756</v>
      </c>
      <c r="O280">
        <f t="shared" ca="1" si="48"/>
        <v>19.526082424367811</v>
      </c>
      <c r="P280">
        <v>14.4537313432836</v>
      </c>
      <c r="Q280">
        <v>4.5</v>
      </c>
      <c r="R280">
        <f t="shared" ca="1" si="49"/>
        <v>19.100000000000001</v>
      </c>
      <c r="S280">
        <f t="shared" ca="1" si="50"/>
        <v>0.42608242436781252</v>
      </c>
      <c r="T280">
        <f t="shared" ca="1" si="51"/>
        <v>19.526082424367814</v>
      </c>
      <c r="U280">
        <f t="shared" ca="1" si="52"/>
        <v>45.784913766640756</v>
      </c>
    </row>
    <row r="281" spans="1:21" x14ac:dyDescent="0.45">
      <c r="A281">
        <f t="shared" ca="1" si="44"/>
        <v>18</v>
      </c>
      <c r="B281">
        <v>0.38</v>
      </c>
      <c r="C281">
        <f t="shared" ca="1" si="45"/>
        <v>15.7</v>
      </c>
      <c r="D281">
        <v>26.44</v>
      </c>
      <c r="E281">
        <v>6241</v>
      </c>
      <c r="F281">
        <v>7.54</v>
      </c>
      <c r="G281">
        <v>8.86</v>
      </c>
      <c r="H281">
        <v>52.2</v>
      </c>
      <c r="I281">
        <v>12.22</v>
      </c>
      <c r="J281">
        <v>7.29</v>
      </c>
      <c r="K281">
        <f t="shared" ca="1" si="46"/>
        <v>0.19949319363728527</v>
      </c>
      <c r="M281">
        <f t="shared" ca="1" si="53"/>
        <v>24.712622571793766</v>
      </c>
      <c r="N281">
        <f t="shared" ca="1" si="47"/>
        <v>47.212622571793766</v>
      </c>
      <c r="O281">
        <f t="shared" ca="1" si="48"/>
        <v>19.952291329877934</v>
      </c>
      <c r="P281">
        <v>5.1870967741935496</v>
      </c>
      <c r="Q281">
        <v>4.5</v>
      </c>
      <c r="R281">
        <f t="shared" ca="1" si="49"/>
        <v>19.600000000000001</v>
      </c>
      <c r="S281">
        <f t="shared" ca="1" si="50"/>
        <v>0.35229132987793277</v>
      </c>
      <c r="T281">
        <f t="shared" ca="1" si="51"/>
        <v>19.952291329877934</v>
      </c>
      <c r="U281">
        <f t="shared" ca="1" si="52"/>
        <v>47.212622571793766</v>
      </c>
    </row>
    <row r="282" spans="1:21" x14ac:dyDescent="0.45">
      <c r="A282">
        <f t="shared" ca="1" si="44"/>
        <v>16</v>
      </c>
      <c r="B282">
        <v>0.38</v>
      </c>
      <c r="C282">
        <f t="shared" ca="1" si="45"/>
        <v>15.8</v>
      </c>
      <c r="D282">
        <v>33.21</v>
      </c>
      <c r="E282">
        <v>4488</v>
      </c>
      <c r="F282">
        <v>2.4500000000000002</v>
      </c>
      <c r="G282">
        <v>6.05</v>
      </c>
      <c r="H282">
        <v>50.7</v>
      </c>
      <c r="I282">
        <v>11.7</v>
      </c>
      <c r="J282">
        <v>7.35</v>
      </c>
      <c r="K282">
        <f t="shared" ca="1" si="46"/>
        <v>0.16091160108830302</v>
      </c>
      <c r="M282">
        <f t="shared" ca="1" si="53"/>
        <v>27.033476583287879</v>
      </c>
      <c r="N282">
        <f t="shared" ca="1" si="47"/>
        <v>47.533476583287879</v>
      </c>
      <c r="O282">
        <f t="shared" ca="1" si="48"/>
        <v>19.943838914010843</v>
      </c>
      <c r="P282">
        <v>11.170370370370399</v>
      </c>
      <c r="Q282">
        <v>4.5</v>
      </c>
      <c r="R282">
        <f t="shared" ca="1" si="49"/>
        <v>19.8</v>
      </c>
      <c r="S282">
        <f t="shared" ca="1" si="50"/>
        <v>0.14383891401084437</v>
      </c>
      <c r="T282">
        <f t="shared" ca="1" si="51"/>
        <v>19.943838914010843</v>
      </c>
      <c r="U282">
        <f t="shared" ca="1" si="52"/>
        <v>47.533476583287879</v>
      </c>
    </row>
    <row r="283" spans="1:21" x14ac:dyDescent="0.45">
      <c r="A283">
        <f t="shared" ca="1" si="44"/>
        <v>20</v>
      </c>
      <c r="B283">
        <v>0.38</v>
      </c>
      <c r="C283">
        <f t="shared" ca="1" si="45"/>
        <v>16.5</v>
      </c>
      <c r="D283">
        <v>33.270000000000003</v>
      </c>
      <c r="E283">
        <v>4570</v>
      </c>
      <c r="F283">
        <v>7.17</v>
      </c>
      <c r="G283">
        <v>6.41</v>
      </c>
      <c r="H283">
        <v>52.3</v>
      </c>
      <c r="I283">
        <v>11.71</v>
      </c>
      <c r="J283">
        <v>7.4</v>
      </c>
      <c r="K283">
        <f t="shared" ca="1" si="46"/>
        <v>0.18043656556676435</v>
      </c>
      <c r="M283">
        <f t="shared" ca="1" si="53"/>
        <v>23.886510954484073</v>
      </c>
      <c r="N283">
        <f t="shared" ca="1" si="47"/>
        <v>48.386510954484073</v>
      </c>
      <c r="O283">
        <f t="shared" ca="1" si="48"/>
        <v>20.460247711004975</v>
      </c>
      <c r="P283">
        <v>13.5552631578947</v>
      </c>
      <c r="Q283">
        <v>4.5</v>
      </c>
      <c r="R283">
        <f t="shared" ca="1" si="49"/>
        <v>19.899999999999999</v>
      </c>
      <c r="S283">
        <f t="shared" ca="1" si="50"/>
        <v>0.56024771100498028</v>
      </c>
      <c r="T283">
        <f t="shared" ca="1" si="51"/>
        <v>20.460247711004978</v>
      </c>
      <c r="U283">
        <f t="shared" ca="1" si="52"/>
        <v>48.386510954484073</v>
      </c>
    </row>
    <row r="284" spans="1:21" x14ac:dyDescent="0.45">
      <c r="A284">
        <f t="shared" ca="1" si="44"/>
        <v>22</v>
      </c>
      <c r="B284">
        <v>0.39</v>
      </c>
      <c r="C284">
        <f t="shared" ca="1" si="45"/>
        <v>16</v>
      </c>
      <c r="D284">
        <v>33.67</v>
      </c>
      <c r="E284">
        <v>6318</v>
      </c>
      <c r="F284">
        <v>9.16</v>
      </c>
      <c r="G284">
        <v>6.78</v>
      </c>
      <c r="H284">
        <v>61.3</v>
      </c>
      <c r="I284">
        <v>12.3</v>
      </c>
      <c r="J284">
        <v>7.32</v>
      </c>
      <c r="K284">
        <f t="shared" ca="1" si="46"/>
        <v>0.22458705941361568</v>
      </c>
      <c r="M284">
        <f t="shared" ca="1" si="53"/>
        <v>22.17402914042556</v>
      </c>
      <c r="N284">
        <f t="shared" ca="1" si="47"/>
        <v>48.67402914042556</v>
      </c>
      <c r="O284">
        <f t="shared" ca="1" si="48"/>
        <v>19.723043622100416</v>
      </c>
      <c r="P284">
        <v>9.1954545454545507</v>
      </c>
      <c r="Q284">
        <v>4.5</v>
      </c>
      <c r="R284">
        <f t="shared" ca="1" si="49"/>
        <v>19.600000000000001</v>
      </c>
      <c r="S284">
        <f t="shared" ca="1" si="50"/>
        <v>0.12304362210041175</v>
      </c>
      <c r="T284">
        <f t="shared" ca="1" si="51"/>
        <v>19.723043622100413</v>
      </c>
      <c r="U284">
        <f t="shared" ca="1" si="52"/>
        <v>48.67402914042556</v>
      </c>
    </row>
    <row r="285" spans="1:21" x14ac:dyDescent="0.45">
      <c r="A285">
        <f t="shared" ca="1" si="44"/>
        <v>16</v>
      </c>
      <c r="B285">
        <v>0.39</v>
      </c>
      <c r="C285">
        <f t="shared" ca="1" si="45"/>
        <v>14.9</v>
      </c>
      <c r="D285">
        <v>465.31</v>
      </c>
      <c r="E285">
        <v>30.59</v>
      </c>
      <c r="F285">
        <v>30.3</v>
      </c>
      <c r="G285">
        <v>7554</v>
      </c>
      <c r="H285">
        <v>68</v>
      </c>
      <c r="I285">
        <v>12.37</v>
      </c>
      <c r="J285">
        <v>7.43</v>
      </c>
      <c r="K285">
        <f t="shared" ca="1" si="46"/>
        <v>0.2060203855190133</v>
      </c>
      <c r="M285">
        <f t="shared" ca="1" si="53"/>
        <v>23.978209668693658</v>
      </c>
      <c r="N285">
        <f t="shared" ca="1" si="47"/>
        <v>44.478209668693658</v>
      </c>
      <c r="O285">
        <f t="shared" ca="1" si="48"/>
        <v>20.099729882546264</v>
      </c>
      <c r="P285">
        <v>14.04</v>
      </c>
      <c r="Q285">
        <v>4.5</v>
      </c>
      <c r="R285">
        <f t="shared" ca="1" si="49"/>
        <v>19.7</v>
      </c>
      <c r="S285">
        <f t="shared" ca="1" si="50"/>
        <v>0.39972988254626263</v>
      </c>
      <c r="T285">
        <f t="shared" ca="1" si="51"/>
        <v>20.099729882546264</v>
      </c>
      <c r="U285">
        <f t="shared" ca="1" si="52"/>
        <v>44.478209668693658</v>
      </c>
    </row>
    <row r="286" spans="1:21" x14ac:dyDescent="0.45">
      <c r="A286">
        <f t="shared" ca="1" si="44"/>
        <v>19</v>
      </c>
      <c r="B286">
        <v>0.39</v>
      </c>
      <c r="C286">
        <f t="shared" ca="1" si="45"/>
        <v>14.9</v>
      </c>
      <c r="D286">
        <v>38</v>
      </c>
      <c r="E286">
        <v>6356</v>
      </c>
      <c r="H286">
        <v>52.8</v>
      </c>
      <c r="I286">
        <v>12.5</v>
      </c>
      <c r="J286">
        <v>7.4</v>
      </c>
      <c r="K286">
        <f t="shared" ca="1" si="46"/>
        <v>0.24281076471667651</v>
      </c>
      <c r="M286">
        <f t="shared" ca="1" si="53"/>
        <v>21.004011111084509</v>
      </c>
      <c r="N286">
        <f t="shared" ca="1" si="47"/>
        <v>44.504011111084509</v>
      </c>
      <c r="O286">
        <f t="shared" ca="1" si="48"/>
        <v>20.088076954873255</v>
      </c>
      <c r="P286">
        <v>15.241935483871</v>
      </c>
      <c r="Q286">
        <v>4.5</v>
      </c>
      <c r="R286">
        <f t="shared" ca="1" si="49"/>
        <v>19.8</v>
      </c>
      <c r="S286">
        <f t="shared" ca="1" si="50"/>
        <v>0.28807695487325391</v>
      </c>
      <c r="T286">
        <f t="shared" ca="1" si="51"/>
        <v>20.088076954873255</v>
      </c>
      <c r="U286">
        <f t="shared" ca="1" si="52"/>
        <v>44.504011111084509</v>
      </c>
    </row>
    <row r="287" spans="1:21" x14ac:dyDescent="0.45">
      <c r="A287">
        <f t="shared" ca="1" si="44"/>
        <v>20</v>
      </c>
      <c r="B287">
        <v>0.39</v>
      </c>
      <c r="C287">
        <f t="shared" ca="1" si="45"/>
        <v>15</v>
      </c>
      <c r="D287">
        <v>36.9</v>
      </c>
      <c r="E287">
        <v>6457</v>
      </c>
      <c r="F287">
        <v>11.61</v>
      </c>
      <c r="G287">
        <v>6.42</v>
      </c>
      <c r="H287">
        <v>51.5</v>
      </c>
      <c r="I287">
        <v>12.77</v>
      </c>
      <c r="J287">
        <v>7.26</v>
      </c>
      <c r="K287">
        <f t="shared" ca="1" si="46"/>
        <v>0.26637138459555659</v>
      </c>
      <c r="M287">
        <f t="shared" ca="1" si="53"/>
        <v>20.685405109734575</v>
      </c>
      <c r="N287">
        <f t="shared" ca="1" si="47"/>
        <v>45.185405109734575</v>
      </c>
      <c r="O287">
        <f t="shared" ca="1" si="48"/>
        <v>19.917935842653478</v>
      </c>
      <c r="P287">
        <v>13.808571428571399</v>
      </c>
      <c r="Q287">
        <v>4.5</v>
      </c>
      <c r="R287">
        <f t="shared" ca="1" si="49"/>
        <v>19</v>
      </c>
      <c r="S287">
        <f t="shared" ca="1" si="50"/>
        <v>0.91793584265347949</v>
      </c>
      <c r="T287">
        <f t="shared" ca="1" si="51"/>
        <v>19.917935842653481</v>
      </c>
      <c r="U287">
        <f t="shared" ca="1" si="52"/>
        <v>45.185405109734575</v>
      </c>
    </row>
    <row r="288" spans="1:21" x14ac:dyDescent="0.45">
      <c r="A288">
        <f t="shared" ca="1" si="44"/>
        <v>19</v>
      </c>
      <c r="B288">
        <v>0.39</v>
      </c>
      <c r="C288">
        <f t="shared" ca="1" si="45"/>
        <v>15.1</v>
      </c>
      <c r="D288">
        <v>37.450000000000003</v>
      </c>
      <c r="E288">
        <v>6103</v>
      </c>
      <c r="F288">
        <v>9.8699999999999992</v>
      </c>
      <c r="G288">
        <v>7.05</v>
      </c>
      <c r="H288">
        <v>72.3</v>
      </c>
      <c r="I288">
        <v>12.69</v>
      </c>
      <c r="J288">
        <v>7.2</v>
      </c>
      <c r="K288">
        <f t="shared" ca="1" si="46"/>
        <v>0.25591654835562616</v>
      </c>
      <c r="M288">
        <f t="shared" ca="1" si="53"/>
        <v>21.452305586628178</v>
      </c>
      <c r="N288">
        <f t="shared" ca="1" si="47"/>
        <v>44.952305586628178</v>
      </c>
      <c r="O288">
        <f t="shared" ca="1" si="48"/>
        <v>20.154694807678673</v>
      </c>
      <c r="P288">
        <v>6.1962616822429899</v>
      </c>
      <c r="Q288">
        <v>4.5</v>
      </c>
      <c r="R288">
        <f t="shared" ca="1" si="49"/>
        <v>19.899999999999999</v>
      </c>
      <c r="S288">
        <f t="shared" ca="1" si="50"/>
        <v>0.25469480767867403</v>
      </c>
      <c r="T288">
        <f t="shared" ca="1" si="51"/>
        <v>20.154694807678673</v>
      </c>
      <c r="U288">
        <f t="shared" ca="1" si="52"/>
        <v>44.952305586628178</v>
      </c>
    </row>
    <row r="289" spans="1:21" x14ac:dyDescent="0.45">
      <c r="A289">
        <f t="shared" ca="1" si="44"/>
        <v>17</v>
      </c>
      <c r="B289">
        <v>0.4</v>
      </c>
      <c r="C289">
        <f t="shared" ca="1" si="45"/>
        <v>16.100000000000001</v>
      </c>
      <c r="D289">
        <v>37.5</v>
      </c>
      <c r="E289">
        <v>6589</v>
      </c>
      <c r="F289">
        <v>10.56</v>
      </c>
      <c r="G289">
        <v>9.6</v>
      </c>
      <c r="H289">
        <v>65.3</v>
      </c>
      <c r="I289">
        <v>12.87</v>
      </c>
      <c r="J289">
        <v>7.25</v>
      </c>
      <c r="K289">
        <f t="shared" ca="1" si="46"/>
        <v>0.21071431490139697</v>
      </c>
      <c r="M289">
        <f t="shared" ca="1" si="53"/>
        <v>26.671182746316305</v>
      </c>
      <c r="N289">
        <f t="shared" ca="1" si="47"/>
        <v>48.171182746316305</v>
      </c>
      <c r="O289">
        <f t="shared" ca="1" si="48"/>
        <v>20.053483118470265</v>
      </c>
      <c r="P289">
        <v>4.2521739130434799</v>
      </c>
      <c r="Q289">
        <v>4.5</v>
      </c>
      <c r="R289">
        <f t="shared" ca="1" si="49"/>
        <v>19.8</v>
      </c>
      <c r="S289">
        <f t="shared" ca="1" si="50"/>
        <v>0.25348311847026439</v>
      </c>
      <c r="T289">
        <f t="shared" ca="1" si="51"/>
        <v>20.053483118470265</v>
      </c>
      <c r="U289">
        <f t="shared" ca="1" si="52"/>
        <v>48.171182746316305</v>
      </c>
    </row>
    <row r="290" spans="1:21" x14ac:dyDescent="0.45">
      <c r="A290">
        <f t="shared" ca="1" si="44"/>
        <v>22</v>
      </c>
      <c r="B290">
        <v>0.4</v>
      </c>
      <c r="C290">
        <f t="shared" ca="1" si="45"/>
        <v>15.1</v>
      </c>
      <c r="D290">
        <v>28.91</v>
      </c>
      <c r="E290">
        <v>6080</v>
      </c>
      <c r="F290">
        <v>6.27</v>
      </c>
      <c r="G290">
        <v>5.73</v>
      </c>
      <c r="H290">
        <v>52.1</v>
      </c>
      <c r="I290">
        <v>12.4</v>
      </c>
      <c r="J290">
        <v>7.4</v>
      </c>
      <c r="K290">
        <f t="shared" ca="1" si="46"/>
        <v>0.25931028612406004</v>
      </c>
      <c r="M290">
        <f t="shared" ca="1" si="53"/>
        <v>19.281919258721132</v>
      </c>
      <c r="N290">
        <f t="shared" ca="1" si="47"/>
        <v>45.781919258721132</v>
      </c>
      <c r="O290">
        <f t="shared" ca="1" si="48"/>
        <v>19.78947179737148</v>
      </c>
      <c r="P290">
        <v>10.166972477064199</v>
      </c>
      <c r="Q290">
        <v>4.5</v>
      </c>
      <c r="R290">
        <f t="shared" ca="1" si="49"/>
        <v>19.100000000000001</v>
      </c>
      <c r="S290">
        <f t="shared" ca="1" si="50"/>
        <v>0.68947179737147968</v>
      </c>
      <c r="T290">
        <f t="shared" ca="1" si="51"/>
        <v>19.78947179737148</v>
      </c>
      <c r="U290">
        <f t="shared" ca="1" si="52"/>
        <v>45.781919258721132</v>
      </c>
    </row>
    <row r="291" spans="1:21" x14ac:dyDescent="0.45">
      <c r="A291">
        <f t="shared" ca="1" si="44"/>
        <v>19</v>
      </c>
      <c r="B291">
        <v>0.4</v>
      </c>
      <c r="C291">
        <f t="shared" ca="1" si="45"/>
        <v>16.100000000000001</v>
      </c>
      <c r="D291">
        <v>33.92</v>
      </c>
      <c r="E291">
        <v>7341</v>
      </c>
      <c r="F291">
        <v>8.25</v>
      </c>
      <c r="G291">
        <v>5.52</v>
      </c>
      <c r="H291">
        <v>57.5</v>
      </c>
      <c r="I291">
        <v>12.46</v>
      </c>
      <c r="J291">
        <v>7.4</v>
      </c>
      <c r="K291">
        <f t="shared" ca="1" si="46"/>
        <v>0.2010828586099925</v>
      </c>
      <c r="M291">
        <f t="shared" ca="1" si="53"/>
        <v>25.163756050504801</v>
      </c>
      <c r="N291">
        <f t="shared" ca="1" si="47"/>
        <v>48.663756050504801</v>
      </c>
      <c r="O291">
        <f t="shared" ca="1" si="48"/>
        <v>19.850502271083524</v>
      </c>
      <c r="P291">
        <v>11.2775510204082</v>
      </c>
      <c r="Q291">
        <v>4.5</v>
      </c>
      <c r="R291">
        <f t="shared" ca="1" si="49"/>
        <v>19</v>
      </c>
      <c r="S291">
        <f t="shared" ca="1" si="50"/>
        <v>0.85050227108352583</v>
      </c>
      <c r="T291">
        <f t="shared" ca="1" si="51"/>
        <v>19.850502271083524</v>
      </c>
      <c r="U291">
        <f t="shared" ca="1" si="52"/>
        <v>48.663756050504801</v>
      </c>
    </row>
    <row r="292" spans="1:21" x14ac:dyDescent="0.45">
      <c r="A292">
        <f t="shared" ca="1" si="44"/>
        <v>16</v>
      </c>
      <c r="B292">
        <v>0.4</v>
      </c>
      <c r="C292">
        <f t="shared" ca="1" si="45"/>
        <v>16.3</v>
      </c>
      <c r="D292">
        <v>34.840000000000003</v>
      </c>
      <c r="E292">
        <v>6466</v>
      </c>
      <c r="F292">
        <v>7.95</v>
      </c>
      <c r="G292">
        <v>6.34</v>
      </c>
      <c r="H292">
        <v>61.5</v>
      </c>
      <c r="I292">
        <v>11.42</v>
      </c>
      <c r="J292">
        <v>7.34</v>
      </c>
      <c r="K292">
        <f t="shared" ca="1" si="46"/>
        <v>0.14145804224924963</v>
      </c>
      <c r="M292">
        <f t="shared" ca="1" si="53"/>
        <v>28.84247466687701</v>
      </c>
      <c r="N292">
        <f t="shared" ca="1" si="47"/>
        <v>49.34247466687701</v>
      </c>
      <c r="O292">
        <f t="shared" ca="1" si="48"/>
        <v>19.820651611065614</v>
      </c>
      <c r="P292">
        <v>12.5294117647059</v>
      </c>
      <c r="Q292">
        <v>4.5</v>
      </c>
      <c r="R292">
        <f t="shared" ca="1" si="49"/>
        <v>19.8</v>
      </c>
      <c r="S292">
        <f t="shared" ca="1" si="50"/>
        <v>2.0651611065612308E-2</v>
      </c>
      <c r="T292">
        <f t="shared" ca="1" si="51"/>
        <v>19.820651611065614</v>
      </c>
      <c r="U292">
        <f t="shared" ca="1" si="52"/>
        <v>49.34247466687701</v>
      </c>
    </row>
    <row r="293" spans="1:21" x14ac:dyDescent="0.45">
      <c r="A293">
        <f t="shared" ca="1" si="44"/>
        <v>22</v>
      </c>
      <c r="B293">
        <v>0.4</v>
      </c>
      <c r="C293">
        <f t="shared" ca="1" si="45"/>
        <v>14.7</v>
      </c>
      <c r="D293">
        <v>25.69</v>
      </c>
      <c r="E293">
        <v>6164</v>
      </c>
      <c r="F293">
        <v>15.27</v>
      </c>
      <c r="G293">
        <v>9.61</v>
      </c>
      <c r="H293">
        <v>57.3</v>
      </c>
      <c r="I293">
        <v>12.3</v>
      </c>
      <c r="J293">
        <v>7.19</v>
      </c>
      <c r="K293">
        <f t="shared" ca="1" si="46"/>
        <v>0.27268921722121903</v>
      </c>
      <c r="M293">
        <f t="shared" ca="1" si="53"/>
        <v>18.73928148708027</v>
      </c>
      <c r="N293">
        <f t="shared" ca="1" si="47"/>
        <v>45.23928148708027</v>
      </c>
      <c r="O293">
        <f t="shared" ca="1" si="48"/>
        <v>19.49633086572976</v>
      </c>
      <c r="P293">
        <v>13.0305882352941</v>
      </c>
      <c r="Q293">
        <v>4.5</v>
      </c>
      <c r="R293">
        <f t="shared" ca="1" si="49"/>
        <v>19</v>
      </c>
      <c r="S293">
        <f t="shared" ca="1" si="50"/>
        <v>0.49633086572976093</v>
      </c>
      <c r="T293">
        <f t="shared" ca="1" si="51"/>
        <v>19.49633086572976</v>
      </c>
      <c r="U293">
        <f t="shared" ca="1" si="52"/>
        <v>45.23928148708027</v>
      </c>
    </row>
    <row r="294" spans="1:21" x14ac:dyDescent="0.45">
      <c r="A294">
        <f t="shared" ca="1" si="44"/>
        <v>18</v>
      </c>
      <c r="B294">
        <v>0.4</v>
      </c>
      <c r="C294">
        <f t="shared" ca="1" si="45"/>
        <v>15.6</v>
      </c>
      <c r="E294">
        <v>6506</v>
      </c>
      <c r="F294">
        <v>7.92</v>
      </c>
      <c r="G294">
        <v>6.7</v>
      </c>
      <c r="H294">
        <v>62.8</v>
      </c>
      <c r="I294">
        <v>13.21</v>
      </c>
      <c r="J294">
        <v>7.35</v>
      </c>
      <c r="K294">
        <f t="shared" ca="1" si="46"/>
        <v>0.24748927587111152</v>
      </c>
      <c r="M294">
        <f t="shared" ref="M294:M325" ca="1" si="54">N294-A294-Q294</f>
        <v>23.67779363115433</v>
      </c>
      <c r="N294">
        <f t="shared" ca="1" si="47"/>
        <v>46.17779363115433</v>
      </c>
      <c r="O294">
        <f t="shared" ca="1" si="48"/>
        <v>20.269482935376057</v>
      </c>
      <c r="P294">
        <v>15.138461538461501</v>
      </c>
      <c r="Q294">
        <v>4.5</v>
      </c>
      <c r="R294">
        <f t="shared" ca="1" si="49"/>
        <v>20</v>
      </c>
      <c r="S294">
        <f t="shared" ca="1" si="50"/>
        <v>0.26948293537606227</v>
      </c>
      <c r="T294">
        <f t="shared" ca="1" si="51"/>
        <v>20.269482935376061</v>
      </c>
      <c r="U294">
        <f t="shared" ca="1" si="52"/>
        <v>46.17779363115433</v>
      </c>
    </row>
    <row r="295" spans="1:21" x14ac:dyDescent="0.45">
      <c r="A295">
        <f t="shared" ca="1" si="44"/>
        <v>18</v>
      </c>
      <c r="B295">
        <v>0.4</v>
      </c>
      <c r="C295">
        <f t="shared" ca="1" si="45"/>
        <v>15.9</v>
      </c>
      <c r="D295">
        <v>41.4</v>
      </c>
      <c r="E295">
        <v>6255</v>
      </c>
      <c r="F295">
        <v>12.92</v>
      </c>
      <c r="G295">
        <v>12.94</v>
      </c>
      <c r="H295">
        <v>51.7</v>
      </c>
      <c r="I295">
        <v>12.73</v>
      </c>
      <c r="J295">
        <v>7.23</v>
      </c>
      <c r="K295">
        <f t="shared" ca="1" si="46"/>
        <v>0.21823488999385141</v>
      </c>
      <c r="M295">
        <f t="shared" ca="1" si="54"/>
        <v>25.202203003172215</v>
      </c>
      <c r="N295">
        <f t="shared" ca="1" si="47"/>
        <v>47.702203003172215</v>
      </c>
      <c r="O295">
        <f t="shared" ca="1" si="48"/>
        <v>19.999076351600756</v>
      </c>
      <c r="P295">
        <v>13.6885714285714</v>
      </c>
      <c r="Q295">
        <v>4.5</v>
      </c>
      <c r="R295">
        <f t="shared" ca="1" si="49"/>
        <v>19.600000000000001</v>
      </c>
      <c r="S295">
        <f t="shared" ca="1" si="50"/>
        <v>0.3990763516007545</v>
      </c>
      <c r="T295">
        <f t="shared" ca="1" si="51"/>
        <v>19.999076351600756</v>
      </c>
      <c r="U295">
        <f t="shared" ca="1" si="52"/>
        <v>47.702203003172215</v>
      </c>
    </row>
    <row r="296" spans="1:21" x14ac:dyDescent="0.45">
      <c r="A296">
        <f t="shared" ca="1" si="44"/>
        <v>22</v>
      </c>
      <c r="B296">
        <v>0.41</v>
      </c>
      <c r="C296">
        <f t="shared" ca="1" si="45"/>
        <v>15.9</v>
      </c>
      <c r="D296">
        <v>35.21</v>
      </c>
      <c r="E296">
        <v>6627</v>
      </c>
      <c r="F296">
        <v>10.56</v>
      </c>
      <c r="G296">
        <v>5.94</v>
      </c>
      <c r="H296">
        <v>64.5</v>
      </c>
      <c r="I296">
        <v>12.05</v>
      </c>
      <c r="J296">
        <v>7.4</v>
      </c>
      <c r="K296">
        <f t="shared" ca="1" si="46"/>
        <v>0.23312458862109703</v>
      </c>
      <c r="M296">
        <f t="shared" ca="1" si="54"/>
        <v>19.946415895054969</v>
      </c>
      <c r="N296">
        <f t="shared" ca="1" si="47"/>
        <v>46.446415895054969</v>
      </c>
      <c r="O296">
        <f t="shared" ca="1" si="48"/>
        <v>20.539797993359699</v>
      </c>
      <c r="P296">
        <v>8.3958620689655206</v>
      </c>
      <c r="Q296">
        <v>4.5</v>
      </c>
      <c r="R296">
        <f t="shared" ca="1" si="49"/>
        <v>19.7</v>
      </c>
      <c r="S296">
        <f t="shared" ca="1" si="50"/>
        <v>0.83979799335969996</v>
      </c>
      <c r="T296">
        <f t="shared" ca="1" si="51"/>
        <v>20.539797993359699</v>
      </c>
      <c r="U296">
        <f t="shared" ca="1" si="52"/>
        <v>46.446415895054969</v>
      </c>
    </row>
    <row r="297" spans="1:21" x14ac:dyDescent="0.45">
      <c r="A297">
        <f t="shared" ca="1" si="44"/>
        <v>19</v>
      </c>
      <c r="B297">
        <v>0.41</v>
      </c>
      <c r="C297">
        <f t="shared" ca="1" si="45"/>
        <v>15.1</v>
      </c>
      <c r="D297">
        <v>46.48</v>
      </c>
      <c r="E297">
        <v>6214</v>
      </c>
      <c r="F297">
        <v>9</v>
      </c>
      <c r="G297">
        <v>9.36</v>
      </c>
      <c r="H297">
        <v>50.7</v>
      </c>
      <c r="I297">
        <v>12.63</v>
      </c>
      <c r="J297">
        <v>7.2</v>
      </c>
      <c r="K297">
        <f t="shared" ca="1" si="46"/>
        <v>0.23947114896130084</v>
      </c>
      <c r="M297">
        <f t="shared" ca="1" si="54"/>
        <v>22.674965329028019</v>
      </c>
      <c r="N297">
        <f t="shared" ca="1" si="47"/>
        <v>46.174965329028019</v>
      </c>
      <c r="O297">
        <f t="shared" ca="1" si="48"/>
        <v>19.621021771086003</v>
      </c>
      <c r="P297">
        <v>5.4993865030674796</v>
      </c>
      <c r="Q297">
        <v>4.5</v>
      </c>
      <c r="R297">
        <f t="shared" ca="1" si="49"/>
        <v>19.600000000000001</v>
      </c>
      <c r="S297">
        <f t="shared" ca="1" si="50"/>
        <v>2.1021771085998453E-2</v>
      </c>
      <c r="T297">
        <f t="shared" ca="1" si="51"/>
        <v>19.621021771085999</v>
      </c>
      <c r="U297">
        <f t="shared" ca="1" si="52"/>
        <v>46.174965329028019</v>
      </c>
    </row>
    <row r="298" spans="1:21" x14ac:dyDescent="0.45">
      <c r="A298">
        <f t="shared" ca="1" si="44"/>
        <v>17</v>
      </c>
      <c r="B298">
        <v>0.41</v>
      </c>
      <c r="C298">
        <f t="shared" ca="1" si="45"/>
        <v>15.6</v>
      </c>
      <c r="D298">
        <v>44.13</v>
      </c>
      <c r="E298">
        <v>6042</v>
      </c>
      <c r="F298">
        <v>15.08</v>
      </c>
      <c r="G298">
        <v>9.48</v>
      </c>
      <c r="H298">
        <v>49.5</v>
      </c>
      <c r="I298">
        <v>13.18</v>
      </c>
      <c r="J298">
        <v>7.04</v>
      </c>
      <c r="K298">
        <f t="shared" ca="1" si="46"/>
        <v>0.2422213366318002</v>
      </c>
      <c r="M298">
        <f t="shared" ca="1" si="54"/>
        <v>25.348716530837216</v>
      </c>
      <c r="N298">
        <f t="shared" ca="1" si="47"/>
        <v>46.848716530837216</v>
      </c>
      <c r="O298">
        <f t="shared" ca="1" si="48"/>
        <v>19.979202618793131</v>
      </c>
      <c r="P298">
        <v>9.702</v>
      </c>
      <c r="Q298">
        <v>4.5</v>
      </c>
      <c r="R298">
        <f t="shared" ca="1" si="49"/>
        <v>19.2</v>
      </c>
      <c r="S298">
        <f t="shared" ca="1" si="50"/>
        <v>0.77920261879313235</v>
      </c>
      <c r="T298">
        <f t="shared" ca="1" si="51"/>
        <v>19.979202618793131</v>
      </c>
      <c r="U298">
        <f t="shared" ca="1" si="52"/>
        <v>46.848716530837216</v>
      </c>
    </row>
    <row r="299" spans="1:21" x14ac:dyDescent="0.45">
      <c r="A299">
        <f t="shared" ca="1" si="44"/>
        <v>21</v>
      </c>
      <c r="B299">
        <v>0.41</v>
      </c>
      <c r="C299">
        <f t="shared" ca="1" si="45"/>
        <v>15</v>
      </c>
      <c r="D299">
        <v>33.119999999999997</v>
      </c>
      <c r="E299">
        <v>6417</v>
      </c>
      <c r="F299">
        <v>8.6</v>
      </c>
      <c r="G299">
        <v>8.26</v>
      </c>
      <c r="H299">
        <v>63.8</v>
      </c>
      <c r="I299">
        <v>12.59</v>
      </c>
      <c r="J299">
        <v>7.12</v>
      </c>
      <c r="K299">
        <f t="shared" ca="1" si="46"/>
        <v>0.26703944679814068</v>
      </c>
      <c r="M299">
        <f t="shared" ca="1" si="54"/>
        <v>20.483865082805011</v>
      </c>
      <c r="N299">
        <f t="shared" ca="1" si="47"/>
        <v>45.983865082805011</v>
      </c>
      <c r="O299">
        <f t="shared" ca="1" si="48"/>
        <v>19.572082476741212</v>
      </c>
      <c r="P299">
        <v>7.2092307692307704</v>
      </c>
      <c r="Q299">
        <v>4.5</v>
      </c>
      <c r="R299">
        <f t="shared" ca="1" si="49"/>
        <v>19.100000000000001</v>
      </c>
      <c r="S299">
        <f t="shared" ca="1" si="50"/>
        <v>0.47208247674121151</v>
      </c>
      <c r="T299">
        <f t="shared" ca="1" si="51"/>
        <v>19.572082476741212</v>
      </c>
      <c r="U299">
        <f t="shared" ca="1" si="52"/>
        <v>45.983865082805011</v>
      </c>
    </row>
    <row r="300" spans="1:21" x14ac:dyDescent="0.45">
      <c r="A300">
        <f t="shared" ca="1" si="44"/>
        <v>20</v>
      </c>
      <c r="B300">
        <v>0.41</v>
      </c>
      <c r="C300">
        <f t="shared" ca="1" si="45"/>
        <v>14.9</v>
      </c>
      <c r="D300">
        <v>33.69</v>
      </c>
      <c r="E300">
        <v>5780</v>
      </c>
      <c r="F300">
        <v>9.01</v>
      </c>
      <c r="G300">
        <v>7.02</v>
      </c>
      <c r="H300">
        <v>50.9</v>
      </c>
      <c r="I300">
        <v>12.46</v>
      </c>
      <c r="J300">
        <v>7.1</v>
      </c>
      <c r="K300">
        <f t="shared" ca="1" si="46"/>
        <v>0.26829814490266024</v>
      </c>
      <c r="M300">
        <f t="shared" ca="1" si="54"/>
        <v>19.977775105171276</v>
      </c>
      <c r="N300">
        <f t="shared" ca="1" si="47"/>
        <v>44.477775105171276</v>
      </c>
      <c r="O300">
        <f t="shared" ca="1" si="48"/>
        <v>20.099926263983868</v>
      </c>
      <c r="P300">
        <v>8.3781818181818206</v>
      </c>
      <c r="Q300">
        <v>4.5</v>
      </c>
      <c r="R300">
        <f t="shared" ca="1" si="49"/>
        <v>19.2</v>
      </c>
      <c r="S300">
        <f t="shared" ca="1" si="50"/>
        <v>0.89992626398386855</v>
      </c>
      <c r="T300">
        <f t="shared" ca="1" si="51"/>
        <v>20.099926263983868</v>
      </c>
      <c r="U300">
        <f t="shared" ca="1" si="52"/>
        <v>44.477775105171276</v>
      </c>
    </row>
    <row r="301" spans="1:21" x14ac:dyDescent="0.45">
      <c r="A301">
        <f t="shared" ca="1" si="44"/>
        <v>22</v>
      </c>
      <c r="B301">
        <v>0.42</v>
      </c>
      <c r="C301">
        <f t="shared" ca="1" si="45"/>
        <v>15</v>
      </c>
      <c r="D301">
        <v>19.55</v>
      </c>
      <c r="E301">
        <v>6500</v>
      </c>
      <c r="F301">
        <v>12.06</v>
      </c>
      <c r="G301">
        <v>0.16</v>
      </c>
      <c r="H301">
        <v>65.3</v>
      </c>
      <c r="I301">
        <v>11.03</v>
      </c>
      <c r="J301">
        <v>7.28</v>
      </c>
      <c r="K301">
        <f t="shared" ca="1" si="46"/>
        <v>0.18204338137952933</v>
      </c>
      <c r="M301">
        <f t="shared" ca="1" si="54"/>
        <v>20.599485526924433</v>
      </c>
      <c r="N301">
        <f t="shared" ca="1" si="47"/>
        <v>47.099485526924433</v>
      </c>
      <c r="O301">
        <f t="shared" ca="1" si="48"/>
        <v>19.108488976711108</v>
      </c>
      <c r="P301">
        <v>5.5701030927835102</v>
      </c>
      <c r="Q301">
        <v>4.5</v>
      </c>
      <c r="R301">
        <f t="shared" ca="1" si="49"/>
        <v>19</v>
      </c>
      <c r="S301">
        <f t="shared" ca="1" si="50"/>
        <v>0.10848897671111002</v>
      </c>
      <c r="T301">
        <f t="shared" ca="1" si="51"/>
        <v>19.108488976711111</v>
      </c>
      <c r="U301">
        <f t="shared" ca="1" si="52"/>
        <v>47.099485526924433</v>
      </c>
    </row>
    <row r="302" spans="1:21" x14ac:dyDescent="0.45">
      <c r="A302">
        <f t="shared" ca="1" si="44"/>
        <v>16</v>
      </c>
      <c r="B302">
        <v>0.42</v>
      </c>
      <c r="C302">
        <f t="shared" ca="1" si="45"/>
        <v>16.399999999999999</v>
      </c>
      <c r="D302">
        <v>33.700000000000003</v>
      </c>
      <c r="E302">
        <v>6423</v>
      </c>
      <c r="F302">
        <v>4.7300000000000004</v>
      </c>
      <c r="G302">
        <v>5.44</v>
      </c>
      <c r="H302">
        <v>60.21</v>
      </c>
      <c r="I302">
        <v>12.34</v>
      </c>
      <c r="J302">
        <v>7.4</v>
      </c>
      <c r="K302">
        <f t="shared" ca="1" si="46"/>
        <v>0.17500757527750427</v>
      </c>
      <c r="M302">
        <f t="shared" ca="1" si="54"/>
        <v>28.227349542822871</v>
      </c>
      <c r="N302">
        <f t="shared" ca="1" si="47"/>
        <v>48.727349542822871</v>
      </c>
      <c r="O302">
        <f t="shared" ca="1" si="48"/>
        <v>20.193998016149738</v>
      </c>
      <c r="P302">
        <v>9.1131147540983601</v>
      </c>
      <c r="Q302">
        <v>4.5</v>
      </c>
      <c r="R302">
        <f t="shared" ca="1" si="49"/>
        <v>19.899999999999999</v>
      </c>
      <c r="S302">
        <f t="shared" ca="1" si="50"/>
        <v>0.29399801614973886</v>
      </c>
      <c r="T302">
        <f t="shared" ca="1" si="51"/>
        <v>20.193998016149738</v>
      </c>
      <c r="U302">
        <f t="shared" ca="1" si="52"/>
        <v>48.727349542822871</v>
      </c>
    </row>
    <row r="303" spans="1:21" x14ac:dyDescent="0.45">
      <c r="A303">
        <f t="shared" ca="1" si="44"/>
        <v>22</v>
      </c>
      <c r="B303">
        <v>0.42</v>
      </c>
      <c r="C303">
        <f t="shared" ca="1" si="45"/>
        <v>14.8</v>
      </c>
      <c r="D303">
        <v>39</v>
      </c>
      <c r="E303">
        <v>7546</v>
      </c>
      <c r="H303">
        <v>52</v>
      </c>
      <c r="I303">
        <v>12.48</v>
      </c>
      <c r="J303">
        <v>7.3</v>
      </c>
      <c r="K303">
        <f t="shared" ca="1" si="46"/>
        <v>0.2913443999334186</v>
      </c>
      <c r="M303">
        <f t="shared" ca="1" si="54"/>
        <v>17.779644987800673</v>
      </c>
      <c r="N303">
        <f t="shared" ca="1" si="47"/>
        <v>44.279644987800673</v>
      </c>
      <c r="O303">
        <f t="shared" ca="1" si="48"/>
        <v>20.054361326624228</v>
      </c>
      <c r="P303">
        <v>17.695890410958899</v>
      </c>
      <c r="Q303">
        <v>4.5</v>
      </c>
      <c r="R303">
        <f t="shared" ca="1" si="49"/>
        <v>19.600000000000001</v>
      </c>
      <c r="S303">
        <f t="shared" ca="1" si="50"/>
        <v>0.45436132662422302</v>
      </c>
      <c r="T303">
        <f t="shared" ca="1" si="51"/>
        <v>20.054361326624225</v>
      </c>
      <c r="U303">
        <f t="shared" ca="1" si="52"/>
        <v>44.279644987800673</v>
      </c>
    </row>
    <row r="304" spans="1:21" x14ac:dyDescent="0.45">
      <c r="A304">
        <f t="shared" ca="1" si="44"/>
        <v>17</v>
      </c>
      <c r="B304">
        <v>0.42</v>
      </c>
      <c r="C304">
        <f t="shared" ca="1" si="45"/>
        <v>15.6</v>
      </c>
      <c r="D304">
        <v>33.6</v>
      </c>
      <c r="E304">
        <v>6154</v>
      </c>
      <c r="F304">
        <v>9.8000000000000007</v>
      </c>
      <c r="G304">
        <v>9.98</v>
      </c>
      <c r="H304">
        <v>52.6</v>
      </c>
      <c r="I304">
        <v>12.17</v>
      </c>
      <c r="J304">
        <v>7.2</v>
      </c>
      <c r="K304">
        <f t="shared" ca="1" si="46"/>
        <v>0.19109833544633309</v>
      </c>
      <c r="M304">
        <f t="shared" ca="1" si="54"/>
        <v>26.007552542998184</v>
      </c>
      <c r="N304">
        <f t="shared" ca="1" si="47"/>
        <v>47.507552542998184</v>
      </c>
      <c r="O304">
        <f t="shared" ca="1" si="48"/>
        <v>19.702130501310169</v>
      </c>
      <c r="P304">
        <v>8.2951456310679603</v>
      </c>
      <c r="Q304">
        <v>4.5</v>
      </c>
      <c r="R304">
        <f t="shared" ca="1" si="49"/>
        <v>19.600000000000001</v>
      </c>
      <c r="S304">
        <f t="shared" ca="1" si="50"/>
        <v>0.10213050131016632</v>
      </c>
      <c r="T304">
        <f t="shared" ca="1" si="51"/>
        <v>19.702130501310169</v>
      </c>
      <c r="U304">
        <f t="shared" ca="1" si="52"/>
        <v>47.507552542998184</v>
      </c>
    </row>
    <row r="305" spans="1:21" x14ac:dyDescent="0.45">
      <c r="A305">
        <f t="shared" ca="1" si="44"/>
        <v>20</v>
      </c>
      <c r="B305">
        <v>0.43</v>
      </c>
      <c r="C305">
        <f t="shared" ca="1" si="45"/>
        <v>14.9</v>
      </c>
      <c r="D305">
        <v>41</v>
      </c>
      <c r="E305">
        <v>6355</v>
      </c>
      <c r="F305">
        <v>11.67</v>
      </c>
      <c r="G305">
        <v>10.24</v>
      </c>
      <c r="H305">
        <v>51.1</v>
      </c>
      <c r="I305">
        <v>12.73</v>
      </c>
      <c r="J305">
        <v>7.21</v>
      </c>
      <c r="K305">
        <f t="shared" ca="1" si="46"/>
        <v>0.29914254826095182</v>
      </c>
      <c r="M305">
        <f t="shared" ca="1" si="54"/>
        <v>18.452741116535265</v>
      </c>
      <c r="N305">
        <f t="shared" ca="1" si="47"/>
        <v>42.952741116535265</v>
      </c>
      <c r="O305">
        <f t="shared" ca="1" si="48"/>
        <v>20.813572702484457</v>
      </c>
      <c r="P305">
        <v>15.082191780821899</v>
      </c>
      <c r="Q305">
        <v>4.5</v>
      </c>
      <c r="R305">
        <f t="shared" ca="1" si="49"/>
        <v>20</v>
      </c>
      <c r="S305">
        <f t="shared" ca="1" si="50"/>
        <v>0.8135727024844519</v>
      </c>
      <c r="T305">
        <f t="shared" ca="1" si="51"/>
        <v>20.813572702484453</v>
      </c>
      <c r="U305">
        <f t="shared" ca="1" si="52"/>
        <v>42.952741116535265</v>
      </c>
    </row>
    <row r="306" spans="1:21" x14ac:dyDescent="0.45">
      <c r="A306">
        <f t="shared" ca="1" si="44"/>
        <v>17</v>
      </c>
      <c r="B306">
        <v>0.44</v>
      </c>
      <c r="C306">
        <f t="shared" ca="1" si="45"/>
        <v>15.8</v>
      </c>
      <c r="D306">
        <v>34.67</v>
      </c>
      <c r="E306">
        <v>6326</v>
      </c>
      <c r="F306">
        <v>8.4600000000000009</v>
      </c>
      <c r="G306">
        <v>5.88</v>
      </c>
      <c r="H306">
        <v>60.25</v>
      </c>
      <c r="I306">
        <v>12.21</v>
      </c>
      <c r="J306">
        <v>7.3</v>
      </c>
      <c r="K306">
        <f t="shared" ca="1" si="46"/>
        <v>0.19567282640639377</v>
      </c>
      <c r="M306">
        <f t="shared" ca="1" si="54"/>
        <v>25.092906818867121</v>
      </c>
      <c r="N306">
        <f t="shared" ca="1" si="47"/>
        <v>46.592906818867121</v>
      </c>
      <c r="O306">
        <f t="shared" ca="1" si="48"/>
        <v>20.346444657024946</v>
      </c>
      <c r="P306">
        <v>9.5179487179487197</v>
      </c>
      <c r="Q306">
        <v>4.5</v>
      </c>
      <c r="R306">
        <f t="shared" ca="1" si="49"/>
        <v>20</v>
      </c>
      <c r="S306">
        <f t="shared" ca="1" si="50"/>
        <v>0.34644465702494376</v>
      </c>
      <c r="T306">
        <f t="shared" ca="1" si="51"/>
        <v>20.346444657024943</v>
      </c>
      <c r="U306">
        <f t="shared" ca="1" si="52"/>
        <v>46.592906818867121</v>
      </c>
    </row>
    <row r="307" spans="1:21" x14ac:dyDescent="0.45">
      <c r="A307">
        <f t="shared" ca="1" si="44"/>
        <v>19</v>
      </c>
      <c r="B307">
        <v>0.44</v>
      </c>
      <c r="C307">
        <f t="shared" ca="1" si="45"/>
        <v>15.5</v>
      </c>
      <c r="D307">
        <v>35.729999999999997</v>
      </c>
      <c r="E307">
        <v>6623</v>
      </c>
      <c r="F307">
        <v>9.57</v>
      </c>
      <c r="G307">
        <v>6.09</v>
      </c>
      <c r="H307" t="s">
        <v>23</v>
      </c>
      <c r="I307">
        <v>11.33</v>
      </c>
      <c r="J307">
        <v>7.4</v>
      </c>
      <c r="K307">
        <f t="shared" ca="1" si="46"/>
        <v>0.18491605183272258</v>
      </c>
      <c r="M307">
        <f t="shared" ca="1" si="54"/>
        <v>21.252887248291067</v>
      </c>
      <c r="N307">
        <f t="shared" ca="1" si="47"/>
        <v>44.752887248291067</v>
      </c>
      <c r="O307">
        <f t="shared" ca="1" si="48"/>
        <v>20.78078213904541</v>
      </c>
      <c r="P307">
        <v>11.09375</v>
      </c>
      <c r="Q307">
        <v>4.5</v>
      </c>
      <c r="R307">
        <f t="shared" ca="1" si="49"/>
        <v>19.8</v>
      </c>
      <c r="S307">
        <f t="shared" ca="1" si="50"/>
        <v>0.98078213904540523</v>
      </c>
      <c r="T307">
        <f t="shared" ca="1" si="51"/>
        <v>20.780782139045407</v>
      </c>
      <c r="U307">
        <f t="shared" ca="1" si="52"/>
        <v>44.752887248291067</v>
      </c>
    </row>
    <row r="308" spans="1:21" x14ac:dyDescent="0.45">
      <c r="A308">
        <f t="shared" ca="1" si="44"/>
        <v>18</v>
      </c>
      <c r="B308">
        <v>0.45</v>
      </c>
      <c r="C308">
        <f t="shared" ca="1" si="45"/>
        <v>14.8</v>
      </c>
      <c r="D308">
        <v>41.64</v>
      </c>
      <c r="E308">
        <v>6318</v>
      </c>
      <c r="F308">
        <v>9.49</v>
      </c>
      <c r="G308">
        <v>7.47</v>
      </c>
      <c r="H308">
        <v>56.4</v>
      </c>
      <c r="I308">
        <v>13.3</v>
      </c>
      <c r="J308">
        <v>7.3</v>
      </c>
      <c r="K308">
        <f t="shared" ca="1" si="46"/>
        <v>0.28008626668237346</v>
      </c>
      <c r="M308">
        <f t="shared" ca="1" si="54"/>
        <v>21.421971419984644</v>
      </c>
      <c r="N308">
        <f t="shared" ca="1" si="47"/>
        <v>43.921971419984644</v>
      </c>
      <c r="O308">
        <f t="shared" ca="1" si="48"/>
        <v>20.217671732192716</v>
      </c>
      <c r="P308">
        <v>10.663043478260899</v>
      </c>
      <c r="Q308">
        <v>4.5</v>
      </c>
      <c r="R308">
        <f t="shared" ca="1" si="49"/>
        <v>19.600000000000001</v>
      </c>
      <c r="S308">
        <f t="shared" ca="1" si="50"/>
        <v>0.61767173219272031</v>
      </c>
      <c r="T308">
        <f t="shared" ca="1" si="51"/>
        <v>20.21767173219272</v>
      </c>
      <c r="U308">
        <f t="shared" ca="1" si="52"/>
        <v>43.921971419984644</v>
      </c>
    </row>
    <row r="309" spans="1:21" x14ac:dyDescent="0.45">
      <c r="A309">
        <f t="shared" ca="1" si="44"/>
        <v>17</v>
      </c>
      <c r="B309">
        <v>0.46</v>
      </c>
      <c r="C309">
        <f t="shared" ca="1" si="45"/>
        <v>14.5</v>
      </c>
      <c r="D309">
        <v>46.78</v>
      </c>
      <c r="E309">
        <v>6518</v>
      </c>
      <c r="F309">
        <v>11.4</v>
      </c>
      <c r="G309">
        <v>8.19</v>
      </c>
      <c r="H309">
        <v>71.900000000000006</v>
      </c>
      <c r="I309">
        <v>12.31</v>
      </c>
      <c r="J309">
        <v>7.3</v>
      </c>
      <c r="K309">
        <f t="shared" ca="1" si="46"/>
        <v>0.24379084574912518</v>
      </c>
      <c r="M309">
        <f t="shared" ca="1" si="54"/>
        <v>20.550402475553078</v>
      </c>
      <c r="N309">
        <f t="shared" ca="1" si="47"/>
        <v>42.050402475553078</v>
      </c>
      <c r="O309">
        <f t="shared" ca="1" si="48"/>
        <v>20.689457146237629</v>
      </c>
      <c r="P309">
        <v>8.7861386138613895</v>
      </c>
      <c r="Q309">
        <v>4.5</v>
      </c>
      <c r="R309">
        <f t="shared" ca="1" si="49"/>
        <v>19.899999999999999</v>
      </c>
      <c r="S309">
        <f t="shared" ca="1" si="50"/>
        <v>0.78945714623762786</v>
      </c>
      <c r="T309">
        <f t="shared" ca="1" si="51"/>
        <v>20.689457146237626</v>
      </c>
      <c r="U309">
        <f t="shared" ca="1" si="52"/>
        <v>42.050402475553078</v>
      </c>
    </row>
    <row r="310" spans="1:21" x14ac:dyDescent="0.45">
      <c r="A310">
        <f t="shared" ca="1" si="44"/>
        <v>18</v>
      </c>
      <c r="B310">
        <v>0.46</v>
      </c>
      <c r="C310">
        <f t="shared" ca="1" si="45"/>
        <v>16.399999999999999</v>
      </c>
      <c r="D310">
        <v>34.04</v>
      </c>
      <c r="E310">
        <v>6284</v>
      </c>
      <c r="F310">
        <v>12.71</v>
      </c>
      <c r="G310">
        <v>13.24</v>
      </c>
      <c r="H310">
        <v>67.099999999999994</v>
      </c>
      <c r="I310">
        <v>12.68</v>
      </c>
      <c r="J310">
        <v>7.4</v>
      </c>
      <c r="K310">
        <f t="shared" ca="1" si="46"/>
        <v>0.20705542895061127</v>
      </c>
      <c r="M310">
        <f t="shared" ca="1" si="54"/>
        <v>25.500418060805508</v>
      </c>
      <c r="N310">
        <f t="shared" ca="1" si="47"/>
        <v>48.000418060805508</v>
      </c>
      <c r="O310">
        <f t="shared" ca="1" si="48"/>
        <v>20.499821454752702</v>
      </c>
      <c r="P310">
        <v>9.7874999999999996</v>
      </c>
      <c r="Q310">
        <v>4.5</v>
      </c>
      <c r="R310">
        <f t="shared" ca="1" si="49"/>
        <v>19.8</v>
      </c>
      <c r="S310">
        <f t="shared" ca="1" si="50"/>
        <v>0.69982145475270052</v>
      </c>
      <c r="T310">
        <f t="shared" ca="1" si="51"/>
        <v>20.499821454752702</v>
      </c>
      <c r="U310">
        <f t="shared" ca="1" si="52"/>
        <v>48.000418060805508</v>
      </c>
    </row>
    <row r="311" spans="1:21" x14ac:dyDescent="0.45">
      <c r="A311">
        <f t="shared" ca="1" si="44"/>
        <v>20</v>
      </c>
      <c r="B311">
        <v>0.46</v>
      </c>
      <c r="C311">
        <f t="shared" ca="1" si="45"/>
        <v>15.2</v>
      </c>
      <c r="D311">
        <v>38.020000000000003</v>
      </c>
      <c r="E311">
        <v>5358</v>
      </c>
      <c r="F311">
        <v>9.07</v>
      </c>
      <c r="G311">
        <v>6.34</v>
      </c>
      <c r="H311">
        <v>72.400000000000006</v>
      </c>
      <c r="I311">
        <v>12.35</v>
      </c>
      <c r="J311">
        <v>7.4</v>
      </c>
      <c r="K311">
        <f t="shared" ca="1" si="46"/>
        <v>0.23258427764273748</v>
      </c>
      <c r="M311">
        <f t="shared" ca="1" si="54"/>
        <v>21.282607965459633</v>
      </c>
      <c r="N311">
        <f t="shared" ca="1" si="47"/>
        <v>45.782607965459633</v>
      </c>
      <c r="O311">
        <f t="shared" ca="1" si="48"/>
        <v>19.920228237938126</v>
      </c>
      <c r="P311">
        <v>8.5761467889908296</v>
      </c>
      <c r="Q311">
        <v>4.5</v>
      </c>
      <c r="R311">
        <f t="shared" ca="1" si="49"/>
        <v>19.899999999999999</v>
      </c>
      <c r="S311">
        <f t="shared" ca="1" si="50"/>
        <v>2.0228237938126226E-2</v>
      </c>
      <c r="T311">
        <f t="shared" ca="1" si="51"/>
        <v>19.920228237938126</v>
      </c>
      <c r="U311">
        <f t="shared" ca="1" si="52"/>
        <v>45.782607965459633</v>
      </c>
    </row>
    <row r="312" spans="1:21" x14ac:dyDescent="0.45">
      <c r="A312">
        <f t="shared" ca="1" si="44"/>
        <v>22</v>
      </c>
      <c r="B312">
        <v>0.47</v>
      </c>
      <c r="C312">
        <f t="shared" ca="1" si="45"/>
        <v>14.9</v>
      </c>
      <c r="D312">
        <v>35.950000000000003</v>
      </c>
      <c r="E312">
        <v>6482</v>
      </c>
      <c r="F312">
        <v>7.92</v>
      </c>
      <c r="G312">
        <v>8.57</v>
      </c>
      <c r="H312">
        <v>61.2</v>
      </c>
      <c r="I312">
        <v>12.43</v>
      </c>
      <c r="J312">
        <v>7.32</v>
      </c>
      <c r="K312">
        <f t="shared" ca="1" si="46"/>
        <v>0.30369368878088532</v>
      </c>
      <c r="M312">
        <f t="shared" ca="1" si="54"/>
        <v>16.826164615119346</v>
      </c>
      <c r="N312">
        <f t="shared" ca="1" si="47"/>
        <v>43.326164615119346</v>
      </c>
      <c r="O312">
        <f t="shared" ca="1" si="48"/>
        <v>20.634182784045109</v>
      </c>
      <c r="P312">
        <v>7.8100840336134496</v>
      </c>
      <c r="Q312">
        <v>4.5</v>
      </c>
      <c r="R312">
        <f t="shared" ca="1" si="49"/>
        <v>19.899999999999999</v>
      </c>
      <c r="S312">
        <f t="shared" ca="1" si="50"/>
        <v>0.73418278404511084</v>
      </c>
      <c r="T312">
        <f t="shared" ca="1" si="51"/>
        <v>20.634182784045109</v>
      </c>
      <c r="U312">
        <f t="shared" ca="1" si="52"/>
        <v>43.326164615119346</v>
      </c>
    </row>
    <row r="313" spans="1:21" x14ac:dyDescent="0.45">
      <c r="A313">
        <f t="shared" ca="1" si="44"/>
        <v>20</v>
      </c>
      <c r="B313">
        <v>0.47</v>
      </c>
      <c r="C313">
        <f t="shared" ca="1" si="45"/>
        <v>14.9</v>
      </c>
      <c r="D313">
        <v>38.67</v>
      </c>
      <c r="E313">
        <v>6984</v>
      </c>
      <c r="F313">
        <v>8.58</v>
      </c>
      <c r="G313">
        <v>7.12</v>
      </c>
      <c r="H313">
        <v>63.2</v>
      </c>
      <c r="I313">
        <v>12.1</v>
      </c>
      <c r="J313">
        <v>7.2</v>
      </c>
      <c r="K313">
        <f t="shared" ca="1" si="46"/>
        <v>0.23635123159556759</v>
      </c>
      <c r="M313">
        <f t="shared" ca="1" si="54"/>
        <v>20.731857274112429</v>
      </c>
      <c r="N313">
        <f t="shared" ca="1" si="47"/>
        <v>45.231857274112429</v>
      </c>
      <c r="O313">
        <f t="shared" ca="1" si="48"/>
        <v>19.764830671935805</v>
      </c>
      <c r="P313">
        <v>11.3052631578947</v>
      </c>
      <c r="Q313">
        <v>4.5</v>
      </c>
      <c r="R313">
        <f t="shared" ca="1" si="49"/>
        <v>19.600000000000001</v>
      </c>
      <c r="S313">
        <f t="shared" ca="1" si="50"/>
        <v>0.16483067193580281</v>
      </c>
      <c r="T313">
        <f t="shared" ca="1" si="51"/>
        <v>19.764830671935805</v>
      </c>
      <c r="U313">
        <f t="shared" ca="1" si="52"/>
        <v>45.231857274112429</v>
      </c>
    </row>
    <row r="314" spans="1:21" x14ac:dyDescent="0.45">
      <c r="A314">
        <f t="shared" ca="1" si="44"/>
        <v>22</v>
      </c>
      <c r="B314">
        <v>0.49</v>
      </c>
      <c r="C314">
        <f t="shared" ca="1" si="45"/>
        <v>15.4</v>
      </c>
      <c r="D314">
        <v>33.21</v>
      </c>
      <c r="E314">
        <v>6545</v>
      </c>
      <c r="F314">
        <v>10.6</v>
      </c>
      <c r="G314">
        <v>8.8699999999999992</v>
      </c>
      <c r="H314">
        <v>64.2</v>
      </c>
      <c r="I314">
        <v>11.4</v>
      </c>
      <c r="J314">
        <v>7.3</v>
      </c>
      <c r="K314">
        <f t="shared" ca="1" si="46"/>
        <v>0.2198386412302821</v>
      </c>
      <c r="M314">
        <f t="shared" ca="1" si="54"/>
        <v>18.650042490506614</v>
      </c>
      <c r="N314">
        <f t="shared" ca="1" si="47"/>
        <v>45.150042490506614</v>
      </c>
      <c r="O314">
        <f t="shared" ca="1" si="48"/>
        <v>20.465097019438755</v>
      </c>
      <c r="P314">
        <v>8.0582278481012608</v>
      </c>
      <c r="Q314">
        <v>4.5</v>
      </c>
      <c r="R314">
        <f t="shared" ca="1" si="49"/>
        <v>19.7</v>
      </c>
      <c r="S314">
        <f t="shared" ca="1" si="50"/>
        <v>0.76509701943875608</v>
      </c>
      <c r="T314">
        <f t="shared" ca="1" si="51"/>
        <v>20.465097019438755</v>
      </c>
      <c r="U314">
        <f t="shared" ca="1" si="52"/>
        <v>45.150042490506614</v>
      </c>
    </row>
    <row r="315" spans="1:21" x14ac:dyDescent="0.45">
      <c r="A315">
        <f t="shared" ca="1" si="44"/>
        <v>20</v>
      </c>
      <c r="B315">
        <v>0.5</v>
      </c>
      <c r="C315">
        <f t="shared" ca="1" si="45"/>
        <v>16.3</v>
      </c>
      <c r="D315">
        <v>34.96</v>
      </c>
      <c r="E315">
        <v>6455</v>
      </c>
      <c r="F315">
        <v>3.38</v>
      </c>
      <c r="G315">
        <v>5.91</v>
      </c>
      <c r="H315">
        <v>59.9</v>
      </c>
      <c r="I315">
        <v>12.52</v>
      </c>
      <c r="J315">
        <v>7.42</v>
      </c>
      <c r="K315">
        <f t="shared" ca="1" si="46"/>
        <v>0.21522960997516857</v>
      </c>
      <c r="M315">
        <f t="shared" ca="1" si="54"/>
        <v>23.695624410546465</v>
      </c>
      <c r="N315">
        <f t="shared" ca="1" si="47"/>
        <v>48.195624410546465</v>
      </c>
      <c r="O315">
        <f t="shared" ca="1" si="48"/>
        <v>20.292298563642802</v>
      </c>
      <c r="P315">
        <v>7.1131578947368403</v>
      </c>
      <c r="Q315">
        <v>4.5</v>
      </c>
      <c r="R315">
        <f t="shared" ca="1" si="49"/>
        <v>20</v>
      </c>
      <c r="S315">
        <f t="shared" ca="1" si="50"/>
        <v>0.29229856364280415</v>
      </c>
      <c r="T315">
        <f t="shared" ca="1" si="51"/>
        <v>20.292298563642802</v>
      </c>
      <c r="U315">
        <f t="shared" ca="1" si="52"/>
        <v>48.195624410546465</v>
      </c>
    </row>
  </sheetData>
  <sortState xmlns:xlrd2="http://schemas.microsoft.com/office/spreadsheetml/2017/richdata2" ref="A4:U315">
    <sortCondition ref="B4:B315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4CE-6AE4-40FD-B579-ECA043C69B50}">
  <dimension ref="A1:U315"/>
  <sheetViews>
    <sheetView workbookViewId="0">
      <pane xSplit="1" ySplit="3" topLeftCell="B283" activePane="bottomRight" state="frozen"/>
      <selection pane="topRight" activeCell="B1" sqref="B1"/>
      <selection pane="bottomLeft" activeCell="A4" sqref="A4"/>
      <selection pane="bottomRight" activeCell="E301" sqref="E301:K301"/>
    </sheetView>
  </sheetViews>
  <sheetFormatPr defaultRowHeight="14.25" x14ac:dyDescent="0.45"/>
  <cols>
    <col min="4" max="4" width="12.46484375" customWidth="1"/>
    <col min="5" max="5" width="13.796875" customWidth="1"/>
    <col min="6" max="6" width="17.265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N1" t="s">
        <v>11</v>
      </c>
      <c r="O1" t="s">
        <v>12</v>
      </c>
      <c r="P1" t="s">
        <v>12</v>
      </c>
      <c r="Q1" t="s">
        <v>13</v>
      </c>
    </row>
    <row r="2" spans="1:2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M2" t="s">
        <v>14</v>
      </c>
      <c r="N2" t="s">
        <v>14</v>
      </c>
      <c r="O2" t="s">
        <v>22</v>
      </c>
      <c r="P2" t="s">
        <v>22</v>
      </c>
      <c r="Q2" t="s">
        <v>14</v>
      </c>
    </row>
    <row r="3" spans="1:21" ht="14.65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1" t="s">
        <v>27</v>
      </c>
      <c r="L3" s="1"/>
      <c r="M3" t="s">
        <v>10</v>
      </c>
      <c r="N3" t="s">
        <v>11</v>
      </c>
      <c r="O3" t="s">
        <v>12</v>
      </c>
      <c r="P3" t="s">
        <v>12</v>
      </c>
      <c r="Q3" t="s">
        <v>13</v>
      </c>
    </row>
    <row r="4" spans="1:21" x14ac:dyDescent="0.45">
      <c r="A4">
        <f t="shared" ref="A4:A67" ca="1" si="0">RANDBETWEEN(16,22)</f>
        <v>22</v>
      </c>
      <c r="B4">
        <v>0</v>
      </c>
      <c r="C4">
        <f t="shared" ref="C4:C67" ca="1" si="1">RANDBETWEEN(145,165)/10</f>
        <v>15.2</v>
      </c>
      <c r="D4">
        <v>31.77</v>
      </c>
      <c r="E4" s="3">
        <v>4778</v>
      </c>
      <c r="F4">
        <v>6.74</v>
      </c>
      <c r="G4">
        <v>10.17</v>
      </c>
      <c r="H4">
        <v>51.2</v>
      </c>
      <c r="I4">
        <v>12.54</v>
      </c>
      <c r="K4" t="e">
        <f t="shared" ref="K4:K67" si="2">(I4-J4)/M4</f>
        <v>#DIV/0!</v>
      </c>
      <c r="N4">
        <f t="shared" ref="N4:N67" ca="1" si="3">U4</f>
        <v>45.26100716229498</v>
      </c>
      <c r="O4">
        <f t="shared" ref="O4:O67" ca="1" si="4">C4/N4*60</f>
        <v>20.149794650609284</v>
      </c>
      <c r="P4">
        <v>37.847999999999999</v>
      </c>
      <c r="Q4">
        <v>4.5</v>
      </c>
      <c r="R4">
        <f t="shared" ref="R4:R67" ca="1" si="5">RANDBETWEEN(190,200)/10</f>
        <v>19.8</v>
      </c>
      <c r="S4">
        <f t="shared" ref="S4:S67" ca="1" si="6">RAND()</f>
        <v>0.34979465060928772</v>
      </c>
      <c r="T4">
        <f t="shared" ref="T4:T67" ca="1" si="7">R4+S4</f>
        <v>20.149794650609287</v>
      </c>
      <c r="U4">
        <f t="shared" ref="U4:U67" ca="1" si="8">C4*60/T4</f>
        <v>45.26100716229498</v>
      </c>
    </row>
    <row r="5" spans="1:21" x14ac:dyDescent="0.45">
      <c r="A5">
        <f t="shared" ca="1" si="0"/>
        <v>16</v>
      </c>
      <c r="B5">
        <v>0.21</v>
      </c>
      <c r="C5">
        <f t="shared" ca="1" si="1"/>
        <v>14.5</v>
      </c>
      <c r="D5">
        <v>38.5</v>
      </c>
      <c r="E5" s="3">
        <v>6355</v>
      </c>
      <c r="F5">
        <v>7.88</v>
      </c>
      <c r="G5">
        <v>10.52</v>
      </c>
      <c r="H5">
        <v>62.2</v>
      </c>
      <c r="I5">
        <v>12.31</v>
      </c>
      <c r="J5">
        <v>7.39</v>
      </c>
      <c r="K5">
        <f t="shared" ca="1" si="2"/>
        <v>0.20913719377518464</v>
      </c>
      <c r="M5">
        <f ca="1">N5-A5-Q5</f>
        <v>23.525227202239471</v>
      </c>
      <c r="N5">
        <f t="shared" ca="1" si="3"/>
        <v>44.025227202239471</v>
      </c>
      <c r="O5">
        <f t="shared" ca="1" si="4"/>
        <v>19.761397164481753</v>
      </c>
      <c r="P5">
        <v>9.0466666666666704</v>
      </c>
      <c r="Q5">
        <v>4.5</v>
      </c>
      <c r="R5">
        <f t="shared" ca="1" si="5"/>
        <v>19.399999999999999</v>
      </c>
      <c r="S5">
        <f t="shared" ca="1" si="6"/>
        <v>0.36139716448175385</v>
      </c>
      <c r="T5">
        <f t="shared" ca="1" si="7"/>
        <v>19.761397164481753</v>
      </c>
      <c r="U5">
        <f t="shared" ca="1" si="8"/>
        <v>44.025227202239471</v>
      </c>
    </row>
    <row r="6" spans="1:21" x14ac:dyDescent="0.45">
      <c r="A6">
        <f t="shared" ca="1" si="0"/>
        <v>21</v>
      </c>
      <c r="B6">
        <v>0.22</v>
      </c>
      <c r="C6">
        <f t="shared" ca="1" si="1"/>
        <v>14.7</v>
      </c>
      <c r="D6">
        <v>31.15</v>
      </c>
      <c r="E6" s="3">
        <v>4877</v>
      </c>
      <c r="F6">
        <v>0.5</v>
      </c>
      <c r="G6">
        <v>7.07</v>
      </c>
      <c r="H6">
        <v>53</v>
      </c>
      <c r="I6">
        <v>12.26</v>
      </c>
      <c r="J6">
        <v>7.15</v>
      </c>
      <c r="K6">
        <f t="shared" si="2"/>
        <v>0.11355555555555555</v>
      </c>
      <c r="M6">
        <v>45</v>
      </c>
      <c r="N6">
        <f t="shared" ca="1" si="3"/>
        <v>43.270024209504747</v>
      </c>
      <c r="O6">
        <f t="shared" ca="1" si="4"/>
        <v>20.383626219609528</v>
      </c>
      <c r="P6">
        <v>13.474285714285701</v>
      </c>
      <c r="Q6">
        <v>4.5</v>
      </c>
      <c r="R6">
        <f t="shared" ca="1" si="5"/>
        <v>19.8</v>
      </c>
      <c r="S6">
        <f t="shared" ca="1" si="6"/>
        <v>0.58362621960952732</v>
      </c>
      <c r="T6">
        <f t="shared" ca="1" si="7"/>
        <v>20.383626219609528</v>
      </c>
      <c r="U6">
        <f t="shared" ca="1" si="8"/>
        <v>43.270024209504747</v>
      </c>
    </row>
    <row r="7" spans="1:21" s="2" customFormat="1" x14ac:dyDescent="0.45">
      <c r="A7" s="2">
        <f t="shared" ca="1" si="0"/>
        <v>16</v>
      </c>
      <c r="B7" s="2">
        <v>0.24</v>
      </c>
      <c r="C7" s="2">
        <f t="shared" ca="1" si="1"/>
        <v>15.5</v>
      </c>
      <c r="D7" s="2">
        <v>33.200000000000003</v>
      </c>
      <c r="E7" s="4">
        <v>6255</v>
      </c>
      <c r="F7" s="2">
        <v>13.24</v>
      </c>
      <c r="G7" s="2">
        <v>8.14</v>
      </c>
      <c r="H7" s="2">
        <v>61.3</v>
      </c>
      <c r="I7" s="2">
        <v>10.81</v>
      </c>
      <c r="J7" s="2">
        <v>7.06</v>
      </c>
      <c r="K7" s="2">
        <f t="shared" ca="1" si="2"/>
        <v>0.13810115105611051</v>
      </c>
      <c r="M7" s="2">
        <f ca="1">N7-A7-Q7</f>
        <v>27.154009733607332</v>
      </c>
      <c r="N7" s="2">
        <f t="shared" ca="1" si="3"/>
        <v>47.654009733607332</v>
      </c>
      <c r="O7" s="2">
        <f t="shared" ca="1" si="4"/>
        <v>19.515671507997581</v>
      </c>
      <c r="P7" s="2">
        <v>10.275</v>
      </c>
      <c r="Q7" s="2">
        <v>4.5</v>
      </c>
      <c r="R7" s="2">
        <f t="shared" ca="1" si="5"/>
        <v>19</v>
      </c>
      <c r="S7" s="2">
        <f t="shared" ca="1" si="6"/>
        <v>0.51567150799757933</v>
      </c>
      <c r="T7" s="2">
        <f t="shared" ca="1" si="7"/>
        <v>19.515671507997581</v>
      </c>
      <c r="U7" s="2">
        <f t="shared" ca="1" si="8"/>
        <v>47.654009733607332</v>
      </c>
    </row>
    <row r="8" spans="1:21" s="2" customFormat="1" x14ac:dyDescent="0.45">
      <c r="A8" s="2">
        <f t="shared" ca="1" si="0"/>
        <v>19</v>
      </c>
      <c r="B8" s="2">
        <v>0.24</v>
      </c>
      <c r="C8" s="2">
        <f t="shared" ca="1" si="1"/>
        <v>16.100000000000001</v>
      </c>
      <c r="D8" s="2">
        <v>32.1</v>
      </c>
      <c r="E8" s="4">
        <v>6453</v>
      </c>
      <c r="F8" s="2">
        <v>13.23</v>
      </c>
      <c r="G8" s="2">
        <v>8.74</v>
      </c>
      <c r="H8" s="2">
        <v>56.2</v>
      </c>
      <c r="I8" s="2">
        <v>12.53</v>
      </c>
      <c r="J8" s="2">
        <v>7.2</v>
      </c>
      <c r="K8" s="2">
        <f t="shared" ca="1" si="2"/>
        <v>0.22829219828869662</v>
      </c>
      <c r="M8" s="2">
        <f ca="1">N8-A8-Q8</f>
        <v>23.347271785695106</v>
      </c>
      <c r="N8" s="2">
        <f t="shared" ca="1" si="3"/>
        <v>46.847271785695106</v>
      </c>
      <c r="O8" s="2">
        <f t="shared" ca="1" si="4"/>
        <v>20.620197573489641</v>
      </c>
      <c r="P8" s="2">
        <v>10.425882352941199</v>
      </c>
      <c r="Q8" s="2">
        <v>4.5</v>
      </c>
      <c r="R8" s="2">
        <f t="shared" ca="1" si="5"/>
        <v>19.899999999999999</v>
      </c>
      <c r="S8" s="2">
        <f t="shared" ca="1" si="6"/>
        <v>0.72019757348964442</v>
      </c>
      <c r="T8" s="2">
        <f t="shared" ca="1" si="7"/>
        <v>20.620197573489644</v>
      </c>
      <c r="U8" s="2">
        <f t="shared" ca="1" si="8"/>
        <v>46.847271785695106</v>
      </c>
    </row>
    <row r="9" spans="1:21" s="2" customFormat="1" x14ac:dyDescent="0.45">
      <c r="A9" s="2">
        <f t="shared" ca="1" si="0"/>
        <v>20</v>
      </c>
      <c r="B9" s="2">
        <v>0.24</v>
      </c>
      <c r="C9" s="2">
        <f t="shared" ca="1" si="1"/>
        <v>14.5</v>
      </c>
      <c r="D9" s="2">
        <v>325.36</v>
      </c>
      <c r="E9" s="4">
        <v>22.61</v>
      </c>
      <c r="F9" s="2">
        <v>35.729999999999997</v>
      </c>
      <c r="G9" s="2">
        <v>7438</v>
      </c>
      <c r="H9" s="2">
        <v>54.2</v>
      </c>
      <c r="I9" s="2">
        <v>12.46</v>
      </c>
      <c r="J9" s="2">
        <v>7.49</v>
      </c>
      <c r="K9" s="2">
        <f t="shared" ca="1" si="2"/>
        <v>0.2533633841020112</v>
      </c>
      <c r="M9" s="2">
        <f ca="1">N9-A9-Q9</f>
        <v>19.616094162994521</v>
      </c>
      <c r="N9" s="2">
        <f t="shared" ca="1" si="3"/>
        <v>44.116094162994521</v>
      </c>
      <c r="O9" s="2">
        <f t="shared" ca="1" si="4"/>
        <v>19.720694148163592</v>
      </c>
      <c r="P9" s="2">
        <v>16.9294117647059</v>
      </c>
      <c r="Q9" s="2">
        <v>4.5</v>
      </c>
      <c r="R9" s="2">
        <f t="shared" ca="1" si="5"/>
        <v>19.3</v>
      </c>
      <c r="S9" s="2">
        <f t="shared" ca="1" si="6"/>
        <v>0.42069414816359185</v>
      </c>
      <c r="T9" s="2">
        <f t="shared" ca="1" si="7"/>
        <v>19.720694148163592</v>
      </c>
      <c r="U9" s="2">
        <f t="shared" ca="1" si="8"/>
        <v>44.116094162994521</v>
      </c>
    </row>
    <row r="10" spans="1:21" x14ac:dyDescent="0.45">
      <c r="A10">
        <f t="shared" ca="1" si="0"/>
        <v>16</v>
      </c>
      <c r="B10">
        <v>0.25</v>
      </c>
      <c r="C10">
        <f t="shared" ca="1" si="1"/>
        <v>15.3</v>
      </c>
      <c r="D10">
        <v>40.590000000000003</v>
      </c>
      <c r="E10" s="3">
        <v>6538</v>
      </c>
      <c r="F10">
        <v>10.43</v>
      </c>
      <c r="G10">
        <v>9.61</v>
      </c>
      <c r="H10">
        <v>54.3</v>
      </c>
      <c r="I10">
        <v>12.61</v>
      </c>
      <c r="J10">
        <v>7.24</v>
      </c>
      <c r="K10">
        <f t="shared" ca="1" si="2"/>
        <v>0.19951843554602056</v>
      </c>
      <c r="M10">
        <f ca="1">N10-A10-Q10</f>
        <v>26.914806069443969</v>
      </c>
      <c r="N10">
        <f t="shared" ca="1" si="3"/>
        <v>47.414806069443969</v>
      </c>
      <c r="O10">
        <f t="shared" ca="1" si="4"/>
        <v>19.361040908940819</v>
      </c>
      <c r="P10">
        <v>11.0383561643836</v>
      </c>
      <c r="Q10">
        <v>4.5</v>
      </c>
      <c r="R10">
        <f t="shared" ca="1" si="5"/>
        <v>19.2</v>
      </c>
      <c r="S10">
        <f t="shared" ca="1" si="6"/>
        <v>0.16104090894081402</v>
      </c>
      <c r="T10">
        <f t="shared" ca="1" si="7"/>
        <v>19.361040908940815</v>
      </c>
      <c r="U10">
        <f t="shared" ca="1" si="8"/>
        <v>47.414806069443969</v>
      </c>
    </row>
    <row r="11" spans="1:21" x14ac:dyDescent="0.45">
      <c r="A11">
        <f t="shared" ca="1" si="0"/>
        <v>18</v>
      </c>
      <c r="B11">
        <v>0.26</v>
      </c>
      <c r="C11">
        <f t="shared" ca="1" si="1"/>
        <v>15.8</v>
      </c>
      <c r="D11">
        <v>35.799999999999997</v>
      </c>
      <c r="E11" s="3">
        <v>6125</v>
      </c>
      <c r="F11">
        <v>4.95</v>
      </c>
      <c r="G11">
        <v>8.1199999999999992</v>
      </c>
      <c r="H11">
        <v>61.25</v>
      </c>
      <c r="I11">
        <v>12.86</v>
      </c>
      <c r="J11">
        <v>7.4</v>
      </c>
      <c r="K11">
        <f t="shared" ca="1" si="2"/>
        <v>0.2216999052237065</v>
      </c>
      <c r="M11">
        <f ca="1">N11-A11-Q11</f>
        <v>24.627886035813056</v>
      </c>
      <c r="N11">
        <f t="shared" ca="1" si="3"/>
        <v>47.127886035813056</v>
      </c>
      <c r="O11">
        <f t="shared" ca="1" si="4"/>
        <v>20.115478960367611</v>
      </c>
      <c r="P11">
        <v>12.4026315789474</v>
      </c>
      <c r="Q11">
        <v>4.5</v>
      </c>
      <c r="R11">
        <f t="shared" ca="1" si="5"/>
        <v>19.8</v>
      </c>
      <c r="S11">
        <f t="shared" ca="1" si="6"/>
        <v>0.3154789603676087</v>
      </c>
      <c r="T11">
        <f t="shared" ca="1" si="7"/>
        <v>20.115478960367611</v>
      </c>
      <c r="U11">
        <f t="shared" ca="1" si="8"/>
        <v>47.127886035813056</v>
      </c>
    </row>
    <row r="12" spans="1:21" x14ac:dyDescent="0.45">
      <c r="A12">
        <f t="shared" ca="1" si="0"/>
        <v>19</v>
      </c>
      <c r="B12">
        <v>0.26</v>
      </c>
      <c r="C12">
        <f t="shared" ca="1" si="1"/>
        <v>14.8</v>
      </c>
      <c r="D12">
        <v>44.71</v>
      </c>
      <c r="E12" s="3">
        <v>5559</v>
      </c>
      <c r="F12">
        <v>7.53</v>
      </c>
      <c r="G12">
        <v>5.43</v>
      </c>
      <c r="H12">
        <v>53.2</v>
      </c>
      <c r="I12">
        <v>11.64</v>
      </c>
      <c r="J12">
        <v>7.3</v>
      </c>
      <c r="K12">
        <f t="shared" si="2"/>
        <v>3.586776859504133E-2</v>
      </c>
      <c r="M12">
        <v>121</v>
      </c>
      <c r="N12">
        <f t="shared" ca="1" si="3"/>
        <v>42.942159787160953</v>
      </c>
      <c r="O12">
        <f t="shared" ca="1" si="4"/>
        <v>20.678978523700117</v>
      </c>
      <c r="P12">
        <v>8.4352941176470608</v>
      </c>
      <c r="Q12">
        <v>4.5</v>
      </c>
      <c r="R12">
        <f t="shared" ca="1" si="5"/>
        <v>19.7</v>
      </c>
      <c r="S12">
        <f t="shared" ca="1" si="6"/>
        <v>0.97897852370011484</v>
      </c>
      <c r="T12">
        <f t="shared" ca="1" si="7"/>
        <v>20.678978523700113</v>
      </c>
      <c r="U12">
        <f t="shared" ca="1" si="8"/>
        <v>42.942159787160953</v>
      </c>
    </row>
    <row r="13" spans="1:21" x14ac:dyDescent="0.45">
      <c r="A13">
        <f t="shared" ca="1" si="0"/>
        <v>18</v>
      </c>
      <c r="B13">
        <v>0.27</v>
      </c>
      <c r="C13">
        <f t="shared" ca="1" si="1"/>
        <v>14.9</v>
      </c>
      <c r="D13">
        <v>36.770000000000003</v>
      </c>
      <c r="E13" s="3">
        <v>6587</v>
      </c>
      <c r="F13">
        <v>9.6</v>
      </c>
      <c r="G13">
        <v>9.91</v>
      </c>
      <c r="H13">
        <v>60.26</v>
      </c>
      <c r="I13">
        <v>12.48</v>
      </c>
      <c r="J13">
        <v>7.25</v>
      </c>
      <c r="K13">
        <f t="shared" ca="1" si="2"/>
        <v>0.24387802188515315</v>
      </c>
      <c r="M13">
        <f ca="1">N13-A13-Q13</f>
        <v>21.445146879462996</v>
      </c>
      <c r="N13">
        <f t="shared" ca="1" si="3"/>
        <v>43.945146879462996</v>
      </c>
      <c r="O13">
        <f t="shared" ca="1" si="4"/>
        <v>20.343543337155062</v>
      </c>
      <c r="P13">
        <v>9.5857142857142907</v>
      </c>
      <c r="Q13">
        <v>4.5</v>
      </c>
      <c r="R13">
        <f t="shared" ca="1" si="5"/>
        <v>19.8</v>
      </c>
      <c r="S13">
        <f t="shared" ca="1" si="6"/>
        <v>0.54354333715506187</v>
      </c>
      <c r="T13">
        <f t="shared" ca="1" si="7"/>
        <v>20.343543337155062</v>
      </c>
      <c r="U13">
        <f t="shared" ca="1" si="8"/>
        <v>43.945146879462996</v>
      </c>
    </row>
    <row r="14" spans="1:21" x14ac:dyDescent="0.45">
      <c r="A14">
        <f t="shared" ca="1" si="0"/>
        <v>17</v>
      </c>
      <c r="B14">
        <v>0.27</v>
      </c>
      <c r="C14">
        <f t="shared" ca="1" si="1"/>
        <v>14.6</v>
      </c>
      <c r="D14">
        <v>34.119999999999997</v>
      </c>
      <c r="E14" s="3">
        <v>4351</v>
      </c>
      <c r="F14">
        <v>1.85</v>
      </c>
      <c r="G14">
        <v>12.21</v>
      </c>
      <c r="H14">
        <v>53</v>
      </c>
      <c r="I14">
        <v>12.37</v>
      </c>
      <c r="J14">
        <v>7.17</v>
      </c>
      <c r="K14">
        <f t="shared" ca="1" si="2"/>
        <v>0.22502463024042346</v>
      </c>
      <c r="M14">
        <f ca="1">N14-A14-Q14</f>
        <v>23.108581467033872</v>
      </c>
      <c r="N14">
        <f t="shared" ca="1" si="3"/>
        <v>44.608581467033872</v>
      </c>
      <c r="O14">
        <f t="shared" ca="1" si="4"/>
        <v>19.637477166750337</v>
      </c>
      <c r="P14">
        <v>9.9296703296703299</v>
      </c>
      <c r="Q14">
        <v>4.5</v>
      </c>
      <c r="R14">
        <f t="shared" ca="1" si="5"/>
        <v>19.5</v>
      </c>
      <c r="S14">
        <f t="shared" ca="1" si="6"/>
        <v>0.13747716675033927</v>
      </c>
      <c r="T14">
        <f t="shared" ca="1" si="7"/>
        <v>19.63747716675034</v>
      </c>
      <c r="U14">
        <f t="shared" ca="1" si="8"/>
        <v>44.608581467033872</v>
      </c>
    </row>
    <row r="15" spans="1:21" x14ac:dyDescent="0.45">
      <c r="A15">
        <f t="shared" ca="1" si="0"/>
        <v>20</v>
      </c>
      <c r="B15">
        <v>0.28000000000000003</v>
      </c>
      <c r="C15">
        <f t="shared" ca="1" si="1"/>
        <v>15.7</v>
      </c>
      <c r="D15">
        <v>38</v>
      </c>
      <c r="E15" s="3">
        <v>6634</v>
      </c>
      <c r="F15">
        <v>11.24</v>
      </c>
      <c r="G15">
        <v>10.55</v>
      </c>
      <c r="H15">
        <v>61.58</v>
      </c>
      <c r="I15">
        <v>12.37</v>
      </c>
      <c r="J15">
        <v>7.35</v>
      </c>
      <c r="K15">
        <f t="shared" ca="1" si="2"/>
        <v>0.22384277590012544</v>
      </c>
      <c r="M15">
        <f ca="1">N15-A15-Q15</f>
        <v>22.426455264474704</v>
      </c>
      <c r="N15">
        <f t="shared" ca="1" si="3"/>
        <v>46.926455264474704</v>
      </c>
      <c r="O15">
        <f t="shared" ca="1" si="4"/>
        <v>20.073964562013987</v>
      </c>
      <c r="P15">
        <v>7.0074626865671599</v>
      </c>
      <c r="Q15">
        <v>4.5</v>
      </c>
      <c r="R15">
        <f t="shared" ca="1" si="5"/>
        <v>19.399999999999999</v>
      </c>
      <c r="S15">
        <f t="shared" ca="1" si="6"/>
        <v>0.67396456201398991</v>
      </c>
      <c r="T15">
        <f t="shared" ca="1" si="7"/>
        <v>20.073964562013987</v>
      </c>
      <c r="U15">
        <f t="shared" ca="1" si="8"/>
        <v>46.926455264474704</v>
      </c>
    </row>
    <row r="16" spans="1:21" x14ac:dyDescent="0.45">
      <c r="A16">
        <f t="shared" ca="1" si="0"/>
        <v>17</v>
      </c>
      <c r="B16">
        <v>0.28000000000000003</v>
      </c>
      <c r="C16">
        <f t="shared" ca="1" si="1"/>
        <v>15</v>
      </c>
      <c r="D16">
        <v>410.9</v>
      </c>
      <c r="E16" s="3">
        <v>67.25</v>
      </c>
      <c r="F16">
        <v>12.71</v>
      </c>
      <c r="G16">
        <v>7835</v>
      </c>
      <c r="H16">
        <v>50.2</v>
      </c>
      <c r="I16">
        <v>11.6</v>
      </c>
      <c r="J16">
        <v>7.3</v>
      </c>
      <c r="K16">
        <f t="shared" ca="1" si="2"/>
        <v>0.17082228950170433</v>
      </c>
      <c r="M16">
        <f ca="1">N16-A16-Q16</f>
        <v>25.172359020261801</v>
      </c>
      <c r="N16">
        <f t="shared" ca="1" si="3"/>
        <v>46.672359020261801</v>
      </c>
      <c r="O16">
        <f t="shared" ca="1" si="4"/>
        <v>19.283362120378026</v>
      </c>
      <c r="P16">
        <v>7.1882352941176499</v>
      </c>
      <c r="Q16">
        <v>4.5</v>
      </c>
      <c r="R16">
        <f t="shared" ca="1" si="5"/>
        <v>19.2</v>
      </c>
      <c r="S16">
        <f t="shared" ca="1" si="6"/>
        <v>8.3362120378023707E-2</v>
      </c>
      <c r="T16">
        <f t="shared" ca="1" si="7"/>
        <v>19.283362120378023</v>
      </c>
      <c r="U16">
        <f t="shared" ca="1" si="8"/>
        <v>46.672359020261801</v>
      </c>
    </row>
    <row r="17" spans="1:21" x14ac:dyDescent="0.45">
      <c r="A17">
        <f t="shared" ca="1" si="0"/>
        <v>16</v>
      </c>
      <c r="B17">
        <v>0.28000000000000003</v>
      </c>
      <c r="C17">
        <f t="shared" ca="1" si="1"/>
        <v>14.7</v>
      </c>
      <c r="D17">
        <v>32.07</v>
      </c>
      <c r="E17" s="3">
        <v>7403</v>
      </c>
      <c r="F17">
        <v>12.73</v>
      </c>
      <c r="G17">
        <v>11.86</v>
      </c>
      <c r="H17">
        <v>52.7</v>
      </c>
      <c r="I17">
        <v>12.29</v>
      </c>
      <c r="J17">
        <v>7.25</v>
      </c>
      <c r="K17">
        <f t="shared" si="2"/>
        <v>0.12599999999999997</v>
      </c>
      <c r="M17">
        <v>40</v>
      </c>
      <c r="N17">
        <f t="shared" ca="1" si="3"/>
        <v>43.662539515284877</v>
      </c>
      <c r="O17">
        <f t="shared" ca="1" si="4"/>
        <v>20.200382519922819</v>
      </c>
      <c r="P17">
        <v>15.222580645161299</v>
      </c>
      <c r="Q17">
        <v>4.5</v>
      </c>
      <c r="R17">
        <f t="shared" ca="1" si="5"/>
        <v>19.600000000000001</v>
      </c>
      <c r="S17">
        <f t="shared" ca="1" si="6"/>
        <v>0.6003825199228161</v>
      </c>
      <c r="T17">
        <f t="shared" ca="1" si="7"/>
        <v>20.200382519922819</v>
      </c>
      <c r="U17">
        <f t="shared" ca="1" si="8"/>
        <v>43.662539515284877</v>
      </c>
    </row>
    <row r="18" spans="1:21" x14ac:dyDescent="0.45">
      <c r="A18">
        <f t="shared" ca="1" si="0"/>
        <v>18</v>
      </c>
      <c r="B18">
        <v>0.28000000000000003</v>
      </c>
      <c r="C18">
        <f t="shared" ca="1" si="1"/>
        <v>16.5</v>
      </c>
      <c r="D18">
        <v>32.85</v>
      </c>
      <c r="E18" s="3">
        <v>9198</v>
      </c>
      <c r="F18">
        <v>7.22</v>
      </c>
      <c r="G18">
        <v>6.83</v>
      </c>
      <c r="H18">
        <v>30</v>
      </c>
      <c r="I18">
        <v>12.41</v>
      </c>
      <c r="J18">
        <v>7.3</v>
      </c>
      <c r="K18">
        <f t="shared" si="2"/>
        <v>9.6415094339622642E-2</v>
      </c>
      <c r="M18">
        <v>53</v>
      </c>
      <c r="N18">
        <f t="shared" ca="1" si="3"/>
        <v>50.641562876759764</v>
      </c>
      <c r="O18">
        <f t="shared" ca="1" si="4"/>
        <v>19.549159697326939</v>
      </c>
      <c r="P18">
        <v>10.4866666666667</v>
      </c>
      <c r="Q18">
        <v>4.5</v>
      </c>
      <c r="R18">
        <f t="shared" ca="1" si="5"/>
        <v>19.5</v>
      </c>
      <c r="S18">
        <f t="shared" ca="1" si="6"/>
        <v>4.9159697326940366E-2</v>
      </c>
      <c r="T18">
        <f t="shared" ca="1" si="7"/>
        <v>19.549159697326939</v>
      </c>
      <c r="U18">
        <f t="shared" ca="1" si="8"/>
        <v>50.641562876759764</v>
      </c>
    </row>
    <row r="19" spans="1:21" x14ac:dyDescent="0.45">
      <c r="A19">
        <f t="shared" ca="1" si="0"/>
        <v>22</v>
      </c>
      <c r="B19">
        <v>0.28000000000000003</v>
      </c>
      <c r="C19">
        <f t="shared" ca="1" si="1"/>
        <v>15.8</v>
      </c>
      <c r="D19">
        <v>31.78</v>
      </c>
      <c r="E19" s="3">
        <v>7792</v>
      </c>
      <c r="F19">
        <v>13.15</v>
      </c>
      <c r="G19">
        <v>12.37</v>
      </c>
      <c r="H19">
        <v>52.8</v>
      </c>
      <c r="I19">
        <v>12.4</v>
      </c>
      <c r="J19">
        <v>7.3</v>
      </c>
      <c r="K19">
        <f t="shared" si="2"/>
        <v>9.4444444444444456E-2</v>
      </c>
      <c r="M19">
        <v>54</v>
      </c>
      <c r="N19">
        <f t="shared" ca="1" si="3"/>
        <v>47.243585933651907</v>
      </c>
      <c r="O19">
        <f t="shared" ca="1" si="4"/>
        <v>20.066216000863172</v>
      </c>
      <c r="P19">
        <v>12.2337662337662</v>
      </c>
      <c r="Q19">
        <v>4.5</v>
      </c>
      <c r="R19">
        <f t="shared" ca="1" si="5"/>
        <v>19.399999999999999</v>
      </c>
      <c r="S19">
        <f t="shared" ca="1" si="6"/>
        <v>0.66621600086317068</v>
      </c>
      <c r="T19">
        <f t="shared" ca="1" si="7"/>
        <v>20.066216000863168</v>
      </c>
      <c r="U19">
        <f t="shared" ca="1" si="8"/>
        <v>47.243585933651907</v>
      </c>
    </row>
    <row r="20" spans="1:21" x14ac:dyDescent="0.45">
      <c r="A20">
        <f t="shared" ca="1" si="0"/>
        <v>21</v>
      </c>
      <c r="B20">
        <v>0.28000000000000003</v>
      </c>
      <c r="C20">
        <f t="shared" ca="1" si="1"/>
        <v>15.9</v>
      </c>
      <c r="D20">
        <v>31.93</v>
      </c>
      <c r="E20" s="3">
        <v>7941</v>
      </c>
      <c r="F20">
        <v>12.33</v>
      </c>
      <c r="G20">
        <v>11.24</v>
      </c>
      <c r="H20">
        <v>59.3</v>
      </c>
      <c r="I20">
        <v>12.45</v>
      </c>
      <c r="J20">
        <v>7.29</v>
      </c>
      <c r="K20">
        <f t="shared" si="2"/>
        <v>8.8965517241379299E-2</v>
      </c>
      <c r="M20">
        <v>58</v>
      </c>
      <c r="N20">
        <f t="shared" ca="1" si="3"/>
        <v>47.177783508892915</v>
      </c>
      <c r="O20">
        <f t="shared" ca="1" si="4"/>
        <v>20.221382376307972</v>
      </c>
      <c r="P20">
        <v>11.6296296296296</v>
      </c>
      <c r="Q20">
        <v>4.5</v>
      </c>
      <c r="R20">
        <f t="shared" ca="1" si="5"/>
        <v>19.5</v>
      </c>
      <c r="S20">
        <f t="shared" ca="1" si="6"/>
        <v>0.72138237630797075</v>
      </c>
      <c r="T20">
        <f t="shared" ca="1" si="7"/>
        <v>20.221382376307972</v>
      </c>
      <c r="U20">
        <f t="shared" ca="1" si="8"/>
        <v>47.177783508892915</v>
      </c>
    </row>
    <row r="21" spans="1:21" x14ac:dyDescent="0.45">
      <c r="A21">
        <f t="shared" ca="1" si="0"/>
        <v>21</v>
      </c>
      <c r="B21">
        <v>0.28000000000000003</v>
      </c>
      <c r="C21">
        <f t="shared" ca="1" si="1"/>
        <v>15.7</v>
      </c>
      <c r="D21">
        <v>31.99</v>
      </c>
      <c r="E21" s="3">
        <v>8222</v>
      </c>
      <c r="F21">
        <v>11.74</v>
      </c>
      <c r="G21">
        <v>8.2899999999999991</v>
      </c>
      <c r="H21">
        <v>50.6</v>
      </c>
      <c r="I21">
        <v>12.58</v>
      </c>
      <c r="J21">
        <v>7.17</v>
      </c>
      <c r="K21">
        <f t="shared" si="2"/>
        <v>8.7258064516129039E-2</v>
      </c>
      <c r="M21">
        <v>62</v>
      </c>
      <c r="N21">
        <f t="shared" ca="1" si="3"/>
        <v>47.438840266189274</v>
      </c>
      <c r="O21">
        <f t="shared" ca="1" si="4"/>
        <v>19.857146479851544</v>
      </c>
      <c r="P21">
        <v>11.061176470588199</v>
      </c>
      <c r="Q21">
        <v>4.5</v>
      </c>
      <c r="R21">
        <f t="shared" ca="1" si="5"/>
        <v>19.600000000000001</v>
      </c>
      <c r="S21">
        <f t="shared" ca="1" si="6"/>
        <v>0.25714647985154049</v>
      </c>
      <c r="T21">
        <f t="shared" ca="1" si="7"/>
        <v>19.857146479851544</v>
      </c>
      <c r="U21">
        <f t="shared" ca="1" si="8"/>
        <v>47.438840266189274</v>
      </c>
    </row>
    <row r="22" spans="1:21" x14ac:dyDescent="0.45">
      <c r="A22">
        <f t="shared" ca="1" si="0"/>
        <v>20</v>
      </c>
      <c r="B22">
        <v>0.28000000000000003</v>
      </c>
      <c r="C22">
        <f t="shared" ca="1" si="1"/>
        <v>16.399999999999999</v>
      </c>
      <c r="D22">
        <v>31.47</v>
      </c>
      <c r="E22" s="3">
        <v>7914</v>
      </c>
      <c r="F22">
        <v>11.88</v>
      </c>
      <c r="G22">
        <v>11.56</v>
      </c>
      <c r="H22">
        <v>50.8</v>
      </c>
      <c r="I22">
        <v>12.7</v>
      </c>
      <c r="J22">
        <v>7.25</v>
      </c>
      <c r="K22">
        <f t="shared" si="2"/>
        <v>7.5694444444444439E-2</v>
      </c>
      <c r="M22">
        <v>72</v>
      </c>
      <c r="N22">
        <f t="shared" ca="1" si="3"/>
        <v>49.275927248929634</v>
      </c>
      <c r="O22">
        <f t="shared" ca="1" si="4"/>
        <v>19.969182822863559</v>
      </c>
      <c r="P22">
        <v>9.7113402061855698</v>
      </c>
      <c r="Q22">
        <v>4.5</v>
      </c>
      <c r="R22">
        <f t="shared" ca="1" si="5"/>
        <v>19.3</v>
      </c>
      <c r="S22">
        <f t="shared" ca="1" si="6"/>
        <v>0.66918282286355335</v>
      </c>
      <c r="T22">
        <f t="shared" ca="1" si="7"/>
        <v>19.969182822863555</v>
      </c>
      <c r="U22">
        <f t="shared" ca="1" si="8"/>
        <v>49.275927248929634</v>
      </c>
    </row>
    <row r="23" spans="1:21" x14ac:dyDescent="0.45">
      <c r="A23">
        <f t="shared" ca="1" si="0"/>
        <v>17</v>
      </c>
      <c r="B23">
        <v>0.28999999999999998</v>
      </c>
      <c r="C23">
        <f t="shared" ca="1" si="1"/>
        <v>14.7</v>
      </c>
      <c r="D23">
        <v>35.07</v>
      </c>
      <c r="E23" s="7">
        <v>6324</v>
      </c>
      <c r="F23" s="6">
        <v>11.47</v>
      </c>
      <c r="G23" s="6">
        <v>12.97</v>
      </c>
      <c r="H23" s="6">
        <v>62.1</v>
      </c>
      <c r="I23" s="6">
        <v>11.56</v>
      </c>
      <c r="J23" s="6">
        <v>7.39</v>
      </c>
      <c r="K23" s="6">
        <f t="shared" ca="1" si="2"/>
        <v>0.17524344157285002</v>
      </c>
      <c r="M23">
        <f t="shared" ref="M23:M34" ca="1" si="9">N23-A23-Q23</f>
        <v>23.79546967677247</v>
      </c>
      <c r="N23">
        <f t="shared" ca="1" si="3"/>
        <v>45.29546967677247</v>
      </c>
      <c r="O23">
        <f t="shared" ca="1" si="4"/>
        <v>19.472146029038527</v>
      </c>
      <c r="P23">
        <v>8.8043478260869605</v>
      </c>
      <c r="Q23">
        <v>4.5</v>
      </c>
      <c r="R23">
        <f t="shared" ca="1" si="5"/>
        <v>19.2</v>
      </c>
      <c r="S23">
        <f t="shared" ca="1" si="6"/>
        <v>0.27214602903852636</v>
      </c>
      <c r="T23">
        <f t="shared" ca="1" si="7"/>
        <v>19.472146029038527</v>
      </c>
      <c r="U23">
        <f t="shared" ca="1" si="8"/>
        <v>45.29546967677247</v>
      </c>
    </row>
    <row r="24" spans="1:21" x14ac:dyDescent="0.45">
      <c r="A24">
        <f t="shared" ca="1" si="0"/>
        <v>16</v>
      </c>
      <c r="B24">
        <v>0.28999999999999998</v>
      </c>
      <c r="C24">
        <f t="shared" ca="1" si="1"/>
        <v>16.399999999999999</v>
      </c>
      <c r="D24">
        <v>36.5</v>
      </c>
      <c r="E24" s="3">
        <v>6527</v>
      </c>
      <c r="F24">
        <v>8.14</v>
      </c>
      <c r="G24">
        <v>10.58</v>
      </c>
      <c r="H24">
        <v>61.3</v>
      </c>
      <c r="I24">
        <v>12</v>
      </c>
      <c r="J24">
        <v>7.28</v>
      </c>
      <c r="K24">
        <f t="shared" ca="1" si="2"/>
        <v>0.16305953801517931</v>
      </c>
      <c r="M24">
        <f t="shared" ca="1" si="9"/>
        <v>28.946482109869663</v>
      </c>
      <c r="N24">
        <f t="shared" ca="1" si="3"/>
        <v>49.446482109869663</v>
      </c>
      <c r="O24">
        <f t="shared" ca="1" si="4"/>
        <v>19.900303479902984</v>
      </c>
      <c r="P24">
        <v>9.0066666666666695</v>
      </c>
      <c r="Q24">
        <v>4.5</v>
      </c>
      <c r="R24">
        <f t="shared" ca="1" si="5"/>
        <v>19</v>
      </c>
      <c r="S24">
        <f t="shared" ca="1" si="6"/>
        <v>0.90030347990298265</v>
      </c>
      <c r="T24">
        <f t="shared" ca="1" si="7"/>
        <v>19.900303479902984</v>
      </c>
      <c r="U24">
        <f t="shared" ca="1" si="8"/>
        <v>49.446482109869663</v>
      </c>
    </row>
    <row r="25" spans="1:21" x14ac:dyDescent="0.45">
      <c r="A25">
        <f t="shared" ca="1" si="0"/>
        <v>17</v>
      </c>
      <c r="B25">
        <v>0.28999999999999998</v>
      </c>
      <c r="C25">
        <f t="shared" ca="1" si="1"/>
        <v>15.3</v>
      </c>
      <c r="D25">
        <v>35.33</v>
      </c>
      <c r="E25" s="3">
        <v>6521</v>
      </c>
      <c r="F25">
        <v>11.73</v>
      </c>
      <c r="G25">
        <v>10.85</v>
      </c>
      <c r="H25">
        <v>56.8</v>
      </c>
      <c r="I25">
        <v>12.65</v>
      </c>
      <c r="J25">
        <v>7.35</v>
      </c>
      <c r="K25">
        <f t="shared" ca="1" si="2"/>
        <v>0.20657042844755741</v>
      </c>
      <c r="M25">
        <f t="shared" ca="1" si="9"/>
        <v>25.65710900553961</v>
      </c>
      <c r="N25">
        <f t="shared" ca="1" si="3"/>
        <v>47.15710900553961</v>
      </c>
      <c r="O25">
        <f t="shared" ca="1" si="4"/>
        <v>19.46684220807856</v>
      </c>
      <c r="P25">
        <v>11.117647058823501</v>
      </c>
      <c r="Q25">
        <v>4.5</v>
      </c>
      <c r="R25">
        <f t="shared" ca="1" si="5"/>
        <v>19.399999999999999</v>
      </c>
      <c r="S25">
        <f t="shared" ca="1" si="6"/>
        <v>6.6842208078563559E-2</v>
      </c>
      <c r="T25">
        <f t="shared" ca="1" si="7"/>
        <v>19.46684220807856</v>
      </c>
      <c r="U25">
        <f t="shared" ca="1" si="8"/>
        <v>47.15710900553961</v>
      </c>
    </row>
    <row r="26" spans="1:21" x14ac:dyDescent="0.45">
      <c r="A26">
        <f t="shared" ca="1" si="0"/>
        <v>16</v>
      </c>
      <c r="B26">
        <v>0.28999999999999998</v>
      </c>
      <c r="C26">
        <f t="shared" ca="1" si="1"/>
        <v>14.5</v>
      </c>
      <c r="D26">
        <v>37.54</v>
      </c>
      <c r="E26" s="3">
        <v>6684</v>
      </c>
      <c r="F26">
        <v>9.57</v>
      </c>
      <c r="G26">
        <v>11.63</v>
      </c>
      <c r="H26">
        <v>52.5</v>
      </c>
      <c r="I26">
        <v>11.3</v>
      </c>
      <c r="J26">
        <v>7.4</v>
      </c>
      <c r="K26">
        <f t="shared" ca="1" si="2"/>
        <v>0.17783536035287145</v>
      </c>
      <c r="M26">
        <f t="shared" ca="1" si="9"/>
        <v>21.930396700978868</v>
      </c>
      <c r="N26">
        <f t="shared" ca="1" si="3"/>
        <v>42.430396700978868</v>
      </c>
      <c r="O26">
        <f t="shared" ca="1" si="4"/>
        <v>20.504168418013617</v>
      </c>
      <c r="P26">
        <v>12.0379746835443</v>
      </c>
      <c r="Q26">
        <v>4.5</v>
      </c>
      <c r="R26">
        <f t="shared" ca="1" si="5"/>
        <v>19.600000000000001</v>
      </c>
      <c r="S26">
        <f t="shared" ca="1" si="6"/>
        <v>0.90416841801361381</v>
      </c>
      <c r="T26">
        <f t="shared" ca="1" si="7"/>
        <v>20.504168418013617</v>
      </c>
      <c r="U26">
        <f t="shared" ca="1" si="8"/>
        <v>42.430396700978868</v>
      </c>
    </row>
    <row r="27" spans="1:21" x14ac:dyDescent="0.45">
      <c r="A27">
        <f t="shared" ca="1" si="0"/>
        <v>22</v>
      </c>
      <c r="B27">
        <v>0.28999999999999998</v>
      </c>
      <c r="C27">
        <f t="shared" ca="1" si="1"/>
        <v>16.3</v>
      </c>
      <c r="D27">
        <v>41.59</v>
      </c>
      <c r="E27" s="3">
        <v>6346</v>
      </c>
      <c r="F27">
        <v>11.03</v>
      </c>
      <c r="G27">
        <v>11.38</v>
      </c>
      <c r="H27">
        <v>63.78</v>
      </c>
      <c r="I27">
        <v>12.57</v>
      </c>
      <c r="J27">
        <v>7.37</v>
      </c>
      <c r="K27">
        <f t="shared" ca="1" si="2"/>
        <v>0.22275107312618025</v>
      </c>
      <c r="M27">
        <f t="shared" ca="1" si="9"/>
        <v>23.344444213089794</v>
      </c>
      <c r="N27">
        <f t="shared" ca="1" si="3"/>
        <v>49.844444213089794</v>
      </c>
      <c r="O27">
        <f t="shared" ca="1" si="4"/>
        <v>19.62104333672487</v>
      </c>
      <c r="P27">
        <v>15.858823529411801</v>
      </c>
      <c r="Q27">
        <v>4.5</v>
      </c>
      <c r="R27">
        <f t="shared" ca="1" si="5"/>
        <v>19.399999999999999</v>
      </c>
      <c r="S27">
        <f t="shared" ca="1" si="6"/>
        <v>0.22104333672487109</v>
      </c>
      <c r="T27">
        <f t="shared" ca="1" si="7"/>
        <v>19.62104333672487</v>
      </c>
      <c r="U27">
        <f t="shared" ca="1" si="8"/>
        <v>49.844444213089794</v>
      </c>
    </row>
    <row r="28" spans="1:21" x14ac:dyDescent="0.45">
      <c r="A28">
        <f t="shared" ca="1" si="0"/>
        <v>20</v>
      </c>
      <c r="B28">
        <v>0.28999999999999998</v>
      </c>
      <c r="C28">
        <f t="shared" ca="1" si="1"/>
        <v>15.4</v>
      </c>
      <c r="D28">
        <v>46.49</v>
      </c>
      <c r="E28" s="3">
        <v>6296</v>
      </c>
      <c r="F28">
        <v>9.74</v>
      </c>
      <c r="G28">
        <v>9.4600000000000009</v>
      </c>
      <c r="H28">
        <v>62.8</v>
      </c>
      <c r="I28">
        <v>12.56</v>
      </c>
      <c r="J28">
        <v>7.21</v>
      </c>
      <c r="K28">
        <f t="shared" ca="1" si="2"/>
        <v>0.23526519776266083</v>
      </c>
      <c r="M28">
        <f t="shared" ca="1" si="9"/>
        <v>22.740294998485766</v>
      </c>
      <c r="N28">
        <f t="shared" ca="1" si="3"/>
        <v>47.240294998485766</v>
      </c>
      <c r="O28">
        <f t="shared" ca="1" si="4"/>
        <v>19.559573030388947</v>
      </c>
      <c r="P28">
        <v>9.7476923076923097</v>
      </c>
      <c r="Q28">
        <v>4.5</v>
      </c>
      <c r="R28">
        <f t="shared" ca="1" si="5"/>
        <v>19.2</v>
      </c>
      <c r="S28">
        <f t="shared" ca="1" si="6"/>
        <v>0.35957303038894761</v>
      </c>
      <c r="T28">
        <f t="shared" ca="1" si="7"/>
        <v>19.559573030388947</v>
      </c>
      <c r="U28">
        <f t="shared" ca="1" si="8"/>
        <v>47.240294998485766</v>
      </c>
    </row>
    <row r="29" spans="1:21" x14ac:dyDescent="0.45">
      <c r="A29">
        <f t="shared" ca="1" si="0"/>
        <v>16</v>
      </c>
      <c r="B29">
        <v>0.28999999999999998</v>
      </c>
      <c r="C29">
        <f t="shared" ca="1" si="1"/>
        <v>14.8</v>
      </c>
      <c r="D29" s="6">
        <v>38.229999999999997</v>
      </c>
      <c r="E29" s="7">
        <v>6584</v>
      </c>
      <c r="F29" s="6">
        <v>13.34</v>
      </c>
      <c r="G29" s="6">
        <v>12.41</v>
      </c>
      <c r="H29" s="6">
        <v>56.2</v>
      </c>
      <c r="I29" s="6">
        <v>12.63</v>
      </c>
      <c r="J29" s="6">
        <v>7.18</v>
      </c>
      <c r="K29" s="6">
        <f t="shared" ca="1" si="2"/>
        <v>0.23018212936975035</v>
      </c>
      <c r="M29">
        <f t="shared" ca="1" si="9"/>
        <v>23.676903219734569</v>
      </c>
      <c r="N29">
        <f t="shared" ca="1" si="3"/>
        <v>44.176903219734569</v>
      </c>
      <c r="O29">
        <f t="shared" ca="1" si="4"/>
        <v>20.101001547870275</v>
      </c>
      <c r="P29">
        <v>14.1272727272727</v>
      </c>
      <c r="Q29">
        <v>4.5</v>
      </c>
      <c r="R29">
        <f t="shared" ca="1" si="5"/>
        <v>19.899999999999999</v>
      </c>
      <c r="S29">
        <f t="shared" ca="1" si="6"/>
        <v>0.20100154787027824</v>
      </c>
      <c r="T29">
        <f t="shared" ca="1" si="7"/>
        <v>20.101001547870275</v>
      </c>
      <c r="U29">
        <f t="shared" ca="1" si="8"/>
        <v>44.176903219734569</v>
      </c>
    </row>
    <row r="30" spans="1:21" x14ac:dyDescent="0.45">
      <c r="A30">
        <f t="shared" ca="1" si="0"/>
        <v>20</v>
      </c>
      <c r="B30">
        <v>0.28999999999999998</v>
      </c>
      <c r="C30">
        <f t="shared" ca="1" si="1"/>
        <v>15</v>
      </c>
      <c r="D30">
        <v>36.299999999999997</v>
      </c>
      <c r="E30" s="3">
        <v>6482</v>
      </c>
      <c r="F30">
        <v>5.93</v>
      </c>
      <c r="G30">
        <v>6.95</v>
      </c>
      <c r="H30">
        <v>58.9</v>
      </c>
      <c r="I30">
        <v>12.14</v>
      </c>
      <c r="J30">
        <v>7.1</v>
      </c>
      <c r="K30">
        <f t="shared" ca="1" si="2"/>
        <v>0.25357581536676144</v>
      </c>
      <c r="M30">
        <f t="shared" ca="1" si="9"/>
        <v>19.875712487448205</v>
      </c>
      <c r="N30">
        <f t="shared" ca="1" si="3"/>
        <v>44.375712487448205</v>
      </c>
      <c r="O30">
        <f t="shared" ca="1" si="4"/>
        <v>20.281364502137684</v>
      </c>
      <c r="P30">
        <v>11.756521739130401</v>
      </c>
      <c r="Q30">
        <v>4.5</v>
      </c>
      <c r="R30">
        <f t="shared" ca="1" si="5"/>
        <v>19.7</v>
      </c>
      <c r="S30">
        <f t="shared" ca="1" si="6"/>
        <v>0.5813645021376862</v>
      </c>
      <c r="T30">
        <f t="shared" ca="1" si="7"/>
        <v>20.281364502137684</v>
      </c>
      <c r="U30">
        <f t="shared" ca="1" si="8"/>
        <v>44.375712487448205</v>
      </c>
    </row>
    <row r="31" spans="1:21" x14ac:dyDescent="0.45">
      <c r="A31">
        <f t="shared" ca="1" si="0"/>
        <v>16</v>
      </c>
      <c r="B31">
        <v>0.28999999999999998</v>
      </c>
      <c r="C31">
        <f t="shared" ca="1" si="1"/>
        <v>14.5</v>
      </c>
      <c r="D31">
        <v>37.65</v>
      </c>
      <c r="E31" s="3">
        <v>6421</v>
      </c>
      <c r="F31">
        <v>11.44</v>
      </c>
      <c r="G31">
        <v>12.68</v>
      </c>
      <c r="H31">
        <v>61.28</v>
      </c>
      <c r="I31">
        <v>13.07</v>
      </c>
      <c r="J31">
        <v>7.23</v>
      </c>
      <c r="K31">
        <f t="shared" ca="1" si="2"/>
        <v>0.26808674027590357</v>
      </c>
      <c r="M31">
        <f t="shared" ca="1" si="9"/>
        <v>21.783994217654026</v>
      </c>
      <c r="N31">
        <f t="shared" ca="1" si="3"/>
        <v>42.283994217654026</v>
      </c>
      <c r="O31">
        <f t="shared" ca="1" si="4"/>
        <v>20.575161266027362</v>
      </c>
      <c r="P31">
        <v>12.64</v>
      </c>
      <c r="Q31">
        <v>4.5</v>
      </c>
      <c r="R31">
        <f t="shared" ca="1" si="5"/>
        <v>19.8</v>
      </c>
      <c r="S31">
        <f t="shared" ca="1" si="6"/>
        <v>0.77516126602736224</v>
      </c>
      <c r="T31">
        <f t="shared" ca="1" si="7"/>
        <v>20.575161266027362</v>
      </c>
      <c r="U31">
        <f t="shared" ca="1" si="8"/>
        <v>42.283994217654026</v>
      </c>
    </row>
    <row r="32" spans="1:21" x14ac:dyDescent="0.45">
      <c r="A32">
        <f t="shared" ca="1" si="0"/>
        <v>17</v>
      </c>
      <c r="B32">
        <v>0.28999999999999998</v>
      </c>
      <c r="C32">
        <f t="shared" ca="1" si="1"/>
        <v>16.2</v>
      </c>
      <c r="D32">
        <v>35.01</v>
      </c>
      <c r="E32" s="3">
        <v>6919</v>
      </c>
      <c r="F32">
        <v>15.23</v>
      </c>
      <c r="G32">
        <v>13.24</v>
      </c>
      <c r="H32">
        <v>57.7</v>
      </c>
      <c r="I32">
        <v>13.1</v>
      </c>
      <c r="J32">
        <v>7.07</v>
      </c>
      <c r="K32">
        <f t="shared" ca="1" si="2"/>
        <v>0.21765697476723775</v>
      </c>
      <c r="M32">
        <f t="shared" ca="1" si="9"/>
        <v>27.704143211805999</v>
      </c>
      <c r="N32">
        <f t="shared" ca="1" si="3"/>
        <v>49.204143211805999</v>
      </c>
      <c r="O32">
        <f t="shared" ca="1" si="4"/>
        <v>19.754434008044655</v>
      </c>
      <c r="P32">
        <v>10.088888888888899</v>
      </c>
      <c r="Q32">
        <v>4.5</v>
      </c>
      <c r="R32">
        <f t="shared" ca="1" si="5"/>
        <v>19.7</v>
      </c>
      <c r="S32">
        <f t="shared" ca="1" si="6"/>
        <v>5.4434008044654592E-2</v>
      </c>
      <c r="T32">
        <f t="shared" ca="1" si="7"/>
        <v>19.754434008044655</v>
      </c>
      <c r="U32">
        <f t="shared" ca="1" si="8"/>
        <v>49.204143211805999</v>
      </c>
    </row>
    <row r="33" spans="1:21" x14ac:dyDescent="0.45">
      <c r="A33">
        <f t="shared" ca="1" si="0"/>
        <v>17</v>
      </c>
      <c r="B33">
        <v>0.28999999999999998</v>
      </c>
      <c r="C33">
        <f t="shared" ca="1" si="1"/>
        <v>14.6</v>
      </c>
      <c r="D33">
        <v>39.39</v>
      </c>
      <c r="E33" s="3">
        <v>6571</v>
      </c>
      <c r="F33">
        <v>10.08</v>
      </c>
      <c r="G33">
        <v>11.89</v>
      </c>
      <c r="H33">
        <v>56.3</v>
      </c>
      <c r="I33">
        <v>12.34</v>
      </c>
      <c r="J33">
        <v>7.19</v>
      </c>
      <c r="K33">
        <f t="shared" ca="1" si="2"/>
        <v>0.21930227689314322</v>
      </c>
      <c r="M33">
        <f t="shared" ca="1" si="9"/>
        <v>23.483568310188488</v>
      </c>
      <c r="N33">
        <f t="shared" ca="1" si="3"/>
        <v>44.983568310188488</v>
      </c>
      <c r="O33">
        <f t="shared" ca="1" si="4"/>
        <v>19.473777490470706</v>
      </c>
      <c r="P33">
        <v>13.6941176470588</v>
      </c>
      <c r="Q33">
        <v>4.5</v>
      </c>
      <c r="R33">
        <f t="shared" ca="1" si="5"/>
        <v>19.100000000000001</v>
      </c>
      <c r="S33">
        <f t="shared" ca="1" si="6"/>
        <v>0.37377749047070408</v>
      </c>
      <c r="T33">
        <f t="shared" ca="1" si="7"/>
        <v>19.473777490470706</v>
      </c>
      <c r="U33">
        <f t="shared" ca="1" si="8"/>
        <v>44.983568310188488</v>
      </c>
    </row>
    <row r="34" spans="1:21" x14ac:dyDescent="0.45">
      <c r="A34">
        <f t="shared" ca="1" si="0"/>
        <v>19</v>
      </c>
      <c r="B34">
        <v>0.28999999999999998</v>
      </c>
      <c r="C34">
        <f t="shared" ca="1" si="1"/>
        <v>15.7</v>
      </c>
      <c r="D34">
        <v>31.48</v>
      </c>
      <c r="E34" s="3">
        <v>4604</v>
      </c>
      <c r="F34">
        <v>6.05</v>
      </c>
      <c r="G34">
        <v>14.08</v>
      </c>
      <c r="H34">
        <v>52</v>
      </c>
      <c r="I34">
        <v>11.98</v>
      </c>
      <c r="J34">
        <v>7.33</v>
      </c>
      <c r="K34">
        <f t="shared" ca="1" si="2"/>
        <v>0.19709996740844291</v>
      </c>
      <c r="M34">
        <f t="shared" ca="1" si="9"/>
        <v>23.592089137001118</v>
      </c>
      <c r="N34">
        <f t="shared" ca="1" si="3"/>
        <v>47.092089137001118</v>
      </c>
      <c r="O34">
        <f t="shared" ca="1" si="4"/>
        <v>20.003359741792668</v>
      </c>
      <c r="P34">
        <v>15.125806451612901</v>
      </c>
      <c r="Q34">
        <v>4.5</v>
      </c>
      <c r="R34">
        <f t="shared" ca="1" si="5"/>
        <v>19.600000000000001</v>
      </c>
      <c r="S34">
        <f t="shared" ca="1" si="6"/>
        <v>0.40335974179266687</v>
      </c>
      <c r="T34">
        <f t="shared" ca="1" si="7"/>
        <v>20.003359741792668</v>
      </c>
      <c r="U34">
        <f t="shared" ca="1" si="8"/>
        <v>47.092089137001118</v>
      </c>
    </row>
    <row r="35" spans="1:21" x14ac:dyDescent="0.45">
      <c r="A35">
        <f t="shared" ca="1" si="0"/>
        <v>16</v>
      </c>
      <c r="B35">
        <v>0.28999999999999998</v>
      </c>
      <c r="C35">
        <f t="shared" ca="1" si="1"/>
        <v>15.2</v>
      </c>
      <c r="D35">
        <v>31.08</v>
      </c>
      <c r="E35" s="3">
        <v>7184</v>
      </c>
      <c r="F35">
        <v>13.35</v>
      </c>
      <c r="G35">
        <v>9.6999999999999993</v>
      </c>
      <c r="H35">
        <v>57.7</v>
      </c>
      <c r="I35">
        <v>12.95</v>
      </c>
      <c r="J35">
        <v>7.27</v>
      </c>
      <c r="K35">
        <f t="shared" si="2"/>
        <v>0.14564102564102563</v>
      </c>
      <c r="M35">
        <v>39</v>
      </c>
      <c r="N35">
        <f t="shared" ca="1" si="3"/>
        <v>45.235960749150372</v>
      </c>
      <c r="O35">
        <f t="shared" ca="1" si="4"/>
        <v>20.16095126303091</v>
      </c>
      <c r="P35">
        <v>15.540983606557401</v>
      </c>
      <c r="Q35">
        <v>4.5</v>
      </c>
      <c r="R35">
        <f t="shared" ca="1" si="5"/>
        <v>19.7</v>
      </c>
      <c r="S35">
        <f t="shared" ca="1" si="6"/>
        <v>0.46095126303091472</v>
      </c>
      <c r="T35">
        <f t="shared" ca="1" si="7"/>
        <v>20.160951263030913</v>
      </c>
      <c r="U35">
        <f t="shared" ca="1" si="8"/>
        <v>45.235960749150372</v>
      </c>
    </row>
    <row r="36" spans="1:21" x14ac:dyDescent="0.45">
      <c r="A36">
        <f t="shared" ca="1" si="0"/>
        <v>17</v>
      </c>
      <c r="B36">
        <v>0.28999999999999998</v>
      </c>
      <c r="C36">
        <f t="shared" ca="1" si="1"/>
        <v>14.9</v>
      </c>
      <c r="D36">
        <v>32.590000000000003</v>
      </c>
      <c r="E36" s="3">
        <v>8786</v>
      </c>
      <c r="F36">
        <v>12.97</v>
      </c>
      <c r="G36">
        <v>9.19</v>
      </c>
      <c r="H36">
        <v>69.7</v>
      </c>
      <c r="I36">
        <v>12.94</v>
      </c>
      <c r="J36">
        <v>7.32</v>
      </c>
      <c r="K36">
        <f t="shared" si="2"/>
        <v>0.17030303030303029</v>
      </c>
      <c r="M36">
        <v>33</v>
      </c>
      <c r="N36">
        <f t="shared" ca="1" si="3"/>
        <v>44.262368374284868</v>
      </c>
      <c r="O36">
        <f t="shared" ca="1" si="4"/>
        <v>20.197744333070698</v>
      </c>
      <c r="P36">
        <v>17.116363636363602</v>
      </c>
      <c r="Q36">
        <v>4.5</v>
      </c>
      <c r="R36">
        <f t="shared" ca="1" si="5"/>
        <v>20</v>
      </c>
      <c r="S36">
        <f t="shared" ca="1" si="6"/>
        <v>0.19774433307070216</v>
      </c>
      <c r="T36">
        <f t="shared" ca="1" si="7"/>
        <v>20.197744333070702</v>
      </c>
      <c r="U36">
        <f t="shared" ca="1" si="8"/>
        <v>44.262368374284868</v>
      </c>
    </row>
    <row r="37" spans="1:21" x14ac:dyDescent="0.45">
      <c r="A37">
        <f t="shared" ca="1" si="0"/>
        <v>21</v>
      </c>
      <c r="B37">
        <v>0.28999999999999998</v>
      </c>
      <c r="C37">
        <f t="shared" ca="1" si="1"/>
        <v>14.5</v>
      </c>
      <c r="D37">
        <v>32.56</v>
      </c>
      <c r="E37" s="3">
        <v>9200</v>
      </c>
      <c r="F37">
        <v>13.24</v>
      </c>
      <c r="G37">
        <v>12.11</v>
      </c>
      <c r="H37">
        <v>72</v>
      </c>
      <c r="I37">
        <v>12.98</v>
      </c>
      <c r="J37">
        <v>7.35</v>
      </c>
      <c r="K37">
        <f t="shared" si="2"/>
        <v>0.16558823529411767</v>
      </c>
      <c r="M37">
        <v>34</v>
      </c>
      <c r="N37">
        <f t="shared" ca="1" si="3"/>
        <v>43.648300439809752</v>
      </c>
      <c r="O37">
        <f t="shared" ca="1" si="4"/>
        <v>19.932047553597528</v>
      </c>
      <c r="P37">
        <v>16.832142857142902</v>
      </c>
      <c r="Q37">
        <v>4.5</v>
      </c>
      <c r="R37">
        <f t="shared" ca="1" si="5"/>
        <v>19.399999999999999</v>
      </c>
      <c r="S37">
        <f t="shared" ca="1" si="6"/>
        <v>0.53204755359753253</v>
      </c>
      <c r="T37">
        <f t="shared" ca="1" si="7"/>
        <v>19.932047553597531</v>
      </c>
      <c r="U37">
        <f t="shared" ca="1" si="8"/>
        <v>43.648300439809752</v>
      </c>
    </row>
    <row r="38" spans="1:21" x14ac:dyDescent="0.45">
      <c r="A38">
        <f t="shared" ca="1" si="0"/>
        <v>18</v>
      </c>
      <c r="B38">
        <v>0.28999999999999998</v>
      </c>
      <c r="C38">
        <f t="shared" ca="1" si="1"/>
        <v>14.6</v>
      </c>
      <c r="D38">
        <v>32.119999999999997</v>
      </c>
      <c r="E38" s="3">
        <v>9398</v>
      </c>
      <c r="F38">
        <v>13.47</v>
      </c>
      <c r="G38">
        <v>12.58</v>
      </c>
      <c r="H38">
        <v>52.6</v>
      </c>
      <c r="I38">
        <v>12.34</v>
      </c>
      <c r="J38">
        <v>7.36</v>
      </c>
      <c r="K38">
        <f t="shared" si="2"/>
        <v>0.13459459459459458</v>
      </c>
      <c r="M38">
        <v>37</v>
      </c>
      <c r="N38">
        <f t="shared" ca="1" si="3"/>
        <v>44.610538600941936</v>
      </c>
      <c r="O38">
        <f t="shared" ca="1" si="4"/>
        <v>19.636615639998205</v>
      </c>
      <c r="P38">
        <v>15.945762711864401</v>
      </c>
      <c r="Q38">
        <v>4.5</v>
      </c>
      <c r="R38">
        <f t="shared" ca="1" si="5"/>
        <v>19.2</v>
      </c>
      <c r="S38">
        <f t="shared" ca="1" si="6"/>
        <v>0.43661563999820452</v>
      </c>
      <c r="T38">
        <f t="shared" ca="1" si="7"/>
        <v>19.636615639998205</v>
      </c>
      <c r="U38">
        <f t="shared" ca="1" si="8"/>
        <v>44.610538600941936</v>
      </c>
    </row>
    <row r="39" spans="1:21" x14ac:dyDescent="0.45">
      <c r="A39">
        <f t="shared" ca="1" si="0"/>
        <v>17</v>
      </c>
      <c r="B39">
        <v>0.28999999999999998</v>
      </c>
      <c r="C39">
        <f t="shared" ca="1" si="1"/>
        <v>14.9</v>
      </c>
      <c r="D39">
        <v>31.28</v>
      </c>
      <c r="E39" s="3">
        <v>7284</v>
      </c>
      <c r="F39">
        <v>13.42</v>
      </c>
      <c r="G39">
        <v>13.02</v>
      </c>
      <c r="H39">
        <v>51.2</v>
      </c>
      <c r="I39">
        <v>12.94</v>
      </c>
      <c r="J39">
        <v>7.32</v>
      </c>
      <c r="K39">
        <f t="shared" si="2"/>
        <v>0.14789473684210525</v>
      </c>
      <c r="M39">
        <v>38</v>
      </c>
      <c r="N39">
        <f t="shared" ca="1" si="3"/>
        <v>43.946949063864125</v>
      </c>
      <c r="O39">
        <f t="shared" ca="1" si="4"/>
        <v>20.342709085466449</v>
      </c>
      <c r="P39">
        <v>15.472131147541001</v>
      </c>
      <c r="Q39">
        <v>4.5</v>
      </c>
      <c r="R39">
        <f t="shared" ca="1" si="5"/>
        <v>19.600000000000001</v>
      </c>
      <c r="S39">
        <f t="shared" ca="1" si="6"/>
        <v>0.74270908546644832</v>
      </c>
      <c r="T39">
        <f t="shared" ca="1" si="7"/>
        <v>20.342709085466449</v>
      </c>
      <c r="U39">
        <f t="shared" ca="1" si="8"/>
        <v>43.946949063864125</v>
      </c>
    </row>
    <row r="40" spans="1:21" x14ac:dyDescent="0.45">
      <c r="A40">
        <f t="shared" ca="1" si="0"/>
        <v>17</v>
      </c>
      <c r="B40">
        <v>0.28999999999999998</v>
      </c>
      <c r="C40">
        <f t="shared" ca="1" si="1"/>
        <v>16.3</v>
      </c>
      <c r="D40">
        <v>31.23</v>
      </c>
      <c r="E40" s="3">
        <v>9886</v>
      </c>
      <c r="F40">
        <v>11.48</v>
      </c>
      <c r="G40">
        <v>9.3800000000000008</v>
      </c>
      <c r="H40">
        <v>51</v>
      </c>
      <c r="I40">
        <v>12.11</v>
      </c>
      <c r="J40">
        <v>7.13</v>
      </c>
      <c r="K40">
        <f t="shared" si="2"/>
        <v>0.11581395348837208</v>
      </c>
      <c r="M40">
        <v>43</v>
      </c>
      <c r="N40">
        <f t="shared" ca="1" si="3"/>
        <v>49.044500169059312</v>
      </c>
      <c r="O40">
        <f t="shared" ca="1" si="4"/>
        <v>19.941073853924006</v>
      </c>
      <c r="P40">
        <v>13.233802816901401</v>
      </c>
      <c r="Q40">
        <v>4.5</v>
      </c>
      <c r="R40">
        <f t="shared" ca="1" si="5"/>
        <v>19.600000000000001</v>
      </c>
      <c r="S40">
        <f t="shared" ca="1" si="6"/>
        <v>0.34107385392400158</v>
      </c>
      <c r="T40">
        <f t="shared" ca="1" si="7"/>
        <v>19.941073853924003</v>
      </c>
      <c r="U40">
        <f t="shared" ca="1" si="8"/>
        <v>49.044500169059312</v>
      </c>
    </row>
    <row r="41" spans="1:21" x14ac:dyDescent="0.45">
      <c r="A41">
        <f t="shared" ca="1" si="0"/>
        <v>16</v>
      </c>
      <c r="B41">
        <v>0.28999999999999998</v>
      </c>
      <c r="C41">
        <f t="shared" ca="1" si="1"/>
        <v>15.7</v>
      </c>
      <c r="D41">
        <v>31.7</v>
      </c>
      <c r="E41" s="3">
        <v>7907</v>
      </c>
      <c r="F41">
        <v>11.52</v>
      </c>
      <c r="G41">
        <v>13.01</v>
      </c>
      <c r="H41">
        <v>52</v>
      </c>
      <c r="I41">
        <v>11.25</v>
      </c>
      <c r="J41">
        <v>7.14</v>
      </c>
      <c r="K41">
        <f t="shared" si="2"/>
        <v>0.12088235294117648</v>
      </c>
      <c r="M41">
        <v>34</v>
      </c>
      <c r="N41">
        <f t="shared" ca="1" si="3"/>
        <v>49.528414479517089</v>
      </c>
      <c r="O41">
        <f t="shared" ca="1" si="4"/>
        <v>19.019385334646081</v>
      </c>
      <c r="P41">
        <v>17.16</v>
      </c>
      <c r="Q41">
        <v>4.5</v>
      </c>
      <c r="R41">
        <f t="shared" ca="1" si="5"/>
        <v>19</v>
      </c>
      <c r="S41">
        <f t="shared" ca="1" si="6"/>
        <v>1.9385334646080721E-2</v>
      </c>
      <c r="T41">
        <f t="shared" ca="1" si="7"/>
        <v>19.019385334646081</v>
      </c>
      <c r="U41">
        <f t="shared" ca="1" si="8"/>
        <v>49.528414479517089</v>
      </c>
    </row>
    <row r="42" spans="1:21" x14ac:dyDescent="0.45">
      <c r="A42">
        <f t="shared" ca="1" si="0"/>
        <v>17</v>
      </c>
      <c r="B42">
        <v>0.28999999999999998</v>
      </c>
      <c r="C42">
        <f t="shared" ca="1" si="1"/>
        <v>16.399999999999999</v>
      </c>
      <c r="D42">
        <v>34.22</v>
      </c>
      <c r="E42" s="3">
        <v>7618</v>
      </c>
      <c r="F42">
        <v>12.6</v>
      </c>
      <c r="G42">
        <v>13.98</v>
      </c>
      <c r="H42">
        <v>52.6</v>
      </c>
      <c r="I42">
        <v>12.78</v>
      </c>
      <c r="J42">
        <v>7.23</v>
      </c>
      <c r="K42">
        <f t="shared" si="2"/>
        <v>0.17343749999999997</v>
      </c>
      <c r="M42">
        <v>32</v>
      </c>
      <c r="N42">
        <f t="shared" ca="1" si="3"/>
        <v>49.059071148058365</v>
      </c>
      <c r="O42">
        <f t="shared" ca="1" si="4"/>
        <v>20.057452719198988</v>
      </c>
      <c r="P42">
        <v>17.600000000000001</v>
      </c>
      <c r="Q42">
        <v>4.5</v>
      </c>
      <c r="R42">
        <f t="shared" ca="1" si="5"/>
        <v>19.399999999999999</v>
      </c>
      <c r="S42">
        <f t="shared" ca="1" si="6"/>
        <v>0.65745271919899018</v>
      </c>
      <c r="T42">
        <f t="shared" ca="1" si="7"/>
        <v>20.057452719198988</v>
      </c>
      <c r="U42">
        <f t="shared" ca="1" si="8"/>
        <v>49.059071148058365</v>
      </c>
    </row>
    <row r="43" spans="1:21" x14ac:dyDescent="0.45">
      <c r="A43">
        <f t="shared" ca="1" si="0"/>
        <v>21</v>
      </c>
      <c r="B43">
        <v>0.28999999999999998</v>
      </c>
      <c r="C43">
        <f t="shared" ca="1" si="1"/>
        <v>16.100000000000001</v>
      </c>
      <c r="D43">
        <v>31.1</v>
      </c>
      <c r="E43" s="3">
        <v>7482</v>
      </c>
      <c r="F43">
        <v>12.65</v>
      </c>
      <c r="G43">
        <v>13.4</v>
      </c>
      <c r="H43">
        <v>53.4</v>
      </c>
      <c r="I43">
        <v>12.12</v>
      </c>
      <c r="J43">
        <v>7.37</v>
      </c>
      <c r="K43">
        <f t="shared" si="2"/>
        <v>0.11585365853658534</v>
      </c>
      <c r="M43">
        <v>41</v>
      </c>
      <c r="N43">
        <f t="shared" ca="1" si="3"/>
        <v>48.141724452130092</v>
      </c>
      <c r="O43">
        <f t="shared" ca="1" si="4"/>
        <v>20.065754000161458</v>
      </c>
      <c r="P43">
        <v>14.52</v>
      </c>
      <c r="Q43">
        <v>4.5</v>
      </c>
      <c r="R43">
        <f t="shared" ca="1" si="5"/>
        <v>19.7</v>
      </c>
      <c r="S43">
        <f t="shared" ca="1" si="6"/>
        <v>0.36575400016145765</v>
      </c>
      <c r="T43">
        <f t="shared" ca="1" si="7"/>
        <v>20.065754000161458</v>
      </c>
      <c r="U43">
        <f t="shared" ca="1" si="8"/>
        <v>48.141724452130092</v>
      </c>
    </row>
    <row r="44" spans="1:21" x14ac:dyDescent="0.45">
      <c r="A44">
        <f t="shared" ca="1" si="0"/>
        <v>18</v>
      </c>
      <c r="B44">
        <v>0.28999999999999998</v>
      </c>
      <c r="C44">
        <f t="shared" ca="1" si="1"/>
        <v>15.5</v>
      </c>
      <c r="D44">
        <v>31.79</v>
      </c>
      <c r="E44" s="3">
        <v>7829</v>
      </c>
      <c r="F44">
        <v>12.8</v>
      </c>
      <c r="G44">
        <v>12.68</v>
      </c>
      <c r="H44">
        <v>49.9</v>
      </c>
      <c r="I44">
        <v>12.77</v>
      </c>
      <c r="J44">
        <v>7.34</v>
      </c>
      <c r="K44">
        <f t="shared" si="2"/>
        <v>0.13243902439024391</v>
      </c>
      <c r="M44">
        <v>41</v>
      </c>
      <c r="N44">
        <f t="shared" ca="1" si="3"/>
        <v>48.198018178368365</v>
      </c>
      <c r="O44">
        <f t="shared" ca="1" si="4"/>
        <v>19.29539917094332</v>
      </c>
      <c r="P44">
        <v>14.709375</v>
      </c>
      <c r="Q44">
        <v>4.5</v>
      </c>
      <c r="R44">
        <f t="shared" ca="1" si="5"/>
        <v>19.100000000000001</v>
      </c>
      <c r="S44">
        <f t="shared" ca="1" si="6"/>
        <v>0.19539917094331793</v>
      </c>
      <c r="T44">
        <f t="shared" ca="1" si="7"/>
        <v>19.29539917094332</v>
      </c>
      <c r="U44">
        <f t="shared" ca="1" si="8"/>
        <v>48.198018178368365</v>
      </c>
    </row>
    <row r="45" spans="1:21" x14ac:dyDescent="0.45">
      <c r="A45">
        <f t="shared" ca="1" si="0"/>
        <v>20</v>
      </c>
      <c r="B45">
        <v>0.28999999999999998</v>
      </c>
      <c r="C45">
        <f t="shared" ca="1" si="1"/>
        <v>15.2</v>
      </c>
      <c r="D45">
        <v>33.19</v>
      </c>
      <c r="E45" s="3">
        <v>7493</v>
      </c>
      <c r="F45">
        <v>12.71</v>
      </c>
      <c r="G45">
        <v>12.61</v>
      </c>
      <c r="H45">
        <v>56.5</v>
      </c>
      <c r="I45">
        <v>12.59</v>
      </c>
      <c r="J45">
        <v>7.37</v>
      </c>
      <c r="K45">
        <f t="shared" si="2"/>
        <v>0.14499999999999999</v>
      </c>
      <c r="M45">
        <v>36</v>
      </c>
      <c r="N45">
        <f t="shared" ca="1" si="3"/>
        <v>44.985130167487419</v>
      </c>
      <c r="O45">
        <f t="shared" ca="1" si="4"/>
        <v>20.27336581231323</v>
      </c>
      <c r="P45">
        <v>16.526315789473699</v>
      </c>
      <c r="Q45">
        <v>4.5</v>
      </c>
      <c r="R45">
        <f t="shared" ca="1" si="5"/>
        <v>19.399999999999999</v>
      </c>
      <c r="S45">
        <f t="shared" ca="1" si="6"/>
        <v>0.87336581231323118</v>
      </c>
      <c r="T45">
        <f t="shared" ca="1" si="7"/>
        <v>20.27336581231323</v>
      </c>
      <c r="U45">
        <f t="shared" ca="1" si="8"/>
        <v>44.985130167487419</v>
      </c>
    </row>
    <row r="46" spans="1:21" x14ac:dyDescent="0.45">
      <c r="A46">
        <f t="shared" ca="1" si="0"/>
        <v>20</v>
      </c>
      <c r="B46">
        <v>0.28999999999999998</v>
      </c>
      <c r="C46">
        <f t="shared" ca="1" si="1"/>
        <v>14.9</v>
      </c>
      <c r="D46">
        <v>32.15</v>
      </c>
      <c r="E46" s="3">
        <v>7529</v>
      </c>
      <c r="F46">
        <v>12.23</v>
      </c>
      <c r="G46">
        <v>12.52</v>
      </c>
      <c r="H46">
        <v>54.9</v>
      </c>
      <c r="I46">
        <v>12.69</v>
      </c>
      <c r="J46">
        <v>7.34</v>
      </c>
      <c r="K46">
        <f t="shared" si="2"/>
        <v>0.15285714285714286</v>
      </c>
      <c r="M46">
        <v>35</v>
      </c>
      <c r="N46">
        <f t="shared" ca="1" si="3"/>
        <v>46.192841714377508</v>
      </c>
      <c r="O46">
        <f t="shared" ca="1" si="4"/>
        <v>19.353648029013613</v>
      </c>
      <c r="P46">
        <v>16.536842105263201</v>
      </c>
      <c r="Q46">
        <v>4.5</v>
      </c>
      <c r="R46">
        <f t="shared" ca="1" si="5"/>
        <v>19</v>
      </c>
      <c r="S46">
        <f t="shared" ca="1" si="6"/>
        <v>0.35364802901361148</v>
      </c>
      <c r="T46">
        <f t="shared" ca="1" si="7"/>
        <v>19.353648029013613</v>
      </c>
      <c r="U46">
        <f t="shared" ca="1" si="8"/>
        <v>46.192841714377508</v>
      </c>
    </row>
    <row r="47" spans="1:21" x14ac:dyDescent="0.45">
      <c r="A47">
        <f t="shared" ca="1" si="0"/>
        <v>17</v>
      </c>
      <c r="B47">
        <v>0.28999999999999998</v>
      </c>
      <c r="C47">
        <f t="shared" ca="1" si="1"/>
        <v>15.8</v>
      </c>
      <c r="D47">
        <v>33.1</v>
      </c>
      <c r="E47" s="3">
        <v>7624</v>
      </c>
      <c r="F47">
        <v>13.1</v>
      </c>
      <c r="G47">
        <v>12.91</v>
      </c>
      <c r="H47">
        <v>52.4</v>
      </c>
      <c r="I47">
        <v>12.64</v>
      </c>
      <c r="J47">
        <v>7.28</v>
      </c>
      <c r="K47">
        <f t="shared" si="2"/>
        <v>0.12181818181818183</v>
      </c>
      <c r="M47">
        <v>44</v>
      </c>
      <c r="N47">
        <f t="shared" ca="1" si="3"/>
        <v>46.666938969415746</v>
      </c>
      <c r="O47">
        <f t="shared" ca="1" si="4"/>
        <v>20.314167179923537</v>
      </c>
      <c r="P47">
        <v>14.236363636363601</v>
      </c>
      <c r="Q47">
        <v>4.5</v>
      </c>
      <c r="R47">
        <f t="shared" ca="1" si="5"/>
        <v>19.8</v>
      </c>
      <c r="S47">
        <f t="shared" ca="1" si="6"/>
        <v>0.51416717992353744</v>
      </c>
      <c r="T47">
        <f t="shared" ca="1" si="7"/>
        <v>20.314167179923537</v>
      </c>
      <c r="U47">
        <f t="shared" ca="1" si="8"/>
        <v>46.666938969415746</v>
      </c>
    </row>
    <row r="48" spans="1:21" x14ac:dyDescent="0.45">
      <c r="A48">
        <f t="shared" ca="1" si="0"/>
        <v>17</v>
      </c>
      <c r="B48">
        <v>0.28999999999999998</v>
      </c>
      <c r="C48">
        <f t="shared" ca="1" si="1"/>
        <v>15.4</v>
      </c>
      <c r="D48">
        <v>34.020000000000003</v>
      </c>
      <c r="E48" s="3">
        <v>9200</v>
      </c>
      <c r="F48">
        <v>8.94</v>
      </c>
      <c r="G48">
        <v>8.41</v>
      </c>
      <c r="H48">
        <v>52</v>
      </c>
      <c r="I48">
        <v>12.23</v>
      </c>
      <c r="J48">
        <v>7.3</v>
      </c>
      <c r="K48">
        <f t="shared" si="2"/>
        <v>6.01219512195122E-2</v>
      </c>
      <c r="M48">
        <v>82</v>
      </c>
      <c r="N48">
        <f t="shared" ca="1" si="3"/>
        <v>45.208195146677404</v>
      </c>
      <c r="O48">
        <f t="shared" ca="1" si="4"/>
        <v>20.438772151865255</v>
      </c>
      <c r="P48">
        <v>9</v>
      </c>
      <c r="Q48">
        <v>4.5</v>
      </c>
      <c r="R48">
        <f t="shared" ca="1" si="5"/>
        <v>19.8</v>
      </c>
      <c r="S48">
        <f t="shared" ca="1" si="6"/>
        <v>0.63877215186525083</v>
      </c>
      <c r="T48">
        <f t="shared" ca="1" si="7"/>
        <v>20.438772151865251</v>
      </c>
      <c r="U48">
        <f t="shared" ca="1" si="8"/>
        <v>45.208195146677404</v>
      </c>
    </row>
    <row r="49" spans="1:21" x14ac:dyDescent="0.45">
      <c r="A49">
        <f t="shared" ca="1" si="0"/>
        <v>20</v>
      </c>
      <c r="B49">
        <v>0.28999999999999998</v>
      </c>
      <c r="C49">
        <f t="shared" ca="1" si="1"/>
        <v>15.2</v>
      </c>
      <c r="D49">
        <v>35.119999999999997</v>
      </c>
      <c r="E49" s="3">
        <v>9488</v>
      </c>
      <c r="F49">
        <v>13.47</v>
      </c>
      <c r="G49">
        <v>14.42</v>
      </c>
      <c r="H49">
        <v>55</v>
      </c>
      <c r="I49">
        <v>11.39</v>
      </c>
      <c r="J49">
        <v>7.3</v>
      </c>
      <c r="K49">
        <f t="shared" si="2"/>
        <v>0.13633333333333336</v>
      </c>
      <c r="M49">
        <v>30</v>
      </c>
      <c r="N49">
        <f t="shared" ca="1" si="3"/>
        <v>44.145141940743919</v>
      </c>
      <c r="O49">
        <f t="shared" ca="1" si="4"/>
        <v>20.659124875488651</v>
      </c>
      <c r="P49">
        <v>18.161538461538498</v>
      </c>
      <c r="Q49">
        <v>4.5</v>
      </c>
      <c r="R49">
        <f t="shared" ca="1" si="5"/>
        <v>19.8</v>
      </c>
      <c r="S49">
        <f t="shared" ca="1" si="6"/>
        <v>0.85912487548865057</v>
      </c>
      <c r="T49">
        <f t="shared" ca="1" si="7"/>
        <v>20.659124875488651</v>
      </c>
      <c r="U49">
        <f t="shared" ca="1" si="8"/>
        <v>44.145141940743919</v>
      </c>
    </row>
    <row r="50" spans="1:21" x14ac:dyDescent="0.45">
      <c r="A50">
        <f t="shared" ca="1" si="0"/>
        <v>22</v>
      </c>
      <c r="B50">
        <v>0.28999999999999998</v>
      </c>
      <c r="C50">
        <f t="shared" ca="1" si="1"/>
        <v>16.5</v>
      </c>
      <c r="D50">
        <v>31.1</v>
      </c>
      <c r="E50" s="3">
        <v>7939</v>
      </c>
      <c r="F50">
        <v>12.37</v>
      </c>
      <c r="G50">
        <v>13.1</v>
      </c>
      <c r="H50">
        <v>68.3</v>
      </c>
      <c r="I50">
        <v>12.3</v>
      </c>
      <c r="J50">
        <v>7.3</v>
      </c>
      <c r="K50">
        <f t="shared" si="2"/>
        <v>9.6153846153846173E-2</v>
      </c>
      <c r="M50">
        <v>52</v>
      </c>
      <c r="N50">
        <f t="shared" ca="1" si="3"/>
        <v>49.434066339551663</v>
      </c>
      <c r="O50">
        <f t="shared" ca="1" si="4"/>
        <v>20.026675394249565</v>
      </c>
      <c r="P50">
        <v>12.721621621621599</v>
      </c>
      <c r="Q50">
        <v>4.5</v>
      </c>
      <c r="R50">
        <f t="shared" ca="1" si="5"/>
        <v>19.7</v>
      </c>
      <c r="S50">
        <f t="shared" ca="1" si="6"/>
        <v>0.32667539424956693</v>
      </c>
      <c r="T50">
        <f t="shared" ca="1" si="7"/>
        <v>20.026675394249565</v>
      </c>
      <c r="U50">
        <f t="shared" ca="1" si="8"/>
        <v>49.434066339551663</v>
      </c>
    </row>
    <row r="51" spans="1:21" x14ac:dyDescent="0.45">
      <c r="A51">
        <f t="shared" ca="1" si="0"/>
        <v>22</v>
      </c>
      <c r="B51">
        <v>0.28999999999999998</v>
      </c>
      <c r="C51">
        <f t="shared" ca="1" si="1"/>
        <v>15.6</v>
      </c>
      <c r="D51">
        <v>32.28</v>
      </c>
      <c r="E51" s="3">
        <v>7792</v>
      </c>
      <c r="F51">
        <v>13.37</v>
      </c>
      <c r="G51">
        <v>11.83</v>
      </c>
      <c r="H51">
        <v>54.6</v>
      </c>
      <c r="I51">
        <v>12.71</v>
      </c>
      <c r="J51">
        <v>7.33</v>
      </c>
      <c r="K51">
        <f t="shared" si="2"/>
        <v>0.11695652173913045</v>
      </c>
      <c r="M51">
        <v>46</v>
      </c>
      <c r="N51">
        <f t="shared" ca="1" si="3"/>
        <v>46.687833909193259</v>
      </c>
      <c r="O51">
        <f t="shared" ca="1" si="4"/>
        <v>20.04804938735213</v>
      </c>
      <c r="P51">
        <v>13.6782608695652</v>
      </c>
      <c r="Q51">
        <v>4.5</v>
      </c>
      <c r="R51">
        <f t="shared" ca="1" si="5"/>
        <v>19.600000000000001</v>
      </c>
      <c r="S51">
        <f t="shared" ca="1" si="6"/>
        <v>0.44804938735213151</v>
      </c>
      <c r="T51">
        <f t="shared" ca="1" si="7"/>
        <v>20.048049387352133</v>
      </c>
      <c r="U51">
        <f t="shared" ca="1" si="8"/>
        <v>46.687833909193259</v>
      </c>
    </row>
    <row r="52" spans="1:21" x14ac:dyDescent="0.45">
      <c r="A52">
        <f t="shared" ca="1" si="0"/>
        <v>20</v>
      </c>
      <c r="B52" s="6">
        <v>0.3</v>
      </c>
      <c r="C52" s="6">
        <f t="shared" ca="1" si="1"/>
        <v>16.5</v>
      </c>
      <c r="D52" s="6">
        <v>41.32</v>
      </c>
      <c r="E52" s="7">
        <v>6537</v>
      </c>
      <c r="F52" s="6">
        <v>9.14</v>
      </c>
      <c r="G52" s="6">
        <v>9.9</v>
      </c>
      <c r="H52" s="6">
        <v>62.5</v>
      </c>
      <c r="I52" s="6">
        <v>12.53</v>
      </c>
      <c r="J52" s="6">
        <v>7.2</v>
      </c>
      <c r="K52" s="6">
        <f t="shared" ca="1" si="2"/>
        <v>0.21199820885411766</v>
      </c>
      <c r="M52">
        <f t="shared" ref="M52:M74" ca="1" si="10">N52-A52-Q52</f>
        <v>25.141721851375323</v>
      </c>
      <c r="N52">
        <f t="shared" ca="1" si="3"/>
        <v>49.641721851375323</v>
      </c>
      <c r="O52">
        <f t="shared" ca="1" si="4"/>
        <v>19.942902121002319</v>
      </c>
      <c r="P52">
        <v>7.5588785046728999</v>
      </c>
      <c r="Q52">
        <v>4.5</v>
      </c>
      <c r="R52">
        <f t="shared" ca="1" si="5"/>
        <v>19.600000000000001</v>
      </c>
      <c r="S52">
        <f t="shared" ca="1" si="6"/>
        <v>0.34290212100231532</v>
      </c>
      <c r="T52">
        <f t="shared" ca="1" si="7"/>
        <v>19.942902121002316</v>
      </c>
      <c r="U52">
        <f t="shared" ca="1" si="8"/>
        <v>49.641721851375323</v>
      </c>
    </row>
    <row r="53" spans="1:21" x14ac:dyDescent="0.45">
      <c r="A53">
        <f t="shared" ca="1" si="0"/>
        <v>21</v>
      </c>
      <c r="B53">
        <v>0.3</v>
      </c>
      <c r="C53">
        <f t="shared" ca="1" si="1"/>
        <v>15.6</v>
      </c>
      <c r="D53">
        <v>36.67</v>
      </c>
      <c r="E53" s="3">
        <v>6598</v>
      </c>
      <c r="F53">
        <v>9.02</v>
      </c>
      <c r="G53">
        <v>7.36</v>
      </c>
      <c r="H53">
        <v>55.3</v>
      </c>
      <c r="I53">
        <v>11.85</v>
      </c>
      <c r="J53">
        <v>7.43</v>
      </c>
      <c r="K53">
        <f t="shared" ca="1" si="2"/>
        <v>0.1963625211502317</v>
      </c>
      <c r="M53">
        <f t="shared" ca="1" si="10"/>
        <v>22.509387097440943</v>
      </c>
      <c r="N53">
        <f t="shared" ca="1" si="3"/>
        <v>48.009387097440943</v>
      </c>
      <c r="O53">
        <f t="shared" ca="1" si="4"/>
        <v>19.496187237305762</v>
      </c>
      <c r="P53">
        <v>7.7262295081967203</v>
      </c>
      <c r="Q53">
        <v>4.5</v>
      </c>
      <c r="R53">
        <f t="shared" ca="1" si="5"/>
        <v>19.399999999999999</v>
      </c>
      <c r="S53">
        <f t="shared" ca="1" si="6"/>
        <v>9.6187237305764728E-2</v>
      </c>
      <c r="T53">
        <f t="shared" ca="1" si="7"/>
        <v>19.496187237305762</v>
      </c>
      <c r="U53">
        <f t="shared" ca="1" si="8"/>
        <v>48.009387097440943</v>
      </c>
    </row>
    <row r="54" spans="1:21" x14ac:dyDescent="0.45">
      <c r="A54">
        <f t="shared" ca="1" si="0"/>
        <v>18</v>
      </c>
      <c r="B54">
        <v>0.3</v>
      </c>
      <c r="C54">
        <f t="shared" ca="1" si="1"/>
        <v>15.9</v>
      </c>
      <c r="D54">
        <v>35.840000000000003</v>
      </c>
      <c r="E54" s="3">
        <v>6598</v>
      </c>
      <c r="F54">
        <v>6.51</v>
      </c>
      <c r="G54">
        <v>4.22</v>
      </c>
      <c r="H54">
        <v>50.9</v>
      </c>
      <c r="I54">
        <v>12.75</v>
      </c>
      <c r="J54">
        <v>7.32</v>
      </c>
      <c r="K54">
        <f t="shared" ca="1" si="2"/>
        <v>0.21143685474954321</v>
      </c>
      <c r="M54">
        <f t="shared" ca="1" si="10"/>
        <v>25.681426288865708</v>
      </c>
      <c r="N54">
        <f t="shared" ca="1" si="3"/>
        <v>48.181426288865708</v>
      </c>
      <c r="O54">
        <f t="shared" ca="1" si="4"/>
        <v>19.800161047130747</v>
      </c>
      <c r="P54">
        <v>9.7298969072164994</v>
      </c>
      <c r="Q54">
        <v>4.5</v>
      </c>
      <c r="R54">
        <f t="shared" ca="1" si="5"/>
        <v>19.8</v>
      </c>
      <c r="S54">
        <f t="shared" ca="1" si="6"/>
        <v>1.6104713074283072E-4</v>
      </c>
      <c r="T54">
        <f t="shared" ca="1" si="7"/>
        <v>19.800161047130743</v>
      </c>
      <c r="U54">
        <f t="shared" ca="1" si="8"/>
        <v>48.181426288865708</v>
      </c>
    </row>
    <row r="55" spans="1:21" x14ac:dyDescent="0.45">
      <c r="A55">
        <f t="shared" ca="1" si="0"/>
        <v>22</v>
      </c>
      <c r="B55">
        <v>0.3</v>
      </c>
      <c r="C55">
        <f t="shared" ca="1" si="1"/>
        <v>14.8</v>
      </c>
      <c r="D55">
        <v>36.880000000000003</v>
      </c>
      <c r="E55" s="3">
        <v>6523</v>
      </c>
      <c r="F55">
        <v>9.86</v>
      </c>
      <c r="G55">
        <v>11.05</v>
      </c>
      <c r="H55">
        <v>61.3</v>
      </c>
      <c r="I55">
        <v>11.05</v>
      </c>
      <c r="J55">
        <v>7.35</v>
      </c>
      <c r="K55">
        <f t="shared" ca="1" si="2"/>
        <v>0.19276396915375285</v>
      </c>
      <c r="M55">
        <f t="shared" ca="1" si="10"/>
        <v>19.194458467748184</v>
      </c>
      <c r="N55">
        <f t="shared" ca="1" si="3"/>
        <v>45.694458467748184</v>
      </c>
      <c r="O55">
        <f t="shared" ca="1" si="4"/>
        <v>19.433428686473295</v>
      </c>
      <c r="P55">
        <v>10.527272727272701</v>
      </c>
      <c r="Q55">
        <v>4.5</v>
      </c>
      <c r="R55">
        <f t="shared" ca="1" si="5"/>
        <v>19</v>
      </c>
      <c r="S55">
        <f t="shared" ca="1" si="6"/>
        <v>0.43342868647329058</v>
      </c>
      <c r="T55">
        <f t="shared" ca="1" si="7"/>
        <v>19.433428686473292</v>
      </c>
      <c r="U55">
        <f t="shared" ca="1" si="8"/>
        <v>45.694458467748184</v>
      </c>
    </row>
    <row r="56" spans="1:21" x14ac:dyDescent="0.45">
      <c r="A56">
        <f t="shared" ca="1" si="0"/>
        <v>16</v>
      </c>
      <c r="B56">
        <v>0.3</v>
      </c>
      <c r="C56">
        <f t="shared" ca="1" si="1"/>
        <v>15.6</v>
      </c>
      <c r="D56">
        <v>39.07</v>
      </c>
      <c r="E56" s="3">
        <v>6325</v>
      </c>
      <c r="F56">
        <v>12.26</v>
      </c>
      <c r="G56">
        <v>0.17</v>
      </c>
      <c r="H56">
        <v>60.31</v>
      </c>
      <c r="I56">
        <v>12.46</v>
      </c>
      <c r="J56">
        <v>7.25</v>
      </c>
      <c r="K56">
        <f t="shared" ca="1" si="2"/>
        <v>0.20178937531254526</v>
      </c>
      <c r="M56">
        <f t="shared" ca="1" si="10"/>
        <v>25.819000588759415</v>
      </c>
      <c r="N56">
        <f t="shared" ca="1" si="3"/>
        <v>46.319000588759415</v>
      </c>
      <c r="O56">
        <f t="shared" ca="1" si="4"/>
        <v>20.207689891891714</v>
      </c>
      <c r="P56">
        <v>12.9774193548387</v>
      </c>
      <c r="Q56">
        <v>4.5</v>
      </c>
      <c r="R56">
        <f t="shared" ca="1" si="5"/>
        <v>19.7</v>
      </c>
      <c r="S56">
        <f t="shared" ca="1" si="6"/>
        <v>0.50768989189171465</v>
      </c>
      <c r="T56">
        <f t="shared" ca="1" si="7"/>
        <v>20.207689891891714</v>
      </c>
      <c r="U56">
        <f t="shared" ca="1" si="8"/>
        <v>46.319000588759415</v>
      </c>
    </row>
    <row r="57" spans="1:21" x14ac:dyDescent="0.45">
      <c r="A57">
        <f t="shared" ca="1" si="0"/>
        <v>17</v>
      </c>
      <c r="B57">
        <v>0.3</v>
      </c>
      <c r="C57">
        <f t="shared" ca="1" si="1"/>
        <v>14.6</v>
      </c>
      <c r="D57">
        <v>41.96</v>
      </c>
      <c r="E57" s="3">
        <v>6423</v>
      </c>
      <c r="F57">
        <v>12.2</v>
      </c>
      <c r="G57">
        <v>11.29</v>
      </c>
      <c r="H57">
        <v>60.58</v>
      </c>
      <c r="I57">
        <v>12.39</v>
      </c>
      <c r="J57">
        <v>7.2</v>
      </c>
      <c r="K57">
        <f t="shared" ca="1" si="2"/>
        <v>0.21565073324242665</v>
      </c>
      <c r="M57">
        <f t="shared" ca="1" si="10"/>
        <v>24.066693036306965</v>
      </c>
      <c r="N57">
        <f t="shared" ca="1" si="3"/>
        <v>45.566693036306965</v>
      </c>
      <c r="O57">
        <f t="shared" ca="1" si="4"/>
        <v>19.22456824553878</v>
      </c>
      <c r="P57">
        <v>15.530434782608699</v>
      </c>
      <c r="Q57">
        <v>4.5</v>
      </c>
      <c r="R57">
        <f t="shared" ca="1" si="5"/>
        <v>19.2</v>
      </c>
      <c r="S57">
        <f t="shared" ca="1" si="6"/>
        <v>2.4568245538779898E-2</v>
      </c>
      <c r="T57">
        <f t="shared" ca="1" si="7"/>
        <v>19.22456824553878</v>
      </c>
      <c r="U57">
        <f t="shared" ca="1" si="8"/>
        <v>45.566693036306965</v>
      </c>
    </row>
    <row r="58" spans="1:21" x14ac:dyDescent="0.45">
      <c r="A58">
        <f t="shared" ca="1" si="0"/>
        <v>22</v>
      </c>
      <c r="B58">
        <v>0.3</v>
      </c>
      <c r="C58">
        <f t="shared" ca="1" si="1"/>
        <v>16.2</v>
      </c>
      <c r="D58">
        <v>42</v>
      </c>
      <c r="E58" s="3">
        <v>6487</v>
      </c>
      <c r="F58">
        <v>8.07</v>
      </c>
      <c r="G58">
        <v>9.0299999999999994</v>
      </c>
      <c r="H58">
        <v>64.3</v>
      </c>
      <c r="I58">
        <v>12.4</v>
      </c>
      <c r="J58">
        <v>7.24</v>
      </c>
      <c r="K58">
        <f t="shared" ca="1" si="2"/>
        <v>0.23168913460358939</v>
      </c>
      <c r="M58">
        <f t="shared" ca="1" si="10"/>
        <v>22.271221345051629</v>
      </c>
      <c r="N58">
        <f t="shared" ca="1" si="3"/>
        <v>48.771221345051629</v>
      </c>
      <c r="O58">
        <f t="shared" ca="1" si="4"/>
        <v>19.929785910490018</v>
      </c>
      <c r="P58">
        <v>8.8657894736842096</v>
      </c>
      <c r="Q58">
        <v>4.5</v>
      </c>
      <c r="R58">
        <f t="shared" ca="1" si="5"/>
        <v>19.100000000000001</v>
      </c>
      <c r="S58">
        <f t="shared" ca="1" si="6"/>
        <v>0.82978591049001527</v>
      </c>
      <c r="T58">
        <f t="shared" ca="1" si="7"/>
        <v>19.929785910490018</v>
      </c>
      <c r="U58">
        <f t="shared" ca="1" si="8"/>
        <v>48.771221345051629</v>
      </c>
    </row>
    <row r="59" spans="1:21" x14ac:dyDescent="0.45">
      <c r="A59">
        <f t="shared" ca="1" si="0"/>
        <v>22</v>
      </c>
      <c r="B59">
        <v>0.3</v>
      </c>
      <c r="C59">
        <f t="shared" ca="1" si="1"/>
        <v>15</v>
      </c>
      <c r="D59">
        <v>40.909999999999997</v>
      </c>
      <c r="E59" s="3">
        <v>6521</v>
      </c>
      <c r="F59">
        <v>7.26</v>
      </c>
      <c r="G59">
        <v>7.85</v>
      </c>
      <c r="H59">
        <v>61.3</v>
      </c>
      <c r="I59">
        <v>12.4</v>
      </c>
      <c r="J59">
        <v>7.19</v>
      </c>
      <c r="K59">
        <f t="shared" ca="1" si="2"/>
        <v>0.26905630385074797</v>
      </c>
      <c r="M59">
        <f t="shared" ca="1" si="10"/>
        <v>19.363976704630986</v>
      </c>
      <c r="N59">
        <f t="shared" ca="1" si="3"/>
        <v>45.863976704630986</v>
      </c>
      <c r="O59">
        <f t="shared" ca="1" si="4"/>
        <v>19.623243876040192</v>
      </c>
      <c r="P59">
        <v>11.1928571428571</v>
      </c>
      <c r="Q59">
        <v>4.5</v>
      </c>
      <c r="R59">
        <f t="shared" ca="1" si="5"/>
        <v>19.600000000000001</v>
      </c>
      <c r="S59">
        <f t="shared" ca="1" si="6"/>
        <v>2.3243876040188849E-2</v>
      </c>
      <c r="T59">
        <f t="shared" ca="1" si="7"/>
        <v>19.623243876040192</v>
      </c>
      <c r="U59">
        <f t="shared" ca="1" si="8"/>
        <v>45.863976704630986</v>
      </c>
    </row>
    <row r="60" spans="1:21" x14ac:dyDescent="0.45">
      <c r="A60">
        <f t="shared" ca="1" si="0"/>
        <v>21</v>
      </c>
      <c r="B60">
        <v>0.3</v>
      </c>
      <c r="C60">
        <f t="shared" ca="1" si="1"/>
        <v>14.6</v>
      </c>
      <c r="D60">
        <v>42.63</v>
      </c>
      <c r="E60" s="3">
        <v>6329</v>
      </c>
      <c r="F60">
        <v>9.81</v>
      </c>
      <c r="G60">
        <v>5.63</v>
      </c>
      <c r="H60">
        <v>62</v>
      </c>
      <c r="I60">
        <v>13</v>
      </c>
      <c r="J60">
        <v>7.35</v>
      </c>
      <c r="K60">
        <f t="shared" ca="1" si="2"/>
        <v>0.31077259249838585</v>
      </c>
      <c r="M60">
        <f t="shared" ca="1" si="10"/>
        <v>18.18049640278155</v>
      </c>
      <c r="N60">
        <f t="shared" ca="1" si="3"/>
        <v>43.68049640278155</v>
      </c>
      <c r="O60">
        <f t="shared" ca="1" si="4"/>
        <v>20.054717142459417</v>
      </c>
      <c r="P60">
        <v>12.721621621621599</v>
      </c>
      <c r="Q60">
        <v>4.5</v>
      </c>
      <c r="R60">
        <f t="shared" ca="1" si="5"/>
        <v>19.2</v>
      </c>
      <c r="S60">
        <f t="shared" ca="1" si="6"/>
        <v>0.85471714245941877</v>
      </c>
      <c r="T60">
        <f t="shared" ca="1" si="7"/>
        <v>20.054717142459417</v>
      </c>
      <c r="U60">
        <f t="shared" ca="1" si="8"/>
        <v>43.68049640278155</v>
      </c>
    </row>
    <row r="61" spans="1:21" x14ac:dyDescent="0.45">
      <c r="A61">
        <f t="shared" ca="1" si="0"/>
        <v>18</v>
      </c>
      <c r="B61">
        <v>0.3</v>
      </c>
      <c r="C61">
        <f t="shared" ca="1" si="1"/>
        <v>15.7</v>
      </c>
      <c r="D61">
        <v>35.61</v>
      </c>
      <c r="E61" s="3">
        <v>6547</v>
      </c>
      <c r="F61">
        <v>6.89</v>
      </c>
      <c r="G61">
        <v>7.84</v>
      </c>
      <c r="H61">
        <v>62.5</v>
      </c>
      <c r="I61">
        <v>12.12</v>
      </c>
      <c r="J61">
        <v>7.38</v>
      </c>
      <c r="K61">
        <f t="shared" ca="1" si="2"/>
        <v>0.19299203770220427</v>
      </c>
      <c r="M61">
        <f t="shared" ca="1" si="10"/>
        <v>24.560598750265754</v>
      </c>
      <c r="N61">
        <f t="shared" ca="1" si="3"/>
        <v>47.060598750265754</v>
      </c>
      <c r="O61">
        <f t="shared" ca="1" si="4"/>
        <v>20.016744899461791</v>
      </c>
      <c r="P61">
        <v>12.8827586206897</v>
      </c>
      <c r="Q61">
        <v>4.5</v>
      </c>
      <c r="R61">
        <f t="shared" ca="1" si="5"/>
        <v>19.2</v>
      </c>
      <c r="S61">
        <f t="shared" ca="1" si="6"/>
        <v>0.81674489946179141</v>
      </c>
      <c r="T61">
        <f t="shared" ca="1" si="7"/>
        <v>20.016744899461791</v>
      </c>
      <c r="U61">
        <f t="shared" ca="1" si="8"/>
        <v>47.060598750265754</v>
      </c>
    </row>
    <row r="62" spans="1:21" s="2" customFormat="1" x14ac:dyDescent="0.45">
      <c r="A62" s="2">
        <f t="shared" ca="1" si="0"/>
        <v>19</v>
      </c>
      <c r="B62" s="2">
        <v>0.3</v>
      </c>
      <c r="C62" s="2">
        <f t="shared" ca="1" si="1"/>
        <v>14.8</v>
      </c>
      <c r="D62" s="2">
        <v>33.19</v>
      </c>
      <c r="E62" s="4">
        <v>6566</v>
      </c>
      <c r="F62" s="2">
        <v>9.41</v>
      </c>
      <c r="G62" s="2">
        <v>0.11</v>
      </c>
      <c r="H62" s="2">
        <v>53.5</v>
      </c>
      <c r="I62" s="2">
        <v>12.16</v>
      </c>
      <c r="J62" s="2">
        <v>7.45</v>
      </c>
      <c r="K62" s="2">
        <f t="shared" ca="1" si="2"/>
        <v>0.22292420408948682</v>
      </c>
      <c r="M62" s="2">
        <f t="shared" ca="1" si="10"/>
        <v>21.128257558382039</v>
      </c>
      <c r="N62" s="2">
        <f t="shared" ca="1" si="3"/>
        <v>44.628257558382039</v>
      </c>
      <c r="O62" s="2">
        <f t="shared" ca="1" si="4"/>
        <v>19.897707160946879</v>
      </c>
      <c r="P62" s="2">
        <v>10.4966292134831</v>
      </c>
      <c r="Q62" s="2">
        <v>4.5</v>
      </c>
      <c r="R62" s="2">
        <f t="shared" ca="1" si="5"/>
        <v>19.399999999999999</v>
      </c>
      <c r="S62" s="2">
        <f t="shared" ca="1" si="6"/>
        <v>0.49770716094688028</v>
      </c>
      <c r="T62" s="2">
        <f t="shared" ca="1" si="7"/>
        <v>19.897707160946879</v>
      </c>
      <c r="U62" s="2">
        <f t="shared" ca="1" si="8"/>
        <v>44.628257558382039</v>
      </c>
    </row>
    <row r="63" spans="1:21" x14ac:dyDescent="0.45">
      <c r="A63">
        <f t="shared" ca="1" si="0"/>
        <v>20</v>
      </c>
      <c r="B63">
        <v>0.3</v>
      </c>
      <c r="C63">
        <f t="shared" ca="1" si="1"/>
        <v>15.8</v>
      </c>
      <c r="D63">
        <v>28.3</v>
      </c>
      <c r="E63" s="3">
        <v>6487</v>
      </c>
      <c r="F63">
        <v>6.13</v>
      </c>
      <c r="G63">
        <v>0.12</v>
      </c>
      <c r="H63">
        <v>52.68</v>
      </c>
      <c r="I63">
        <v>12.99</v>
      </c>
      <c r="J63">
        <v>7.15</v>
      </c>
      <c r="K63">
        <f t="shared" ca="1" si="2"/>
        <v>0.25263660198699522</v>
      </c>
      <c r="M63">
        <f t="shared" ca="1" si="10"/>
        <v>23.116207050238195</v>
      </c>
      <c r="N63">
        <f t="shared" ca="1" si="3"/>
        <v>47.616207050238195</v>
      </c>
      <c r="O63">
        <f t="shared" ca="1" si="4"/>
        <v>19.909187621764968</v>
      </c>
      <c r="P63">
        <v>9.2529411764705891</v>
      </c>
      <c r="Q63">
        <v>4.5</v>
      </c>
      <c r="R63">
        <f t="shared" ca="1" si="5"/>
        <v>19.399999999999999</v>
      </c>
      <c r="S63">
        <f t="shared" ca="1" si="6"/>
        <v>0.5091876217649699</v>
      </c>
      <c r="T63">
        <f t="shared" ca="1" si="7"/>
        <v>19.909187621764968</v>
      </c>
      <c r="U63">
        <f t="shared" ca="1" si="8"/>
        <v>47.616207050238195</v>
      </c>
    </row>
    <row r="64" spans="1:21" x14ac:dyDescent="0.45">
      <c r="A64">
        <f t="shared" ca="1" si="0"/>
        <v>17</v>
      </c>
      <c r="B64">
        <v>0.3</v>
      </c>
      <c r="C64">
        <f t="shared" ca="1" si="1"/>
        <v>15.7</v>
      </c>
      <c r="D64">
        <v>34.58</v>
      </c>
      <c r="E64" s="3">
        <v>6513</v>
      </c>
      <c r="F64">
        <v>12.83</v>
      </c>
      <c r="G64">
        <v>12.13</v>
      </c>
      <c r="H64">
        <v>60.21</v>
      </c>
      <c r="I64">
        <v>13.24</v>
      </c>
      <c r="J64">
        <v>7.27</v>
      </c>
      <c r="K64">
        <f t="shared" ca="1" si="2"/>
        <v>0.2510618575326094</v>
      </c>
      <c r="M64">
        <f t="shared" ca="1" si="10"/>
        <v>23.779000357410254</v>
      </c>
      <c r="N64">
        <f t="shared" ca="1" si="3"/>
        <v>45.279000357410254</v>
      </c>
      <c r="O64">
        <f t="shared" ca="1" si="4"/>
        <v>20.804346221522412</v>
      </c>
      <c r="P64">
        <v>13.8</v>
      </c>
      <c r="Q64">
        <v>4.5</v>
      </c>
      <c r="R64">
        <f t="shared" ca="1" si="5"/>
        <v>19.899999999999999</v>
      </c>
      <c r="S64">
        <f t="shared" ca="1" si="6"/>
        <v>0.90434622152241428</v>
      </c>
      <c r="T64">
        <f t="shared" ca="1" si="7"/>
        <v>20.804346221522412</v>
      </c>
      <c r="U64">
        <f t="shared" ca="1" si="8"/>
        <v>45.279000357410254</v>
      </c>
    </row>
    <row r="65" spans="1:21" x14ac:dyDescent="0.45">
      <c r="A65">
        <f t="shared" ca="1" si="0"/>
        <v>22</v>
      </c>
      <c r="B65">
        <v>0.3</v>
      </c>
      <c r="C65">
        <f t="shared" ca="1" si="1"/>
        <v>15.9</v>
      </c>
      <c r="D65">
        <v>38.26</v>
      </c>
      <c r="E65" s="3">
        <v>6318</v>
      </c>
      <c r="F65">
        <v>3.93</v>
      </c>
      <c r="G65">
        <v>4.71</v>
      </c>
      <c r="H65">
        <v>60.52</v>
      </c>
      <c r="I65">
        <v>12.98</v>
      </c>
      <c r="J65">
        <v>7.35</v>
      </c>
      <c r="K65">
        <f t="shared" ca="1" si="2"/>
        <v>0.25366001294281754</v>
      </c>
      <c r="M65">
        <f t="shared" ca="1" si="10"/>
        <v>22.19506312675766</v>
      </c>
      <c r="N65">
        <f t="shared" ca="1" si="3"/>
        <v>48.69506312675766</v>
      </c>
      <c r="O65">
        <f t="shared" ca="1" si="4"/>
        <v>19.591308414913676</v>
      </c>
      <c r="P65">
        <v>10.725</v>
      </c>
      <c r="Q65">
        <v>4.5</v>
      </c>
      <c r="R65">
        <f t="shared" ca="1" si="5"/>
        <v>19.399999999999999</v>
      </c>
      <c r="S65">
        <f t="shared" ca="1" si="6"/>
        <v>0.19130841491367656</v>
      </c>
      <c r="T65">
        <f t="shared" ca="1" si="7"/>
        <v>19.591308414913676</v>
      </c>
      <c r="U65">
        <f t="shared" ca="1" si="8"/>
        <v>48.69506312675766</v>
      </c>
    </row>
    <row r="66" spans="1:21" x14ac:dyDescent="0.45">
      <c r="A66">
        <f t="shared" ca="1" si="0"/>
        <v>22</v>
      </c>
      <c r="B66">
        <v>0.3</v>
      </c>
      <c r="C66">
        <f t="shared" ca="1" si="1"/>
        <v>16.399999999999999</v>
      </c>
      <c r="D66">
        <v>33.94</v>
      </c>
      <c r="E66" s="3">
        <v>6466</v>
      </c>
      <c r="F66">
        <v>14.16</v>
      </c>
      <c r="G66">
        <v>13.14</v>
      </c>
      <c r="H66">
        <v>60.14</v>
      </c>
      <c r="I66">
        <v>12.11</v>
      </c>
      <c r="J66">
        <v>7.37</v>
      </c>
      <c r="K66">
        <f t="shared" ca="1" si="2"/>
        <v>0.19250224273950184</v>
      </c>
      <c r="M66">
        <f t="shared" ca="1" si="10"/>
        <v>24.623089749734859</v>
      </c>
      <c r="N66">
        <f t="shared" ca="1" si="3"/>
        <v>51.123089749734859</v>
      </c>
      <c r="O66">
        <f t="shared" ca="1" si="4"/>
        <v>19.247662940894593</v>
      </c>
      <c r="P66">
        <v>11.827500000000001</v>
      </c>
      <c r="Q66">
        <v>4.5</v>
      </c>
      <c r="R66">
        <f t="shared" ca="1" si="5"/>
        <v>19</v>
      </c>
      <c r="S66">
        <f t="shared" ca="1" si="6"/>
        <v>0.24766294089459073</v>
      </c>
      <c r="T66">
        <f t="shared" ca="1" si="7"/>
        <v>19.247662940894593</v>
      </c>
      <c r="U66">
        <f t="shared" ca="1" si="8"/>
        <v>51.123089749734859</v>
      </c>
    </row>
    <row r="67" spans="1:21" s="2" customFormat="1" x14ac:dyDescent="0.45">
      <c r="A67" s="2">
        <f t="shared" ca="1" si="0"/>
        <v>20</v>
      </c>
      <c r="B67" s="6">
        <v>0.3</v>
      </c>
      <c r="C67" s="6">
        <f t="shared" ca="1" si="1"/>
        <v>15.6</v>
      </c>
      <c r="D67" s="6">
        <v>39.72</v>
      </c>
      <c r="E67" s="7">
        <v>6963</v>
      </c>
      <c r="F67" s="6">
        <v>11.22</v>
      </c>
      <c r="G67" s="6">
        <v>13.52</v>
      </c>
      <c r="H67" s="6">
        <v>52.6</v>
      </c>
      <c r="I67" s="6">
        <v>12.22</v>
      </c>
      <c r="J67" s="6">
        <v>7.2</v>
      </c>
      <c r="K67" s="6">
        <f t="shared" ca="1" si="2"/>
        <v>0.23518080535035848</v>
      </c>
      <c r="M67" s="2">
        <f t="shared" ca="1" si="10"/>
        <v>21.345279401188805</v>
      </c>
      <c r="N67" s="2">
        <f t="shared" ca="1" si="3"/>
        <v>45.845279401188805</v>
      </c>
      <c r="O67" s="2">
        <f t="shared" ca="1" si="4"/>
        <v>20.41649679586703</v>
      </c>
      <c r="P67" s="2">
        <v>12.4342105263158</v>
      </c>
      <c r="Q67" s="2">
        <v>4.5</v>
      </c>
      <c r="R67" s="2">
        <f t="shared" ca="1" si="5"/>
        <v>20</v>
      </c>
      <c r="S67" s="2">
        <f t="shared" ca="1" si="6"/>
        <v>0.41649679586702948</v>
      </c>
      <c r="T67" s="2">
        <f t="shared" ca="1" si="7"/>
        <v>20.41649679586703</v>
      </c>
      <c r="U67" s="2">
        <f t="shared" ca="1" si="8"/>
        <v>45.845279401188805</v>
      </c>
    </row>
    <row r="68" spans="1:21" x14ac:dyDescent="0.45">
      <c r="A68">
        <f t="shared" ref="A68:A131" ca="1" si="11">RANDBETWEEN(16,22)</f>
        <v>21</v>
      </c>
      <c r="B68">
        <v>0.3</v>
      </c>
      <c r="C68">
        <f t="shared" ref="C68:C131" ca="1" si="12">RANDBETWEEN(145,165)/10</f>
        <v>16</v>
      </c>
      <c r="D68">
        <v>39.39</v>
      </c>
      <c r="E68" s="3">
        <v>6589</v>
      </c>
      <c r="F68">
        <v>14.12</v>
      </c>
      <c r="G68">
        <v>12.4</v>
      </c>
      <c r="H68">
        <v>55</v>
      </c>
      <c r="I68">
        <v>12.79</v>
      </c>
      <c r="J68">
        <v>7.13</v>
      </c>
      <c r="K68">
        <f t="shared" ref="K68:K131" ca="1" si="13">(I68-J68)/M68</f>
        <v>0.250877078706708</v>
      </c>
      <c r="M68">
        <f t="shared" ca="1" si="10"/>
        <v>22.560849437412799</v>
      </c>
      <c r="N68">
        <f t="shared" ref="N68:N131" ca="1" si="14">U68</f>
        <v>48.060849437412799</v>
      </c>
      <c r="O68">
        <f t="shared" ref="O68:O131" ca="1" si="15">C68/N68*60</f>
        <v>19.97467816814514</v>
      </c>
      <c r="P68">
        <v>11.835000000000001</v>
      </c>
      <c r="Q68">
        <v>4.5</v>
      </c>
      <c r="R68">
        <f t="shared" ref="R68:R131" ca="1" si="16">RANDBETWEEN(190,200)/10</f>
        <v>19.899999999999999</v>
      </c>
      <c r="S68">
        <f t="shared" ref="S68:S131" ca="1" si="17">RAND()</f>
        <v>7.4678168145141832E-2</v>
      </c>
      <c r="T68">
        <f t="shared" ref="T68:T131" ca="1" si="18">R68+S68</f>
        <v>19.97467816814514</v>
      </c>
      <c r="U68">
        <f t="shared" ref="U68:U131" ca="1" si="19">C68*60/T68</f>
        <v>48.060849437412799</v>
      </c>
    </row>
    <row r="69" spans="1:21" s="2" customFormat="1" x14ac:dyDescent="0.45">
      <c r="A69" s="2">
        <f t="shared" ca="1" si="11"/>
        <v>21</v>
      </c>
      <c r="B69" s="2">
        <v>0.3</v>
      </c>
      <c r="C69" s="2">
        <f t="shared" ca="1" si="12"/>
        <v>14.7</v>
      </c>
      <c r="D69" s="2">
        <v>43.07</v>
      </c>
      <c r="E69" s="4">
        <v>6339</v>
      </c>
      <c r="F69" s="2">
        <v>10.050000000000001</v>
      </c>
      <c r="G69" s="2">
        <v>8.6</v>
      </c>
      <c r="H69" s="2">
        <v>52.1</v>
      </c>
      <c r="I69" s="2">
        <v>11.97</v>
      </c>
      <c r="J69" s="2">
        <v>7.16</v>
      </c>
      <c r="K69" s="2">
        <f t="shared" ca="1" si="13"/>
        <v>0.26133486075935342</v>
      </c>
      <c r="M69" s="2">
        <f t="shared" ca="1" si="10"/>
        <v>18.405504669463987</v>
      </c>
      <c r="N69" s="2">
        <f t="shared" ca="1" si="14"/>
        <v>43.905504669463987</v>
      </c>
      <c r="O69" s="2">
        <f t="shared" ca="1" si="15"/>
        <v>20.088597241735513</v>
      </c>
      <c r="P69" s="2">
        <v>13.8268656716418</v>
      </c>
      <c r="Q69" s="2">
        <v>4.5</v>
      </c>
      <c r="R69" s="2">
        <f t="shared" ca="1" si="16"/>
        <v>19.2</v>
      </c>
      <c r="S69" s="2">
        <f t="shared" ca="1" si="17"/>
        <v>0.88859724173551324</v>
      </c>
      <c r="T69" s="2">
        <f t="shared" ca="1" si="18"/>
        <v>20.088597241735513</v>
      </c>
      <c r="U69" s="2">
        <f t="shared" ca="1" si="19"/>
        <v>43.905504669463987</v>
      </c>
    </row>
    <row r="70" spans="1:21" x14ac:dyDescent="0.45">
      <c r="A70">
        <f t="shared" ca="1" si="11"/>
        <v>17</v>
      </c>
      <c r="B70">
        <v>0.3</v>
      </c>
      <c r="C70">
        <f t="shared" ca="1" si="12"/>
        <v>15.8</v>
      </c>
      <c r="D70">
        <v>39.049999999999997</v>
      </c>
      <c r="E70" s="3">
        <v>5410</v>
      </c>
      <c r="F70">
        <v>9.52</v>
      </c>
      <c r="G70">
        <v>11.83</v>
      </c>
      <c r="H70">
        <v>50.6</v>
      </c>
      <c r="I70">
        <v>12.68</v>
      </c>
      <c r="J70">
        <v>7.14</v>
      </c>
      <c r="K70">
        <f t="shared" ca="1" si="13"/>
        <v>0.22187123657793709</v>
      </c>
      <c r="M70">
        <f t="shared" ca="1" si="10"/>
        <v>24.969437613667218</v>
      </c>
      <c r="N70">
        <f t="shared" ca="1" si="14"/>
        <v>46.469437613667218</v>
      </c>
      <c r="O70">
        <f t="shared" ca="1" si="15"/>
        <v>20.400505120836279</v>
      </c>
      <c r="P70">
        <v>14.268750000000001</v>
      </c>
      <c r="Q70">
        <v>4.5</v>
      </c>
      <c r="R70">
        <f t="shared" ca="1" si="16"/>
        <v>20</v>
      </c>
      <c r="S70">
        <f t="shared" ca="1" si="17"/>
        <v>0.40050512083627687</v>
      </c>
      <c r="T70">
        <f t="shared" ca="1" si="18"/>
        <v>20.400505120836279</v>
      </c>
      <c r="U70">
        <f t="shared" ca="1" si="19"/>
        <v>46.469437613667218</v>
      </c>
    </row>
    <row r="71" spans="1:21" x14ac:dyDescent="0.45">
      <c r="A71">
        <f t="shared" ca="1" si="11"/>
        <v>18</v>
      </c>
      <c r="B71">
        <v>0.3</v>
      </c>
      <c r="C71">
        <f t="shared" ca="1" si="12"/>
        <v>15.2</v>
      </c>
      <c r="D71">
        <v>32.619999999999997</v>
      </c>
      <c r="E71" s="3">
        <v>4896</v>
      </c>
      <c r="F71">
        <v>2.3199999999999998</v>
      </c>
      <c r="G71">
        <v>4.1500000000000004</v>
      </c>
      <c r="H71">
        <v>51.2</v>
      </c>
      <c r="I71">
        <v>12.37</v>
      </c>
      <c r="J71">
        <v>7.2</v>
      </c>
      <c r="K71">
        <f t="shared" ca="1" si="13"/>
        <v>0.22177532251564464</v>
      </c>
      <c r="M71">
        <f t="shared" ca="1" si="10"/>
        <v>23.31188132816397</v>
      </c>
      <c r="N71">
        <f t="shared" ca="1" si="14"/>
        <v>45.81188132816397</v>
      </c>
      <c r="O71">
        <f t="shared" ca="1" si="15"/>
        <v>19.907499398836642</v>
      </c>
      <c r="P71">
        <v>5.1862068965517203</v>
      </c>
      <c r="Q71">
        <v>4.5</v>
      </c>
      <c r="R71">
        <f t="shared" ca="1" si="16"/>
        <v>19.3</v>
      </c>
      <c r="S71">
        <f t="shared" ca="1" si="17"/>
        <v>0.60749939883664317</v>
      </c>
      <c r="T71">
        <f t="shared" ca="1" si="18"/>
        <v>19.907499398836645</v>
      </c>
      <c r="U71">
        <f t="shared" ca="1" si="19"/>
        <v>45.81188132816397</v>
      </c>
    </row>
    <row r="72" spans="1:21" x14ac:dyDescent="0.45">
      <c r="A72">
        <f t="shared" ca="1" si="11"/>
        <v>17</v>
      </c>
      <c r="B72">
        <v>0.3</v>
      </c>
      <c r="C72">
        <f t="shared" ca="1" si="12"/>
        <v>16</v>
      </c>
      <c r="D72">
        <v>35.76</v>
      </c>
      <c r="E72" s="3">
        <v>4286</v>
      </c>
      <c r="F72">
        <v>6.49</v>
      </c>
      <c r="G72">
        <v>14.55</v>
      </c>
      <c r="H72">
        <v>56</v>
      </c>
      <c r="I72">
        <v>12.37</v>
      </c>
      <c r="J72">
        <v>7.21</v>
      </c>
      <c r="K72">
        <f t="shared" ca="1" si="13"/>
        <v>0.19147806314244756</v>
      </c>
      <c r="M72">
        <f t="shared" ca="1" si="10"/>
        <v>26.948256710541749</v>
      </c>
      <c r="N72">
        <f t="shared" ca="1" si="14"/>
        <v>48.448256710541749</v>
      </c>
      <c r="O72">
        <f t="shared" ca="1" si="15"/>
        <v>19.814954452037398</v>
      </c>
      <c r="P72">
        <v>10.232967032967</v>
      </c>
      <c r="Q72">
        <v>4.5</v>
      </c>
      <c r="R72">
        <f t="shared" ca="1" si="16"/>
        <v>19</v>
      </c>
      <c r="S72">
        <f t="shared" ca="1" si="17"/>
        <v>0.81495445203739714</v>
      </c>
      <c r="T72">
        <f t="shared" ca="1" si="18"/>
        <v>19.814954452037398</v>
      </c>
      <c r="U72">
        <f t="shared" ca="1" si="19"/>
        <v>48.448256710541749</v>
      </c>
    </row>
    <row r="73" spans="1:21" x14ac:dyDescent="0.45">
      <c r="A73">
        <f t="shared" ca="1" si="11"/>
        <v>19</v>
      </c>
      <c r="B73">
        <v>0.3</v>
      </c>
      <c r="C73">
        <f t="shared" ca="1" si="12"/>
        <v>16.100000000000001</v>
      </c>
      <c r="D73">
        <v>34.83</v>
      </c>
      <c r="E73" s="3">
        <v>4528</v>
      </c>
      <c r="F73">
        <v>2.46</v>
      </c>
      <c r="G73">
        <v>7.6</v>
      </c>
      <c r="H73">
        <v>54</v>
      </c>
      <c r="I73">
        <v>11.73</v>
      </c>
      <c r="J73">
        <v>7.26</v>
      </c>
      <c r="K73">
        <f t="shared" ca="1" si="13"/>
        <v>0.17201135521224645</v>
      </c>
      <c r="M73">
        <f t="shared" ca="1" si="10"/>
        <v>25.986656488372091</v>
      </c>
      <c r="N73">
        <f t="shared" ca="1" si="14"/>
        <v>49.486656488372091</v>
      </c>
      <c r="O73">
        <f t="shared" ca="1" si="15"/>
        <v>19.520413552832807</v>
      </c>
      <c r="P73">
        <v>12.830136986301399</v>
      </c>
      <c r="Q73">
        <v>4.5</v>
      </c>
      <c r="R73">
        <f t="shared" ca="1" si="16"/>
        <v>19.2</v>
      </c>
      <c r="S73">
        <f t="shared" ca="1" si="17"/>
        <v>0.32041355283280626</v>
      </c>
      <c r="T73">
        <f t="shared" ca="1" si="18"/>
        <v>19.520413552832807</v>
      </c>
      <c r="U73">
        <f t="shared" ca="1" si="19"/>
        <v>49.486656488372091</v>
      </c>
    </row>
    <row r="74" spans="1:21" x14ac:dyDescent="0.45">
      <c r="A74">
        <f t="shared" ca="1" si="11"/>
        <v>16</v>
      </c>
      <c r="B74">
        <v>0.3</v>
      </c>
      <c r="C74">
        <f t="shared" ca="1" si="12"/>
        <v>15.8</v>
      </c>
      <c r="D74">
        <v>33.659999999999997</v>
      </c>
      <c r="E74" s="3">
        <v>4521</v>
      </c>
      <c r="F74">
        <v>2.0299999999999998</v>
      </c>
      <c r="G74">
        <v>4.9800000000000004</v>
      </c>
      <c r="H74">
        <v>52</v>
      </c>
      <c r="I74">
        <v>11.52</v>
      </c>
      <c r="J74">
        <v>7.46</v>
      </c>
      <c r="K74">
        <f t="shared" ca="1" si="13"/>
        <v>0.14124309622950165</v>
      </c>
      <c r="M74">
        <f t="shared" ca="1" si="10"/>
        <v>28.744767768351863</v>
      </c>
      <c r="N74">
        <f t="shared" ca="1" si="14"/>
        <v>49.244767768351863</v>
      </c>
      <c r="O74">
        <f t="shared" ca="1" si="15"/>
        <v>19.250776132388449</v>
      </c>
      <c r="P74">
        <v>12.780821917808201</v>
      </c>
      <c r="Q74">
        <v>4.5</v>
      </c>
      <c r="R74">
        <f t="shared" ca="1" si="16"/>
        <v>19.2</v>
      </c>
      <c r="S74">
        <f t="shared" ca="1" si="17"/>
        <v>5.077613238844858E-2</v>
      </c>
      <c r="T74">
        <f t="shared" ca="1" si="18"/>
        <v>19.250776132388449</v>
      </c>
      <c r="U74">
        <f t="shared" ca="1" si="19"/>
        <v>49.244767768351863</v>
      </c>
    </row>
    <row r="75" spans="1:21" x14ac:dyDescent="0.45">
      <c r="A75">
        <f t="shared" ca="1" si="11"/>
        <v>18</v>
      </c>
      <c r="B75">
        <v>0.3</v>
      </c>
      <c r="C75">
        <f t="shared" ca="1" si="12"/>
        <v>16.2</v>
      </c>
      <c r="D75">
        <v>35.880000000000003</v>
      </c>
      <c r="E75" s="3">
        <v>4938</v>
      </c>
      <c r="F75">
        <v>1.49</v>
      </c>
      <c r="G75">
        <v>7.59</v>
      </c>
      <c r="H75">
        <v>55</v>
      </c>
      <c r="I75">
        <v>12.22</v>
      </c>
      <c r="J75">
        <v>7.12</v>
      </c>
      <c r="K75">
        <f t="shared" si="13"/>
        <v>0.21250000000000002</v>
      </c>
      <c r="M75">
        <v>24</v>
      </c>
      <c r="N75">
        <f t="shared" ca="1" si="14"/>
        <v>49.993668981897642</v>
      </c>
      <c r="O75">
        <f t="shared" ca="1" si="15"/>
        <v>19.442461811553667</v>
      </c>
      <c r="P75">
        <v>21.475000000000001</v>
      </c>
      <c r="Q75">
        <v>4.5</v>
      </c>
      <c r="R75">
        <f t="shared" ca="1" si="16"/>
        <v>19.100000000000001</v>
      </c>
      <c r="S75">
        <f t="shared" ca="1" si="17"/>
        <v>0.34246181155366495</v>
      </c>
      <c r="T75">
        <f t="shared" ca="1" si="18"/>
        <v>19.442461811553667</v>
      </c>
      <c r="U75">
        <f t="shared" ca="1" si="19"/>
        <v>49.993668981897642</v>
      </c>
    </row>
    <row r="76" spans="1:21" x14ac:dyDescent="0.45">
      <c r="A76">
        <f t="shared" ca="1" si="11"/>
        <v>18</v>
      </c>
      <c r="B76">
        <v>0.3</v>
      </c>
      <c r="C76">
        <f t="shared" ca="1" si="12"/>
        <v>15.3</v>
      </c>
      <c r="D76">
        <v>34.630000000000003</v>
      </c>
      <c r="E76" s="3">
        <v>4556</v>
      </c>
      <c r="F76">
        <v>1.51</v>
      </c>
      <c r="G76">
        <v>7.63</v>
      </c>
      <c r="H76">
        <v>54</v>
      </c>
      <c r="I76">
        <v>12.22</v>
      </c>
      <c r="J76">
        <v>7.22</v>
      </c>
      <c r="K76">
        <f t="shared" si="13"/>
        <v>0.13157894736842107</v>
      </c>
      <c r="M76">
        <v>38</v>
      </c>
      <c r="N76">
        <f t="shared" ca="1" si="14"/>
        <v>44.805432550736249</v>
      </c>
      <c r="O76">
        <f t="shared" ca="1" si="15"/>
        <v>20.488586935534794</v>
      </c>
      <c r="P76">
        <v>17.390322580645201</v>
      </c>
      <c r="Q76">
        <v>4.5</v>
      </c>
      <c r="R76">
        <f t="shared" ca="1" si="16"/>
        <v>19.8</v>
      </c>
      <c r="S76">
        <f t="shared" ca="1" si="17"/>
        <v>0.68858693553479167</v>
      </c>
      <c r="T76">
        <f t="shared" ca="1" si="18"/>
        <v>20.488586935534791</v>
      </c>
      <c r="U76">
        <f t="shared" ca="1" si="19"/>
        <v>44.805432550736249</v>
      </c>
    </row>
    <row r="77" spans="1:21" s="2" customFormat="1" x14ac:dyDescent="0.45">
      <c r="A77" s="2">
        <f t="shared" ca="1" si="11"/>
        <v>22</v>
      </c>
      <c r="B77" s="2">
        <v>0.3</v>
      </c>
      <c r="C77" s="2">
        <f t="shared" ca="1" si="12"/>
        <v>15.1</v>
      </c>
      <c r="D77" s="2">
        <v>31.41</v>
      </c>
      <c r="E77" s="4">
        <v>6869</v>
      </c>
      <c r="F77" s="2">
        <v>12.97</v>
      </c>
      <c r="G77" s="2">
        <v>12.79</v>
      </c>
      <c r="H77" s="2">
        <v>53</v>
      </c>
      <c r="I77" s="2">
        <v>12.13</v>
      </c>
      <c r="J77" s="2">
        <v>7.09</v>
      </c>
      <c r="K77" s="2">
        <f t="shared" si="13"/>
        <v>0.21913043478260874</v>
      </c>
      <c r="M77" s="2">
        <v>23</v>
      </c>
      <c r="N77" s="2">
        <f t="shared" ca="1" si="14"/>
        <v>44.893240862824754</v>
      </c>
      <c r="O77" s="2">
        <f t="shared" ca="1" si="15"/>
        <v>20.181211750079765</v>
      </c>
      <c r="P77" s="2">
        <v>19.712499999999999</v>
      </c>
      <c r="Q77" s="2">
        <v>4.5</v>
      </c>
      <c r="R77" s="2">
        <f t="shared" ca="1" si="16"/>
        <v>19.7</v>
      </c>
      <c r="S77" s="2">
        <f t="shared" ca="1" si="17"/>
        <v>0.48121175007976491</v>
      </c>
      <c r="T77" s="2">
        <f t="shared" ca="1" si="18"/>
        <v>20.181211750079765</v>
      </c>
      <c r="U77" s="2">
        <f t="shared" ca="1" si="19"/>
        <v>44.893240862824754</v>
      </c>
    </row>
    <row r="78" spans="1:21" x14ac:dyDescent="0.45">
      <c r="A78">
        <f t="shared" ca="1" si="11"/>
        <v>19</v>
      </c>
      <c r="B78">
        <v>0.3</v>
      </c>
      <c r="C78">
        <f t="shared" ca="1" si="12"/>
        <v>15.9</v>
      </c>
      <c r="D78">
        <v>33.450000000000003</v>
      </c>
      <c r="E78" s="3">
        <v>7681</v>
      </c>
      <c r="F78">
        <v>13.25</v>
      </c>
      <c r="G78">
        <v>7.61</v>
      </c>
      <c r="H78">
        <v>51.1</v>
      </c>
      <c r="I78">
        <v>12.92</v>
      </c>
      <c r="J78">
        <v>7.28</v>
      </c>
      <c r="K78">
        <f t="shared" si="13"/>
        <v>0.17624999999999999</v>
      </c>
      <c r="M78">
        <v>32</v>
      </c>
      <c r="N78">
        <f t="shared" ca="1" si="14"/>
        <v>48.413502666232944</v>
      </c>
      <c r="O78">
        <f t="shared" ca="1" si="15"/>
        <v>19.705246418069812</v>
      </c>
      <c r="P78">
        <v>17.037735849056599</v>
      </c>
      <c r="Q78">
        <v>4.5</v>
      </c>
      <c r="R78">
        <f t="shared" ca="1" si="16"/>
        <v>19.399999999999999</v>
      </c>
      <c r="S78">
        <f t="shared" ca="1" si="17"/>
        <v>0.30524641806981367</v>
      </c>
      <c r="T78">
        <f t="shared" ca="1" si="18"/>
        <v>19.705246418069812</v>
      </c>
      <c r="U78">
        <f t="shared" ca="1" si="19"/>
        <v>48.413502666232944</v>
      </c>
    </row>
    <row r="79" spans="1:21" x14ac:dyDescent="0.45">
      <c r="A79">
        <f t="shared" ca="1" si="11"/>
        <v>18</v>
      </c>
      <c r="B79">
        <v>0.3</v>
      </c>
      <c r="C79">
        <f t="shared" ca="1" si="12"/>
        <v>15.9</v>
      </c>
      <c r="D79">
        <v>31.57</v>
      </c>
      <c r="E79" s="3">
        <v>9340</v>
      </c>
      <c r="F79">
        <v>12.98</v>
      </c>
      <c r="G79">
        <v>9.15</v>
      </c>
      <c r="H79">
        <v>63.2</v>
      </c>
      <c r="I79">
        <v>12.96</v>
      </c>
      <c r="J79">
        <v>7.28</v>
      </c>
      <c r="K79">
        <f t="shared" si="13"/>
        <v>0.16228571428571431</v>
      </c>
      <c r="M79">
        <v>35</v>
      </c>
      <c r="N79">
        <f t="shared" ca="1" si="14"/>
        <v>47.333645352232793</v>
      </c>
      <c r="O79">
        <f t="shared" ca="1" si="15"/>
        <v>20.15479671808118</v>
      </c>
      <c r="P79">
        <v>16.515789473684201</v>
      </c>
      <c r="Q79">
        <v>4.5</v>
      </c>
      <c r="R79">
        <f t="shared" ca="1" si="16"/>
        <v>19.7</v>
      </c>
      <c r="S79">
        <f t="shared" ca="1" si="17"/>
        <v>0.45479671808117939</v>
      </c>
      <c r="T79">
        <f t="shared" ca="1" si="18"/>
        <v>20.15479671808118</v>
      </c>
      <c r="U79">
        <f t="shared" ca="1" si="19"/>
        <v>47.333645352232793</v>
      </c>
    </row>
    <row r="80" spans="1:21" x14ac:dyDescent="0.45">
      <c r="A80">
        <f t="shared" ca="1" si="11"/>
        <v>20</v>
      </c>
      <c r="B80">
        <v>0.3</v>
      </c>
      <c r="C80">
        <f t="shared" ca="1" si="12"/>
        <v>16.2</v>
      </c>
      <c r="D80">
        <v>32.68</v>
      </c>
      <c r="E80" s="3">
        <v>9567</v>
      </c>
      <c r="F80">
        <v>13.15</v>
      </c>
      <c r="G80">
        <v>10.42</v>
      </c>
      <c r="H80">
        <v>50.4</v>
      </c>
      <c r="I80">
        <v>12.34</v>
      </c>
      <c r="J80">
        <v>7.35</v>
      </c>
      <c r="K80">
        <f t="shared" si="13"/>
        <v>0.15593750000000001</v>
      </c>
      <c r="M80">
        <v>32</v>
      </c>
      <c r="N80">
        <f t="shared" ca="1" si="14"/>
        <v>49.279624367459306</v>
      </c>
      <c r="O80">
        <f t="shared" ca="1" si="15"/>
        <v>19.724176319855196</v>
      </c>
      <c r="P80">
        <v>17.411111111111101</v>
      </c>
      <c r="Q80">
        <v>4.5</v>
      </c>
      <c r="R80">
        <f t="shared" ca="1" si="16"/>
        <v>19.2</v>
      </c>
      <c r="S80">
        <f t="shared" ca="1" si="17"/>
        <v>0.52417631985519719</v>
      </c>
      <c r="T80">
        <f t="shared" ca="1" si="18"/>
        <v>19.724176319855196</v>
      </c>
      <c r="U80">
        <f t="shared" ca="1" si="19"/>
        <v>49.279624367459306</v>
      </c>
    </row>
    <row r="81" spans="1:21" x14ac:dyDescent="0.45">
      <c r="A81">
        <f t="shared" ca="1" si="11"/>
        <v>16</v>
      </c>
      <c r="B81">
        <v>0.3</v>
      </c>
      <c r="C81">
        <f t="shared" ca="1" si="12"/>
        <v>15.5</v>
      </c>
      <c r="D81">
        <v>32.67</v>
      </c>
      <c r="E81" s="3">
        <v>8903</v>
      </c>
      <c r="F81">
        <v>12.37</v>
      </c>
      <c r="G81">
        <v>12.54</v>
      </c>
      <c r="H81">
        <v>58.5</v>
      </c>
      <c r="I81">
        <v>12.86</v>
      </c>
      <c r="J81">
        <v>7.25</v>
      </c>
      <c r="K81">
        <f t="shared" si="13"/>
        <v>0.25499999999999995</v>
      </c>
      <c r="M81">
        <v>22</v>
      </c>
      <c r="N81">
        <f t="shared" ca="1" si="14"/>
        <v>48.625578125408282</v>
      </c>
      <c r="O81">
        <f t="shared" ca="1" si="15"/>
        <v>19.125736615438779</v>
      </c>
      <c r="P81">
        <v>21.0133333333333</v>
      </c>
      <c r="Q81">
        <v>4.5</v>
      </c>
      <c r="R81">
        <f t="shared" ca="1" si="16"/>
        <v>19.100000000000001</v>
      </c>
      <c r="S81">
        <f t="shared" ca="1" si="17"/>
        <v>2.5736615438772259E-2</v>
      </c>
      <c r="T81">
        <f t="shared" ca="1" si="18"/>
        <v>19.125736615438775</v>
      </c>
      <c r="U81">
        <f t="shared" ca="1" si="19"/>
        <v>48.625578125408282</v>
      </c>
    </row>
    <row r="82" spans="1:21" x14ac:dyDescent="0.45">
      <c r="A82">
        <f t="shared" ca="1" si="11"/>
        <v>21</v>
      </c>
      <c r="B82">
        <v>0.3</v>
      </c>
      <c r="C82">
        <f t="shared" ca="1" si="12"/>
        <v>16.100000000000001</v>
      </c>
      <c r="D82">
        <v>35.5</v>
      </c>
      <c r="E82" s="3">
        <v>8874</v>
      </c>
      <c r="F82">
        <v>9.1999999999999993</v>
      </c>
      <c r="G82">
        <v>9.8800000000000008</v>
      </c>
      <c r="H82">
        <v>49.8</v>
      </c>
      <c r="I82">
        <v>12.25</v>
      </c>
      <c r="J82">
        <v>7.11</v>
      </c>
      <c r="K82">
        <f t="shared" si="13"/>
        <v>0.13891891891891892</v>
      </c>
      <c r="M82">
        <v>37</v>
      </c>
      <c r="N82">
        <f t="shared" ca="1" si="14"/>
        <v>49.014410132978711</v>
      </c>
      <c r="O82">
        <f t="shared" ca="1" si="15"/>
        <v>19.708489755955249</v>
      </c>
      <c r="P82">
        <v>15.540983606557401</v>
      </c>
      <c r="Q82">
        <v>4.5</v>
      </c>
      <c r="R82">
        <f t="shared" ca="1" si="16"/>
        <v>19.5</v>
      </c>
      <c r="S82">
        <f t="shared" ca="1" si="17"/>
        <v>0.20848975595525054</v>
      </c>
      <c r="T82">
        <f t="shared" ca="1" si="18"/>
        <v>19.708489755955249</v>
      </c>
      <c r="U82">
        <f t="shared" ca="1" si="19"/>
        <v>49.014410132978711</v>
      </c>
    </row>
    <row r="83" spans="1:21" x14ac:dyDescent="0.45">
      <c r="A83">
        <f t="shared" ca="1" si="11"/>
        <v>18</v>
      </c>
      <c r="B83">
        <v>0.3</v>
      </c>
      <c r="C83">
        <f t="shared" ca="1" si="12"/>
        <v>15.2</v>
      </c>
      <c r="D83">
        <v>32.869999999999997</v>
      </c>
      <c r="E83" s="3">
        <v>7636</v>
      </c>
      <c r="F83">
        <v>13.27</v>
      </c>
      <c r="G83">
        <v>12.96</v>
      </c>
      <c r="H83">
        <v>53</v>
      </c>
      <c r="I83">
        <v>12.38</v>
      </c>
      <c r="J83">
        <v>7.38</v>
      </c>
      <c r="K83">
        <f t="shared" si="13"/>
        <v>0.16666666666666669</v>
      </c>
      <c r="M83">
        <v>30</v>
      </c>
      <c r="N83">
        <f t="shared" ca="1" si="14"/>
        <v>44.917003658793796</v>
      </c>
      <c r="O83">
        <f t="shared" ca="1" si="15"/>
        <v>20.304114827602703</v>
      </c>
      <c r="P83">
        <v>17.818867924528298</v>
      </c>
      <c r="Q83">
        <v>4.5</v>
      </c>
      <c r="R83">
        <f t="shared" ca="1" si="16"/>
        <v>19.8</v>
      </c>
      <c r="S83">
        <f t="shared" ca="1" si="17"/>
        <v>0.50411482760270299</v>
      </c>
      <c r="T83">
        <f t="shared" ca="1" si="18"/>
        <v>20.304114827602703</v>
      </c>
      <c r="U83">
        <f t="shared" ca="1" si="19"/>
        <v>44.917003658793796</v>
      </c>
    </row>
    <row r="84" spans="1:21" x14ac:dyDescent="0.45">
      <c r="A84">
        <f t="shared" ca="1" si="11"/>
        <v>22</v>
      </c>
      <c r="B84">
        <v>0.3</v>
      </c>
      <c r="C84">
        <f t="shared" ca="1" si="12"/>
        <v>15</v>
      </c>
      <c r="D84">
        <v>31.57</v>
      </c>
      <c r="E84" s="3">
        <v>7843</v>
      </c>
      <c r="F84">
        <v>12.63</v>
      </c>
      <c r="G84">
        <v>12.8</v>
      </c>
      <c r="H84">
        <v>63.3</v>
      </c>
      <c r="I84">
        <v>12.32</v>
      </c>
      <c r="J84">
        <v>7.3</v>
      </c>
      <c r="K84">
        <f t="shared" si="13"/>
        <v>0.2091666666666667</v>
      </c>
      <c r="M84">
        <v>24</v>
      </c>
      <c r="N84">
        <f t="shared" ca="1" si="14"/>
        <v>44.061378372301114</v>
      </c>
      <c r="O84">
        <f t="shared" ca="1" si="15"/>
        <v>20.426051867813989</v>
      </c>
      <c r="P84">
        <v>21.0133333333333</v>
      </c>
      <c r="Q84">
        <v>4.5</v>
      </c>
      <c r="R84">
        <f t="shared" ca="1" si="16"/>
        <v>19.8</v>
      </c>
      <c r="S84">
        <f t="shared" ca="1" si="17"/>
        <v>0.62605186781398825</v>
      </c>
      <c r="T84">
        <f t="shared" ca="1" si="18"/>
        <v>20.426051867813989</v>
      </c>
      <c r="U84">
        <f t="shared" ca="1" si="19"/>
        <v>44.061378372301114</v>
      </c>
    </row>
    <row r="85" spans="1:21" x14ac:dyDescent="0.45">
      <c r="A85">
        <f t="shared" ca="1" si="11"/>
        <v>20</v>
      </c>
      <c r="B85">
        <v>0.3</v>
      </c>
      <c r="C85">
        <f t="shared" ca="1" si="12"/>
        <v>16.399999999999999</v>
      </c>
      <c r="D85">
        <v>32.17</v>
      </c>
      <c r="E85" s="3">
        <v>8425</v>
      </c>
      <c r="F85">
        <v>11.36</v>
      </c>
      <c r="G85">
        <v>11.33</v>
      </c>
      <c r="H85">
        <v>58.4</v>
      </c>
      <c r="I85">
        <v>12.76</v>
      </c>
      <c r="J85">
        <v>7.3</v>
      </c>
      <c r="K85">
        <f t="shared" si="13"/>
        <v>0.13650000000000001</v>
      </c>
      <c r="M85">
        <v>40</v>
      </c>
      <c r="N85">
        <f t="shared" ca="1" si="14"/>
        <v>48.548942040185899</v>
      </c>
      <c r="O85">
        <f t="shared" ca="1" si="15"/>
        <v>20.268206857844682</v>
      </c>
      <c r="P85">
        <v>15.1741935483871</v>
      </c>
      <c r="Q85">
        <v>4.5</v>
      </c>
      <c r="R85">
        <f t="shared" ca="1" si="16"/>
        <v>19.3</v>
      </c>
      <c r="S85">
        <f t="shared" ca="1" si="17"/>
        <v>0.96820685784468008</v>
      </c>
      <c r="T85">
        <f t="shared" ca="1" si="18"/>
        <v>20.268206857844682</v>
      </c>
      <c r="U85">
        <f t="shared" ca="1" si="19"/>
        <v>48.548942040185899</v>
      </c>
    </row>
    <row r="86" spans="1:21" x14ac:dyDescent="0.45">
      <c r="A86">
        <f t="shared" ca="1" si="11"/>
        <v>18</v>
      </c>
      <c r="B86">
        <v>0.3</v>
      </c>
      <c r="C86">
        <f t="shared" ca="1" si="12"/>
        <v>15</v>
      </c>
      <c r="D86">
        <v>33.11</v>
      </c>
      <c r="E86" s="3">
        <v>7618</v>
      </c>
      <c r="F86">
        <v>8.7200000000000006</v>
      </c>
      <c r="G86">
        <v>7.71</v>
      </c>
      <c r="H86">
        <v>51</v>
      </c>
      <c r="I86">
        <v>12.11</v>
      </c>
      <c r="J86">
        <v>7.16</v>
      </c>
      <c r="K86">
        <f t="shared" si="13"/>
        <v>7.9838709677419337E-2</v>
      </c>
      <c r="M86">
        <v>62</v>
      </c>
      <c r="N86">
        <f t="shared" ca="1" si="14"/>
        <v>46.991650239690628</v>
      </c>
      <c r="O86">
        <f t="shared" ca="1" si="15"/>
        <v>19.152338668877636</v>
      </c>
      <c r="P86">
        <v>11.0823529411765</v>
      </c>
      <c r="Q86">
        <v>4.5</v>
      </c>
      <c r="R86">
        <f t="shared" ca="1" si="16"/>
        <v>19.100000000000001</v>
      </c>
      <c r="S86">
        <f t="shared" ca="1" si="17"/>
        <v>5.233866887763805E-2</v>
      </c>
      <c r="T86">
        <f t="shared" ca="1" si="18"/>
        <v>19.15233866887764</v>
      </c>
      <c r="U86">
        <f t="shared" ca="1" si="19"/>
        <v>46.991650239690628</v>
      </c>
    </row>
    <row r="87" spans="1:21" x14ac:dyDescent="0.45">
      <c r="A87">
        <f t="shared" ca="1" si="11"/>
        <v>17</v>
      </c>
      <c r="B87">
        <v>0.3</v>
      </c>
      <c r="C87">
        <f t="shared" ca="1" si="12"/>
        <v>16.100000000000001</v>
      </c>
      <c r="D87">
        <v>33.590000000000003</v>
      </c>
      <c r="E87" s="3">
        <v>7219</v>
      </c>
      <c r="F87">
        <v>7.35</v>
      </c>
      <c r="G87">
        <v>7.84</v>
      </c>
      <c r="H87">
        <v>52</v>
      </c>
      <c r="I87">
        <v>12.01</v>
      </c>
      <c r="J87">
        <v>7.13</v>
      </c>
      <c r="K87">
        <f t="shared" si="13"/>
        <v>0.10844444444444444</v>
      </c>
      <c r="M87">
        <v>45</v>
      </c>
      <c r="N87">
        <f t="shared" ca="1" si="14"/>
        <v>48.034306544508709</v>
      </c>
      <c r="O87">
        <f t="shared" ca="1" si="15"/>
        <v>20.110626539490106</v>
      </c>
      <c r="P87">
        <v>13.8705882352941</v>
      </c>
      <c r="Q87">
        <v>4.5</v>
      </c>
      <c r="R87">
        <f t="shared" ca="1" si="16"/>
        <v>19.5</v>
      </c>
      <c r="S87">
        <f t="shared" ca="1" si="17"/>
        <v>0.61062653949010426</v>
      </c>
      <c r="T87">
        <f t="shared" ca="1" si="18"/>
        <v>20.110626539490106</v>
      </c>
      <c r="U87">
        <f t="shared" ca="1" si="19"/>
        <v>48.034306544508709</v>
      </c>
    </row>
    <row r="88" spans="1:21" x14ac:dyDescent="0.45">
      <c r="A88">
        <f t="shared" ca="1" si="11"/>
        <v>16</v>
      </c>
      <c r="B88">
        <v>0.3</v>
      </c>
      <c r="C88">
        <f t="shared" ca="1" si="12"/>
        <v>15.1</v>
      </c>
      <c r="D88">
        <v>31.57</v>
      </c>
      <c r="E88" s="3">
        <v>7843</v>
      </c>
      <c r="F88">
        <v>12.63</v>
      </c>
      <c r="G88">
        <v>12.8</v>
      </c>
      <c r="H88">
        <v>63.3</v>
      </c>
      <c r="I88">
        <v>12.32</v>
      </c>
      <c r="J88">
        <v>7.3</v>
      </c>
      <c r="K88">
        <f t="shared" si="13"/>
        <v>0.2091666666666667</v>
      </c>
      <c r="M88">
        <v>24</v>
      </c>
      <c r="N88">
        <f t="shared" ca="1" si="14"/>
        <v>43.387060366598355</v>
      </c>
      <c r="O88">
        <f t="shared" ca="1" si="15"/>
        <v>20.881801909250495</v>
      </c>
      <c r="P88">
        <v>21.0133333333333</v>
      </c>
      <c r="Q88">
        <v>4.5</v>
      </c>
      <c r="R88">
        <f t="shared" ca="1" si="16"/>
        <v>20</v>
      </c>
      <c r="S88">
        <f t="shared" ca="1" si="17"/>
        <v>0.88180190925049518</v>
      </c>
      <c r="T88">
        <f t="shared" ca="1" si="18"/>
        <v>20.881801909250495</v>
      </c>
      <c r="U88">
        <f t="shared" ca="1" si="19"/>
        <v>43.387060366598355</v>
      </c>
    </row>
    <row r="89" spans="1:21" x14ac:dyDescent="0.45">
      <c r="A89">
        <f t="shared" ca="1" si="11"/>
        <v>17</v>
      </c>
      <c r="B89">
        <v>0.3</v>
      </c>
      <c r="C89">
        <f t="shared" ca="1" si="12"/>
        <v>16.399999999999999</v>
      </c>
      <c r="D89">
        <v>31.78</v>
      </c>
      <c r="E89" s="3">
        <v>7271</v>
      </c>
      <c r="F89">
        <v>12.77</v>
      </c>
      <c r="G89">
        <v>12.71</v>
      </c>
      <c r="H89">
        <v>54.4</v>
      </c>
      <c r="I89">
        <v>12.24</v>
      </c>
      <c r="J89">
        <v>7.35</v>
      </c>
      <c r="K89">
        <f t="shared" si="13"/>
        <v>0.15281250000000002</v>
      </c>
      <c r="M89">
        <v>32</v>
      </c>
      <c r="N89">
        <f t="shared" ca="1" si="14"/>
        <v>48.710513444431584</v>
      </c>
      <c r="O89">
        <f t="shared" ca="1" si="15"/>
        <v>20.200977785268805</v>
      </c>
      <c r="P89">
        <v>17.411111111111101</v>
      </c>
      <c r="Q89">
        <v>4.5</v>
      </c>
      <c r="R89">
        <f t="shared" ca="1" si="16"/>
        <v>19.3</v>
      </c>
      <c r="S89">
        <f t="shared" ca="1" si="17"/>
        <v>0.90097778526880412</v>
      </c>
      <c r="T89">
        <f t="shared" ca="1" si="18"/>
        <v>20.200977785268805</v>
      </c>
      <c r="U89">
        <f t="shared" ca="1" si="19"/>
        <v>48.710513444431584</v>
      </c>
    </row>
    <row r="90" spans="1:21" x14ac:dyDescent="0.45">
      <c r="A90">
        <f t="shared" ca="1" si="11"/>
        <v>21</v>
      </c>
      <c r="B90">
        <v>0.3</v>
      </c>
      <c r="C90">
        <f t="shared" ca="1" si="12"/>
        <v>14.7</v>
      </c>
      <c r="D90">
        <v>32.17</v>
      </c>
      <c r="E90" s="3">
        <v>7961</v>
      </c>
      <c r="F90">
        <v>12.95</v>
      </c>
      <c r="G90">
        <v>11.94</v>
      </c>
      <c r="H90">
        <v>51.7</v>
      </c>
      <c r="I90">
        <v>12.76</v>
      </c>
      <c r="J90">
        <v>7.23</v>
      </c>
      <c r="K90">
        <f t="shared" si="13"/>
        <v>0.14552631578947367</v>
      </c>
      <c r="M90">
        <v>38</v>
      </c>
      <c r="N90">
        <f t="shared" ca="1" si="14"/>
        <v>43.82913511499325</v>
      </c>
      <c r="O90">
        <f t="shared" ca="1" si="15"/>
        <v>20.123600378741713</v>
      </c>
      <c r="P90">
        <v>15.4524590163934</v>
      </c>
      <c r="Q90">
        <v>4.5</v>
      </c>
      <c r="R90">
        <f t="shared" ca="1" si="16"/>
        <v>19.399999999999999</v>
      </c>
      <c r="S90">
        <f t="shared" ca="1" si="17"/>
        <v>0.72360037874171834</v>
      </c>
      <c r="T90">
        <f t="shared" ca="1" si="18"/>
        <v>20.123600378741717</v>
      </c>
      <c r="U90">
        <f t="shared" ca="1" si="19"/>
        <v>43.82913511499325</v>
      </c>
    </row>
    <row r="91" spans="1:21" x14ac:dyDescent="0.45">
      <c r="A91">
        <f t="shared" ca="1" si="11"/>
        <v>22</v>
      </c>
      <c r="B91">
        <v>0.3</v>
      </c>
      <c r="C91">
        <f t="shared" ca="1" si="12"/>
        <v>15.3</v>
      </c>
      <c r="D91">
        <v>32.090000000000003</v>
      </c>
      <c r="E91" s="3">
        <v>7619</v>
      </c>
      <c r="F91">
        <v>12.72</v>
      </c>
      <c r="G91">
        <v>11.63</v>
      </c>
      <c r="H91">
        <v>51.5</v>
      </c>
      <c r="I91">
        <v>12.77</v>
      </c>
      <c r="J91">
        <v>7.34</v>
      </c>
      <c r="K91">
        <f t="shared" si="13"/>
        <v>0.13923076923076921</v>
      </c>
      <c r="M91">
        <v>39</v>
      </c>
      <c r="N91">
        <f t="shared" ca="1" si="14"/>
        <v>45.719949274194988</v>
      </c>
      <c r="O91">
        <f t="shared" ca="1" si="15"/>
        <v>20.078762434632289</v>
      </c>
      <c r="P91">
        <v>15.1838709677419</v>
      </c>
      <c r="Q91">
        <v>4.5</v>
      </c>
      <c r="R91">
        <f t="shared" ca="1" si="16"/>
        <v>19.600000000000001</v>
      </c>
      <c r="S91">
        <f t="shared" ca="1" si="17"/>
        <v>0.47876243463228241</v>
      </c>
      <c r="T91">
        <f t="shared" ca="1" si="18"/>
        <v>20.078762434632285</v>
      </c>
      <c r="U91">
        <f t="shared" ca="1" si="19"/>
        <v>45.719949274194988</v>
      </c>
    </row>
    <row r="92" spans="1:21" x14ac:dyDescent="0.45">
      <c r="A92">
        <f t="shared" ca="1" si="11"/>
        <v>18</v>
      </c>
      <c r="B92">
        <v>0.3</v>
      </c>
      <c r="C92">
        <f t="shared" ca="1" si="12"/>
        <v>16.2</v>
      </c>
      <c r="D92">
        <v>35.119999999999997</v>
      </c>
      <c r="E92" s="3">
        <v>8939</v>
      </c>
      <c r="F92">
        <v>11.42</v>
      </c>
      <c r="G92">
        <v>10.59</v>
      </c>
      <c r="H92">
        <v>56</v>
      </c>
      <c r="I92">
        <v>12.69</v>
      </c>
      <c r="J92">
        <v>7.28</v>
      </c>
      <c r="K92">
        <f t="shared" si="13"/>
        <v>9.1694915254237272E-2</v>
      </c>
      <c r="M92">
        <v>59</v>
      </c>
      <c r="N92">
        <f t="shared" ca="1" si="14"/>
        <v>50.688691021516476</v>
      </c>
      <c r="O92">
        <f t="shared" ca="1" si="15"/>
        <v>19.175874941955055</v>
      </c>
      <c r="P92">
        <v>11.6666666666667</v>
      </c>
      <c r="Q92">
        <v>4.5</v>
      </c>
      <c r="R92">
        <f t="shared" ca="1" si="16"/>
        <v>19</v>
      </c>
      <c r="S92">
        <f t="shared" ca="1" si="17"/>
        <v>0.17587494195505537</v>
      </c>
      <c r="T92">
        <f t="shared" ca="1" si="18"/>
        <v>19.175874941955055</v>
      </c>
      <c r="U92">
        <f t="shared" ca="1" si="19"/>
        <v>50.688691021516476</v>
      </c>
    </row>
    <row r="93" spans="1:21" x14ac:dyDescent="0.45">
      <c r="A93">
        <f t="shared" ca="1" si="11"/>
        <v>20</v>
      </c>
      <c r="B93">
        <v>0.3</v>
      </c>
      <c r="C93">
        <f t="shared" ca="1" si="12"/>
        <v>16.3</v>
      </c>
      <c r="D93">
        <v>33.61</v>
      </c>
      <c r="E93" s="3">
        <v>8654</v>
      </c>
      <c r="F93">
        <v>12.64</v>
      </c>
      <c r="G93">
        <v>13.18</v>
      </c>
      <c r="H93">
        <v>53</v>
      </c>
      <c r="I93">
        <v>12.48</v>
      </c>
      <c r="J93">
        <v>7.2</v>
      </c>
      <c r="K93">
        <f t="shared" si="13"/>
        <v>0.2112</v>
      </c>
      <c r="M93">
        <v>25</v>
      </c>
      <c r="N93">
        <f t="shared" ca="1" si="14"/>
        <v>47.683140669939981</v>
      </c>
      <c r="O93">
        <f t="shared" ca="1" si="15"/>
        <v>20.51039395180911</v>
      </c>
      <c r="P93">
        <v>20.080851063829801</v>
      </c>
      <c r="Q93">
        <v>4.5</v>
      </c>
      <c r="R93">
        <f t="shared" ca="1" si="16"/>
        <v>19.7</v>
      </c>
      <c r="S93">
        <f t="shared" ca="1" si="17"/>
        <v>0.81039395180911078</v>
      </c>
      <c r="T93">
        <f t="shared" ca="1" si="18"/>
        <v>20.51039395180911</v>
      </c>
      <c r="U93">
        <f t="shared" ca="1" si="19"/>
        <v>47.683140669939981</v>
      </c>
    </row>
    <row r="94" spans="1:21" x14ac:dyDescent="0.45">
      <c r="A94">
        <f t="shared" ca="1" si="11"/>
        <v>18</v>
      </c>
      <c r="B94">
        <v>0.31</v>
      </c>
      <c r="C94">
        <f t="shared" ca="1" si="12"/>
        <v>16</v>
      </c>
      <c r="D94">
        <v>34.049999999999997</v>
      </c>
      <c r="E94" s="3">
        <v>6399</v>
      </c>
      <c r="F94">
        <v>10.96</v>
      </c>
      <c r="G94">
        <v>10.71</v>
      </c>
      <c r="H94">
        <v>62.5</v>
      </c>
      <c r="I94">
        <v>12.86</v>
      </c>
      <c r="J94">
        <v>7.37</v>
      </c>
      <c r="K94">
        <f t="shared" ca="1" si="13"/>
        <v>0.21284176895934495</v>
      </c>
      <c r="M94">
        <f t="shared" ref="M94:M121" ca="1" si="20">N94-A94-Q94</f>
        <v>25.793809301822932</v>
      </c>
      <c r="N94">
        <f t="shared" ca="1" si="14"/>
        <v>48.293809301822932</v>
      </c>
      <c r="O94">
        <f t="shared" ca="1" si="15"/>
        <v>19.878324238211693</v>
      </c>
      <c r="P94">
        <v>8.1660000000000004</v>
      </c>
      <c r="Q94">
        <v>4.5</v>
      </c>
      <c r="R94">
        <f t="shared" ca="1" si="16"/>
        <v>19.100000000000001</v>
      </c>
      <c r="S94">
        <f t="shared" ca="1" si="17"/>
        <v>0.7783242382116895</v>
      </c>
      <c r="T94">
        <f t="shared" ca="1" si="18"/>
        <v>19.87832423821169</v>
      </c>
      <c r="U94">
        <f t="shared" ca="1" si="19"/>
        <v>48.293809301822932</v>
      </c>
    </row>
    <row r="95" spans="1:21" x14ac:dyDescent="0.45">
      <c r="A95">
        <f t="shared" ca="1" si="11"/>
        <v>16</v>
      </c>
      <c r="B95">
        <v>0.31</v>
      </c>
      <c r="C95">
        <f t="shared" ca="1" si="12"/>
        <v>16.3</v>
      </c>
      <c r="D95">
        <v>43.25</v>
      </c>
      <c r="E95" s="3">
        <v>6521</v>
      </c>
      <c r="F95">
        <v>14.93</v>
      </c>
      <c r="G95">
        <v>14.15</v>
      </c>
      <c r="H95">
        <v>60.1</v>
      </c>
      <c r="I95">
        <v>11.24</v>
      </c>
      <c r="J95">
        <v>7.43</v>
      </c>
      <c r="K95">
        <f t="shared" ca="1" si="13"/>
        <v>0.12485397469317386</v>
      </c>
      <c r="M95">
        <f t="shared" ca="1" si="20"/>
        <v>30.515648455429627</v>
      </c>
      <c r="N95">
        <f t="shared" ca="1" si="14"/>
        <v>51.015648455429627</v>
      </c>
      <c r="O95">
        <f t="shared" ca="1" si="15"/>
        <v>19.17058842943926</v>
      </c>
      <c r="P95">
        <v>10.2418604651163</v>
      </c>
      <c r="Q95">
        <v>4.5</v>
      </c>
      <c r="R95">
        <f t="shared" ca="1" si="16"/>
        <v>19</v>
      </c>
      <c r="S95">
        <f t="shared" ca="1" si="17"/>
        <v>0.170588429439258</v>
      </c>
      <c r="T95">
        <f t="shared" ca="1" si="18"/>
        <v>19.17058842943926</v>
      </c>
      <c r="U95">
        <f t="shared" ca="1" si="19"/>
        <v>51.015648455429627</v>
      </c>
    </row>
    <row r="96" spans="1:21" x14ac:dyDescent="0.45">
      <c r="A96">
        <f t="shared" ca="1" si="11"/>
        <v>19</v>
      </c>
      <c r="B96">
        <v>0.31</v>
      </c>
      <c r="C96">
        <f t="shared" ca="1" si="12"/>
        <v>16.399999999999999</v>
      </c>
      <c r="D96">
        <v>46.33</v>
      </c>
      <c r="E96" s="3">
        <v>6520</v>
      </c>
      <c r="F96">
        <v>6.93</v>
      </c>
      <c r="G96">
        <v>0.15</v>
      </c>
      <c r="H96">
        <v>60.22</v>
      </c>
      <c r="I96">
        <v>12.7</v>
      </c>
      <c r="J96">
        <v>7.32</v>
      </c>
      <c r="K96">
        <f t="shared" ca="1" si="13"/>
        <v>0.20716823530198356</v>
      </c>
      <c r="M96">
        <f t="shared" ca="1" si="20"/>
        <v>25.969232166107503</v>
      </c>
      <c r="N96">
        <f t="shared" ca="1" si="14"/>
        <v>49.469232166107503</v>
      </c>
      <c r="O96">
        <f t="shared" ca="1" si="15"/>
        <v>19.891151669707153</v>
      </c>
      <c r="P96">
        <v>10.6421052631579</v>
      </c>
      <c r="Q96">
        <v>4.5</v>
      </c>
      <c r="R96">
        <f t="shared" ca="1" si="16"/>
        <v>19.399999999999999</v>
      </c>
      <c r="S96">
        <f t="shared" ca="1" si="17"/>
        <v>0.49115166970715096</v>
      </c>
      <c r="T96">
        <f t="shared" ca="1" si="18"/>
        <v>19.891151669707149</v>
      </c>
      <c r="U96">
        <f t="shared" ca="1" si="19"/>
        <v>49.469232166107503</v>
      </c>
    </row>
    <row r="97" spans="1:21" x14ac:dyDescent="0.45">
      <c r="A97">
        <f t="shared" ca="1" si="11"/>
        <v>22</v>
      </c>
      <c r="B97">
        <v>0.31</v>
      </c>
      <c r="C97">
        <f t="shared" ca="1" si="12"/>
        <v>16</v>
      </c>
      <c r="D97">
        <v>41.31</v>
      </c>
      <c r="E97" s="3">
        <v>6232</v>
      </c>
      <c r="F97">
        <v>13.29</v>
      </c>
      <c r="G97">
        <v>12.66</v>
      </c>
      <c r="H97">
        <v>59.3</v>
      </c>
      <c r="I97">
        <v>10.130000000000001</v>
      </c>
      <c r="J97">
        <v>7.42</v>
      </c>
      <c r="K97">
        <f t="shared" ca="1" si="13"/>
        <v>0.11927753720538022</v>
      </c>
      <c r="M97">
        <f t="shared" ca="1" si="20"/>
        <v>22.720120346999934</v>
      </c>
      <c r="N97">
        <f t="shared" ca="1" si="14"/>
        <v>49.220120346999934</v>
      </c>
      <c r="O97">
        <f t="shared" ca="1" si="15"/>
        <v>19.504218868869831</v>
      </c>
      <c r="P97">
        <v>10.6973684210526</v>
      </c>
      <c r="Q97">
        <v>4.5</v>
      </c>
      <c r="R97">
        <f t="shared" ca="1" si="16"/>
        <v>19.2</v>
      </c>
      <c r="S97">
        <f t="shared" ca="1" si="17"/>
        <v>0.3042188688698334</v>
      </c>
      <c r="T97">
        <f t="shared" ca="1" si="18"/>
        <v>19.504218868869831</v>
      </c>
      <c r="U97">
        <f t="shared" ca="1" si="19"/>
        <v>49.220120346999934</v>
      </c>
    </row>
    <row r="98" spans="1:21" s="2" customFormat="1" x14ac:dyDescent="0.45">
      <c r="A98" s="2">
        <f t="shared" ca="1" si="11"/>
        <v>18</v>
      </c>
      <c r="B98" s="2">
        <v>0.31</v>
      </c>
      <c r="C98" s="2">
        <f t="shared" ca="1" si="12"/>
        <v>14.8</v>
      </c>
      <c r="D98" s="2">
        <v>41.32</v>
      </c>
      <c r="E98" s="4">
        <v>6359</v>
      </c>
      <c r="F98" s="2">
        <v>10.42</v>
      </c>
      <c r="G98" s="2">
        <v>9.8000000000000007</v>
      </c>
      <c r="H98" s="2">
        <v>59.6</v>
      </c>
      <c r="I98" s="2">
        <v>12.41</v>
      </c>
      <c r="J98" s="2">
        <v>7.25</v>
      </c>
      <c r="K98" s="2">
        <f t="shared" ca="1" si="13"/>
        <v>0.23901561495476276</v>
      </c>
      <c r="M98" s="2">
        <f t="shared" ca="1" si="20"/>
        <v>21.588547681190647</v>
      </c>
      <c r="N98" s="2">
        <f t="shared" ca="1" si="14"/>
        <v>44.088547681190647</v>
      </c>
      <c r="O98" s="2">
        <f t="shared" ca="1" si="15"/>
        <v>20.141284907392052</v>
      </c>
      <c r="P98" s="2">
        <v>11.139130434782601</v>
      </c>
      <c r="Q98" s="2">
        <v>4.5</v>
      </c>
      <c r="R98" s="2">
        <f t="shared" ca="1" si="16"/>
        <v>20</v>
      </c>
      <c r="S98" s="2">
        <f t="shared" ca="1" si="17"/>
        <v>0.14128490739205113</v>
      </c>
      <c r="T98" s="2">
        <f t="shared" ca="1" si="18"/>
        <v>20.141284907392052</v>
      </c>
      <c r="U98" s="2">
        <f t="shared" ca="1" si="19"/>
        <v>44.088547681190647</v>
      </c>
    </row>
    <row r="99" spans="1:21" x14ac:dyDescent="0.45">
      <c r="A99">
        <f t="shared" ca="1" si="11"/>
        <v>16</v>
      </c>
      <c r="B99">
        <v>0.31</v>
      </c>
      <c r="C99">
        <f t="shared" ca="1" si="12"/>
        <v>14.9</v>
      </c>
      <c r="D99">
        <v>36.14</v>
      </c>
      <c r="E99" s="3">
        <v>6821</v>
      </c>
      <c r="F99">
        <v>15</v>
      </c>
      <c r="G99">
        <v>14.32</v>
      </c>
      <c r="H99">
        <v>60.23</v>
      </c>
      <c r="I99">
        <v>11.5</v>
      </c>
      <c r="J99">
        <v>7.34</v>
      </c>
      <c r="K99">
        <f t="shared" ca="1" si="13"/>
        <v>0.16961523960160035</v>
      </c>
      <c r="M99">
        <f t="shared" ca="1" si="20"/>
        <v>24.526098066253887</v>
      </c>
      <c r="N99">
        <f t="shared" ca="1" si="14"/>
        <v>45.026098066253887</v>
      </c>
      <c r="O99">
        <f t="shared" ca="1" si="15"/>
        <v>19.85515153199638</v>
      </c>
      <c r="P99">
        <v>15.67</v>
      </c>
      <c r="Q99">
        <v>4.5</v>
      </c>
      <c r="R99">
        <f t="shared" ca="1" si="16"/>
        <v>19.8</v>
      </c>
      <c r="S99">
        <f t="shared" ca="1" si="17"/>
        <v>5.5151531996377234E-2</v>
      </c>
      <c r="T99">
        <f t="shared" ca="1" si="18"/>
        <v>19.855151531996377</v>
      </c>
      <c r="U99">
        <f t="shared" ca="1" si="19"/>
        <v>45.026098066253887</v>
      </c>
    </row>
    <row r="100" spans="1:21" x14ac:dyDescent="0.45">
      <c r="A100">
        <f t="shared" ca="1" si="11"/>
        <v>17</v>
      </c>
      <c r="B100">
        <v>0.31</v>
      </c>
      <c r="C100">
        <f t="shared" ca="1" si="12"/>
        <v>14.5</v>
      </c>
      <c r="D100">
        <v>48.14</v>
      </c>
      <c r="E100" s="3">
        <v>6428</v>
      </c>
      <c r="F100">
        <v>9.59</v>
      </c>
      <c r="G100">
        <v>7.49</v>
      </c>
      <c r="H100">
        <v>62.8</v>
      </c>
      <c r="I100">
        <v>12.14</v>
      </c>
      <c r="J100">
        <v>7.15</v>
      </c>
      <c r="K100">
        <f t="shared" ca="1" si="13"/>
        <v>0.23155520039275221</v>
      </c>
      <c r="M100">
        <f t="shared" ca="1" si="20"/>
        <v>21.549937084272841</v>
      </c>
      <c r="N100">
        <f t="shared" ca="1" si="14"/>
        <v>43.049937084272841</v>
      </c>
      <c r="O100">
        <f t="shared" ca="1" si="15"/>
        <v>20.209088768165273</v>
      </c>
      <c r="P100">
        <v>9.7734939759036106</v>
      </c>
      <c r="Q100">
        <v>4.5</v>
      </c>
      <c r="R100">
        <f t="shared" ca="1" si="16"/>
        <v>19.399999999999999</v>
      </c>
      <c r="S100">
        <f t="shared" ca="1" si="17"/>
        <v>0.80908876816527464</v>
      </c>
      <c r="T100">
        <f t="shared" ca="1" si="18"/>
        <v>20.209088768165273</v>
      </c>
      <c r="U100">
        <f t="shared" ca="1" si="19"/>
        <v>43.049937084272841</v>
      </c>
    </row>
    <row r="101" spans="1:21" x14ac:dyDescent="0.45">
      <c r="A101">
        <f t="shared" ca="1" si="11"/>
        <v>19</v>
      </c>
      <c r="B101">
        <v>0.31</v>
      </c>
      <c r="C101">
        <f t="shared" ca="1" si="12"/>
        <v>16.3</v>
      </c>
      <c r="D101">
        <v>33.78</v>
      </c>
      <c r="E101" s="3">
        <v>6248</v>
      </c>
      <c r="F101">
        <v>7.98</v>
      </c>
      <c r="G101">
        <v>8.1199999999999992</v>
      </c>
      <c r="H101">
        <v>60.84</v>
      </c>
      <c r="I101">
        <v>12.85</v>
      </c>
      <c r="J101">
        <v>7.13</v>
      </c>
      <c r="K101">
        <f t="shared" ca="1" si="13"/>
        <v>0.21203137854848311</v>
      </c>
      <c r="M101">
        <f t="shared" ca="1" si="20"/>
        <v>26.977139134583631</v>
      </c>
      <c r="N101">
        <f t="shared" ca="1" si="14"/>
        <v>50.477139134583631</v>
      </c>
      <c r="O101">
        <f t="shared" ca="1" si="15"/>
        <v>19.375107558937277</v>
      </c>
      <c r="P101">
        <v>16.2268656716418</v>
      </c>
      <c r="Q101">
        <v>4.5</v>
      </c>
      <c r="R101">
        <f t="shared" ca="1" si="16"/>
        <v>19.100000000000001</v>
      </c>
      <c r="S101">
        <f t="shared" ca="1" si="17"/>
        <v>0.27510755893727634</v>
      </c>
      <c r="T101">
        <f t="shared" ca="1" si="18"/>
        <v>19.375107558937277</v>
      </c>
      <c r="U101">
        <f t="shared" ca="1" si="19"/>
        <v>50.477139134583631</v>
      </c>
    </row>
    <row r="102" spans="1:21" x14ac:dyDescent="0.45">
      <c r="A102">
        <f t="shared" ca="1" si="11"/>
        <v>16</v>
      </c>
      <c r="B102">
        <v>0.31</v>
      </c>
      <c r="C102">
        <f t="shared" ca="1" si="12"/>
        <v>15</v>
      </c>
      <c r="D102">
        <v>33.909999999999997</v>
      </c>
      <c r="E102" s="3">
        <v>6842</v>
      </c>
      <c r="F102">
        <v>11.08</v>
      </c>
      <c r="G102">
        <v>5.27</v>
      </c>
      <c r="H102">
        <v>54.6</v>
      </c>
      <c r="I102">
        <v>12.96</v>
      </c>
      <c r="J102">
        <v>7.39</v>
      </c>
      <c r="K102">
        <f t="shared" ca="1" si="13"/>
        <v>0.23920401737540331</v>
      </c>
      <c r="M102">
        <f t="shared" ca="1" si="20"/>
        <v>23.285562095132057</v>
      </c>
      <c r="N102">
        <f t="shared" ca="1" si="14"/>
        <v>43.785562095132057</v>
      </c>
      <c r="O102">
        <f t="shared" ca="1" si="15"/>
        <v>20.554720710095879</v>
      </c>
      <c r="P102">
        <v>17.366666666666699</v>
      </c>
      <c r="Q102">
        <v>4.5</v>
      </c>
      <c r="R102">
        <f t="shared" ca="1" si="16"/>
        <v>19.8</v>
      </c>
      <c r="S102">
        <f t="shared" ca="1" si="17"/>
        <v>0.75472071009587871</v>
      </c>
      <c r="T102">
        <f t="shared" ca="1" si="18"/>
        <v>20.554720710095879</v>
      </c>
      <c r="U102">
        <f t="shared" ca="1" si="19"/>
        <v>43.785562095132057</v>
      </c>
    </row>
    <row r="103" spans="1:21" x14ac:dyDescent="0.45">
      <c r="A103">
        <f t="shared" ca="1" si="11"/>
        <v>20</v>
      </c>
      <c r="B103">
        <v>0.31</v>
      </c>
      <c r="C103">
        <f t="shared" ca="1" si="12"/>
        <v>16.2</v>
      </c>
      <c r="D103">
        <v>36.869999999999997</v>
      </c>
      <c r="E103" s="3">
        <v>6542</v>
      </c>
      <c r="F103">
        <v>13.38</v>
      </c>
      <c r="G103">
        <v>14.88</v>
      </c>
      <c r="H103">
        <v>58.24</v>
      </c>
      <c r="I103">
        <v>12.69</v>
      </c>
      <c r="J103">
        <v>7</v>
      </c>
      <c r="K103">
        <f t="shared" ca="1" si="13"/>
        <v>0.2431174355445575</v>
      </c>
      <c r="M103">
        <f t="shared" ca="1" si="20"/>
        <v>23.404327160884193</v>
      </c>
      <c r="N103">
        <f t="shared" ca="1" si="14"/>
        <v>47.904327160884193</v>
      </c>
      <c r="O103">
        <f t="shared" ca="1" si="15"/>
        <v>20.29044258852835</v>
      </c>
      <c r="P103">
        <v>11.8571428571429</v>
      </c>
      <c r="Q103">
        <v>4.5</v>
      </c>
      <c r="R103">
        <f t="shared" ca="1" si="16"/>
        <v>19.600000000000001</v>
      </c>
      <c r="S103">
        <f t="shared" ca="1" si="17"/>
        <v>0.69044258852834783</v>
      </c>
      <c r="T103">
        <f t="shared" ca="1" si="18"/>
        <v>20.29044258852835</v>
      </c>
      <c r="U103">
        <f t="shared" ca="1" si="19"/>
        <v>47.904327160884193</v>
      </c>
    </row>
    <row r="104" spans="1:21" x14ac:dyDescent="0.45">
      <c r="A104">
        <f t="shared" ca="1" si="11"/>
        <v>19</v>
      </c>
      <c r="B104">
        <v>0.31</v>
      </c>
      <c r="C104">
        <f t="shared" ca="1" si="12"/>
        <v>15.2</v>
      </c>
      <c r="D104">
        <v>41.22</v>
      </c>
      <c r="E104" s="3">
        <v>6658</v>
      </c>
      <c r="F104">
        <v>13.57</v>
      </c>
      <c r="G104">
        <v>13.78</v>
      </c>
      <c r="H104">
        <v>53.6</v>
      </c>
      <c r="I104">
        <v>12.34</v>
      </c>
      <c r="J104">
        <v>7.32</v>
      </c>
      <c r="K104">
        <f t="shared" ca="1" si="13"/>
        <v>0.24601841864094728</v>
      </c>
      <c r="M104">
        <f t="shared" ca="1" si="20"/>
        <v>20.404976292959844</v>
      </c>
      <c r="N104">
        <f t="shared" ca="1" si="14"/>
        <v>43.904976292959844</v>
      </c>
      <c r="O104">
        <f t="shared" ca="1" si="15"/>
        <v>20.772132842404908</v>
      </c>
      <c r="P104">
        <v>13.549253731343301</v>
      </c>
      <c r="Q104">
        <v>4.5</v>
      </c>
      <c r="R104">
        <f t="shared" ca="1" si="16"/>
        <v>19.8</v>
      </c>
      <c r="S104">
        <f t="shared" ca="1" si="17"/>
        <v>0.97213284240490594</v>
      </c>
      <c r="T104">
        <f t="shared" ca="1" si="18"/>
        <v>20.772132842404908</v>
      </c>
      <c r="U104">
        <f t="shared" ca="1" si="19"/>
        <v>43.904976292959844</v>
      </c>
    </row>
    <row r="105" spans="1:21" x14ac:dyDescent="0.45">
      <c r="A105">
        <f t="shared" ca="1" si="11"/>
        <v>22</v>
      </c>
      <c r="B105">
        <v>0.31</v>
      </c>
      <c r="C105">
        <f t="shared" ca="1" si="12"/>
        <v>15.6</v>
      </c>
      <c r="D105">
        <v>38.549999999999997</v>
      </c>
      <c r="E105" s="3">
        <v>6626</v>
      </c>
      <c r="F105">
        <v>10.77</v>
      </c>
      <c r="G105">
        <v>9.49</v>
      </c>
      <c r="H105">
        <v>53</v>
      </c>
      <c r="I105">
        <v>12.23</v>
      </c>
      <c r="J105">
        <v>7.35</v>
      </c>
      <c r="K105">
        <f t="shared" ca="1" si="13"/>
        <v>0.25375937436693524</v>
      </c>
      <c r="M105">
        <f t="shared" ca="1" si="20"/>
        <v>19.230816643421953</v>
      </c>
      <c r="N105">
        <f t="shared" ca="1" si="14"/>
        <v>45.730816643421953</v>
      </c>
      <c r="O105">
        <f t="shared" ca="1" si="15"/>
        <v>20.467598628257534</v>
      </c>
      <c r="P105">
        <v>15.009523809523801</v>
      </c>
      <c r="Q105">
        <v>4.5</v>
      </c>
      <c r="R105">
        <f t="shared" ca="1" si="16"/>
        <v>19.600000000000001</v>
      </c>
      <c r="S105">
        <f t="shared" ca="1" si="17"/>
        <v>0.8675986282575322</v>
      </c>
      <c r="T105">
        <f t="shared" ca="1" si="18"/>
        <v>20.467598628257534</v>
      </c>
      <c r="U105">
        <f t="shared" ca="1" si="19"/>
        <v>45.730816643421953</v>
      </c>
    </row>
    <row r="106" spans="1:21" x14ac:dyDescent="0.45">
      <c r="A106">
        <f t="shared" ca="1" si="11"/>
        <v>22</v>
      </c>
      <c r="B106">
        <v>0.31</v>
      </c>
      <c r="C106">
        <f t="shared" ca="1" si="12"/>
        <v>14.7</v>
      </c>
      <c r="D106">
        <v>39.76</v>
      </c>
      <c r="E106" s="3">
        <v>6579</v>
      </c>
      <c r="F106">
        <v>11.91</v>
      </c>
      <c r="G106">
        <v>11.7</v>
      </c>
      <c r="H106">
        <v>53.8</v>
      </c>
      <c r="I106">
        <v>12.01</v>
      </c>
      <c r="J106">
        <v>7.14</v>
      </c>
      <c r="K106">
        <f t="shared" ca="1" si="13"/>
        <v>0.27373365318285214</v>
      </c>
      <c r="M106">
        <f t="shared" ca="1" si="20"/>
        <v>17.791016717797845</v>
      </c>
      <c r="N106">
        <f t="shared" ca="1" si="14"/>
        <v>44.291016717797845</v>
      </c>
      <c r="O106">
        <f t="shared" ca="1" si="15"/>
        <v>19.913744713057767</v>
      </c>
      <c r="P106">
        <v>12.4342105263158</v>
      </c>
      <c r="Q106">
        <v>4.5</v>
      </c>
      <c r="R106">
        <f t="shared" ca="1" si="16"/>
        <v>19.7</v>
      </c>
      <c r="S106">
        <f t="shared" ca="1" si="17"/>
        <v>0.2137447130577691</v>
      </c>
      <c r="T106">
        <f t="shared" ca="1" si="18"/>
        <v>19.913744713057767</v>
      </c>
      <c r="U106">
        <f t="shared" ca="1" si="19"/>
        <v>44.291016717797845</v>
      </c>
    </row>
    <row r="107" spans="1:21" x14ac:dyDescent="0.45">
      <c r="A107">
        <f t="shared" ca="1" si="11"/>
        <v>20</v>
      </c>
      <c r="B107">
        <v>0.31</v>
      </c>
      <c r="C107">
        <f t="shared" ca="1" si="12"/>
        <v>16.399999999999999</v>
      </c>
      <c r="D107">
        <v>39.4</v>
      </c>
      <c r="E107" s="3">
        <v>6159</v>
      </c>
      <c r="F107">
        <v>8.67</v>
      </c>
      <c r="G107">
        <v>6.79</v>
      </c>
      <c r="H107">
        <v>59.4</v>
      </c>
      <c r="I107">
        <v>11.97</v>
      </c>
      <c r="J107">
        <v>7.1</v>
      </c>
      <c r="K107">
        <f t="shared" ca="1" si="13"/>
        <v>0.17879005951962851</v>
      </c>
      <c r="M107">
        <f t="shared" ca="1" si="20"/>
        <v>27.238650812492999</v>
      </c>
      <c r="N107">
        <f t="shared" ca="1" si="14"/>
        <v>51.738650812492999</v>
      </c>
      <c r="O107">
        <f t="shared" ca="1" si="15"/>
        <v>19.018663698172816</v>
      </c>
      <c r="P107">
        <v>11.0720930232558</v>
      </c>
      <c r="Q107">
        <v>4.5</v>
      </c>
      <c r="R107">
        <f t="shared" ca="1" si="16"/>
        <v>19</v>
      </c>
      <c r="S107">
        <f t="shared" ca="1" si="17"/>
        <v>1.8663698172810661E-2</v>
      </c>
      <c r="T107">
        <f t="shared" ca="1" si="18"/>
        <v>19.018663698172812</v>
      </c>
      <c r="U107">
        <f t="shared" ca="1" si="19"/>
        <v>51.738650812492999</v>
      </c>
    </row>
    <row r="108" spans="1:21" x14ac:dyDescent="0.45">
      <c r="A108">
        <f t="shared" ca="1" si="11"/>
        <v>16</v>
      </c>
      <c r="B108">
        <v>0.31</v>
      </c>
      <c r="C108">
        <f t="shared" ca="1" si="12"/>
        <v>15.9</v>
      </c>
      <c r="D108">
        <v>39.909999999999997</v>
      </c>
      <c r="E108" s="3">
        <v>6642</v>
      </c>
      <c r="F108">
        <v>11.45</v>
      </c>
      <c r="G108">
        <v>11.67</v>
      </c>
      <c r="H108">
        <v>54.9</v>
      </c>
      <c r="I108">
        <v>12.2</v>
      </c>
      <c r="J108">
        <v>7.21</v>
      </c>
      <c r="K108">
        <f t="shared" ca="1" si="13"/>
        <v>0.19562509977453979</v>
      </c>
      <c r="M108">
        <f t="shared" ca="1" si="20"/>
        <v>25.507974210625491</v>
      </c>
      <c r="N108">
        <f t="shared" ca="1" si="14"/>
        <v>46.007974210625491</v>
      </c>
      <c r="O108">
        <f t="shared" ca="1" si="15"/>
        <v>20.735535879770918</v>
      </c>
      <c r="P108">
        <v>11.271428571428601</v>
      </c>
      <c r="Q108">
        <v>4.5</v>
      </c>
      <c r="R108">
        <f t="shared" ca="1" si="16"/>
        <v>19.8</v>
      </c>
      <c r="S108">
        <f t="shared" ca="1" si="17"/>
        <v>0.93553587977091601</v>
      </c>
      <c r="T108">
        <f t="shared" ca="1" si="18"/>
        <v>20.735535879770918</v>
      </c>
      <c r="U108">
        <f t="shared" ca="1" si="19"/>
        <v>46.007974210625491</v>
      </c>
    </row>
    <row r="109" spans="1:21" x14ac:dyDescent="0.45">
      <c r="A109">
        <f t="shared" ca="1" si="11"/>
        <v>21</v>
      </c>
      <c r="B109">
        <v>0.31</v>
      </c>
      <c r="C109">
        <f t="shared" ca="1" si="12"/>
        <v>16.5</v>
      </c>
      <c r="D109">
        <v>36.53</v>
      </c>
      <c r="E109" s="3">
        <v>6412</v>
      </c>
      <c r="F109">
        <v>8.09</v>
      </c>
      <c r="G109">
        <v>12.84</v>
      </c>
      <c r="H109">
        <v>60</v>
      </c>
      <c r="I109">
        <v>12.54</v>
      </c>
      <c r="J109">
        <v>7</v>
      </c>
      <c r="K109">
        <f t="shared" ca="1" si="13"/>
        <v>0.23249743532839634</v>
      </c>
      <c r="M109">
        <f t="shared" ca="1" si="20"/>
        <v>23.828219834661397</v>
      </c>
      <c r="N109">
        <f t="shared" ca="1" si="14"/>
        <v>49.328219834661397</v>
      </c>
      <c r="O109">
        <f t="shared" ca="1" si="15"/>
        <v>20.069647826706245</v>
      </c>
      <c r="P109">
        <v>13.116666666666699</v>
      </c>
      <c r="Q109">
        <v>4.5</v>
      </c>
      <c r="R109">
        <f t="shared" ca="1" si="16"/>
        <v>19.3</v>
      </c>
      <c r="S109">
        <f t="shared" ca="1" si="17"/>
        <v>0.76964782670624443</v>
      </c>
      <c r="T109">
        <f t="shared" ca="1" si="18"/>
        <v>20.069647826706245</v>
      </c>
      <c r="U109">
        <f t="shared" ca="1" si="19"/>
        <v>49.328219834661397</v>
      </c>
    </row>
    <row r="110" spans="1:21" x14ac:dyDescent="0.45">
      <c r="A110">
        <f t="shared" ca="1" si="11"/>
        <v>21</v>
      </c>
      <c r="B110">
        <v>0.31</v>
      </c>
      <c r="C110">
        <f t="shared" ca="1" si="12"/>
        <v>15.1</v>
      </c>
      <c r="D110">
        <v>39.270000000000003</v>
      </c>
      <c r="E110" s="3">
        <v>6588</v>
      </c>
      <c r="F110">
        <v>11.05</v>
      </c>
      <c r="G110">
        <v>13.53</v>
      </c>
      <c r="H110">
        <v>51</v>
      </c>
      <c r="I110">
        <v>12.87</v>
      </c>
      <c r="J110">
        <v>7.2</v>
      </c>
      <c r="K110">
        <f t="shared" ca="1" si="13"/>
        <v>0.31809373140598612</v>
      </c>
      <c r="M110">
        <f t="shared" ca="1" si="20"/>
        <v>17.824934728950453</v>
      </c>
      <c r="N110">
        <f t="shared" ca="1" si="14"/>
        <v>43.324934728950453</v>
      </c>
      <c r="O110">
        <f t="shared" ca="1" si="15"/>
        <v>20.911745295592919</v>
      </c>
      <c r="P110">
        <v>15.4548387096774</v>
      </c>
      <c r="Q110">
        <v>4.5</v>
      </c>
      <c r="R110">
        <f t="shared" ca="1" si="16"/>
        <v>20</v>
      </c>
      <c r="S110">
        <f t="shared" ca="1" si="17"/>
        <v>0.91174529559292083</v>
      </c>
      <c r="T110">
        <f t="shared" ca="1" si="18"/>
        <v>20.911745295592922</v>
      </c>
      <c r="U110">
        <f t="shared" ca="1" si="19"/>
        <v>43.324934728950453</v>
      </c>
    </row>
    <row r="111" spans="1:21" x14ac:dyDescent="0.45">
      <c r="A111">
        <f t="shared" ca="1" si="11"/>
        <v>16</v>
      </c>
      <c r="B111">
        <v>0.31</v>
      </c>
      <c r="C111">
        <f t="shared" ca="1" si="12"/>
        <v>14.6</v>
      </c>
      <c r="D111">
        <v>39.93</v>
      </c>
      <c r="E111" s="3">
        <v>6355</v>
      </c>
      <c r="F111">
        <v>8.9700000000000006</v>
      </c>
      <c r="G111">
        <v>10.98</v>
      </c>
      <c r="H111">
        <v>56</v>
      </c>
      <c r="I111">
        <v>12.86</v>
      </c>
      <c r="J111">
        <v>7.11</v>
      </c>
      <c r="K111">
        <f t="shared" ca="1" si="13"/>
        <v>0.25852444063265767</v>
      </c>
      <c r="M111">
        <f t="shared" ca="1" si="20"/>
        <v>22.241610835434642</v>
      </c>
      <c r="N111">
        <f t="shared" ca="1" si="14"/>
        <v>42.741610835434642</v>
      </c>
      <c r="O111">
        <f t="shared" ca="1" si="15"/>
        <v>20.495250012284473</v>
      </c>
      <c r="P111">
        <v>11.9175</v>
      </c>
      <c r="Q111">
        <v>4.5</v>
      </c>
      <c r="R111">
        <f t="shared" ca="1" si="16"/>
        <v>20</v>
      </c>
      <c r="S111">
        <f t="shared" ca="1" si="17"/>
        <v>0.49525001228447318</v>
      </c>
      <c r="T111">
        <f t="shared" ca="1" si="18"/>
        <v>20.495250012284473</v>
      </c>
      <c r="U111">
        <f t="shared" ca="1" si="19"/>
        <v>42.741610835434642</v>
      </c>
    </row>
    <row r="112" spans="1:21" x14ac:dyDescent="0.45">
      <c r="A112">
        <f t="shared" ca="1" si="11"/>
        <v>16</v>
      </c>
      <c r="B112">
        <v>0.31</v>
      </c>
      <c r="C112">
        <f t="shared" ca="1" si="12"/>
        <v>15.7</v>
      </c>
      <c r="D112">
        <v>40.85</v>
      </c>
      <c r="E112" s="3">
        <v>6493</v>
      </c>
      <c r="F112">
        <v>11.97</v>
      </c>
      <c r="G112">
        <v>11.46</v>
      </c>
      <c r="H112">
        <v>52.9</v>
      </c>
      <c r="I112">
        <v>12.79</v>
      </c>
      <c r="J112">
        <v>7.11</v>
      </c>
      <c r="K112">
        <f t="shared" ca="1" si="13"/>
        <v>0.19960498602850144</v>
      </c>
      <c r="M112">
        <f t="shared" ca="1" si="20"/>
        <v>28.456202988781833</v>
      </c>
      <c r="N112">
        <f t="shared" ca="1" si="14"/>
        <v>48.956202988781833</v>
      </c>
      <c r="O112">
        <f t="shared" ca="1" si="15"/>
        <v>19.241688335507892</v>
      </c>
      <c r="P112">
        <v>12.257142857142901</v>
      </c>
      <c r="Q112">
        <v>4.5</v>
      </c>
      <c r="R112">
        <f t="shared" ca="1" si="16"/>
        <v>19</v>
      </c>
      <c r="S112">
        <f t="shared" ca="1" si="17"/>
        <v>0.24168833550789293</v>
      </c>
      <c r="T112">
        <f t="shared" ca="1" si="18"/>
        <v>19.241688335507892</v>
      </c>
      <c r="U112">
        <f t="shared" ca="1" si="19"/>
        <v>48.956202988781833</v>
      </c>
    </row>
    <row r="113" spans="1:21" x14ac:dyDescent="0.45">
      <c r="A113">
        <f t="shared" ca="1" si="11"/>
        <v>17</v>
      </c>
      <c r="B113">
        <v>0.31</v>
      </c>
      <c r="C113">
        <f t="shared" ca="1" si="12"/>
        <v>14.9</v>
      </c>
      <c r="D113">
        <v>41.19</v>
      </c>
      <c r="E113" s="3">
        <v>6652</v>
      </c>
      <c r="F113">
        <v>12.23</v>
      </c>
      <c r="G113">
        <v>9.0500000000000007</v>
      </c>
      <c r="H113">
        <v>60.25</v>
      </c>
      <c r="I113">
        <v>12.47</v>
      </c>
      <c r="J113">
        <v>7.1</v>
      </c>
      <c r="K113">
        <f t="shared" ca="1" si="13"/>
        <v>0.21839987065047306</v>
      </c>
      <c r="M113">
        <f t="shared" ca="1" si="20"/>
        <v>24.587926650351108</v>
      </c>
      <c r="N113">
        <f t="shared" ca="1" si="14"/>
        <v>46.087926650351108</v>
      </c>
      <c r="O113">
        <f t="shared" ca="1" si="15"/>
        <v>19.397704886626514</v>
      </c>
      <c r="P113">
        <v>10.967441860465099</v>
      </c>
      <c r="Q113">
        <v>4.5</v>
      </c>
      <c r="R113">
        <f t="shared" ca="1" si="16"/>
        <v>19.100000000000001</v>
      </c>
      <c r="S113">
        <f t="shared" ca="1" si="17"/>
        <v>0.2977048866265114</v>
      </c>
      <c r="T113">
        <f t="shared" ca="1" si="18"/>
        <v>19.397704886626514</v>
      </c>
      <c r="U113">
        <f t="shared" ca="1" si="19"/>
        <v>46.087926650351108</v>
      </c>
    </row>
    <row r="114" spans="1:21" x14ac:dyDescent="0.45">
      <c r="A114">
        <f t="shared" ca="1" si="11"/>
        <v>16</v>
      </c>
      <c r="B114">
        <v>0.31</v>
      </c>
      <c r="C114">
        <f t="shared" ca="1" si="12"/>
        <v>15.6</v>
      </c>
      <c r="D114">
        <v>34.450000000000003</v>
      </c>
      <c r="E114" s="3">
        <v>4724</v>
      </c>
      <c r="F114">
        <v>11.51</v>
      </c>
      <c r="G114">
        <v>10.67</v>
      </c>
      <c r="H114">
        <v>50.6</v>
      </c>
      <c r="I114">
        <v>12.31</v>
      </c>
      <c r="J114">
        <v>7.16</v>
      </c>
      <c r="K114">
        <f t="shared" ca="1" si="13"/>
        <v>0.19439474572558005</v>
      </c>
      <c r="M114">
        <f t="shared" ca="1" si="20"/>
        <v>26.492485590480243</v>
      </c>
      <c r="N114">
        <f t="shared" ca="1" si="14"/>
        <v>46.992485590480243</v>
      </c>
      <c r="O114">
        <f t="shared" ca="1" si="15"/>
        <v>19.918078140340278</v>
      </c>
      <c r="P114">
        <v>7.5932773109243703</v>
      </c>
      <c r="Q114">
        <v>4.5</v>
      </c>
      <c r="R114">
        <f t="shared" ca="1" si="16"/>
        <v>19.7</v>
      </c>
      <c r="S114">
        <f t="shared" ca="1" si="17"/>
        <v>0.21807814034027739</v>
      </c>
      <c r="T114">
        <f t="shared" ca="1" si="18"/>
        <v>19.918078140340278</v>
      </c>
      <c r="U114">
        <f t="shared" ca="1" si="19"/>
        <v>46.992485590480243</v>
      </c>
    </row>
    <row r="115" spans="1:21" x14ac:dyDescent="0.45">
      <c r="A115">
        <f t="shared" ca="1" si="11"/>
        <v>20</v>
      </c>
      <c r="B115">
        <v>0.31</v>
      </c>
      <c r="C115">
        <f t="shared" ca="1" si="12"/>
        <v>15.7</v>
      </c>
      <c r="D115">
        <v>33.19</v>
      </c>
      <c r="E115" s="3">
        <v>5322</v>
      </c>
      <c r="F115">
        <v>3.97</v>
      </c>
      <c r="G115">
        <v>7.41</v>
      </c>
      <c r="H115">
        <v>55.2</v>
      </c>
      <c r="I115">
        <v>12.38</v>
      </c>
      <c r="J115">
        <v>7.15</v>
      </c>
      <c r="K115">
        <f t="shared" ca="1" si="13"/>
        <v>0.21966597826108916</v>
      </c>
      <c r="M115">
        <f t="shared" ca="1" si="20"/>
        <v>23.808875827752267</v>
      </c>
      <c r="N115">
        <f t="shared" ca="1" si="14"/>
        <v>48.308875827752267</v>
      </c>
      <c r="O115">
        <f t="shared" ca="1" si="15"/>
        <v>19.49952226913225</v>
      </c>
      <c r="P115">
        <v>18.6875</v>
      </c>
      <c r="Q115">
        <v>4.5</v>
      </c>
      <c r="R115">
        <f t="shared" ca="1" si="16"/>
        <v>19.399999999999999</v>
      </c>
      <c r="S115">
        <f t="shared" ca="1" si="17"/>
        <v>9.9522269132250485E-2</v>
      </c>
      <c r="T115">
        <f t="shared" ca="1" si="18"/>
        <v>19.49952226913225</v>
      </c>
      <c r="U115">
        <f t="shared" ca="1" si="19"/>
        <v>48.308875827752267</v>
      </c>
    </row>
    <row r="116" spans="1:21" x14ac:dyDescent="0.45">
      <c r="A116">
        <f t="shared" ca="1" si="11"/>
        <v>19</v>
      </c>
      <c r="B116">
        <v>0.31</v>
      </c>
      <c r="C116">
        <f t="shared" ca="1" si="12"/>
        <v>16.399999999999999</v>
      </c>
      <c r="D116">
        <v>35.92</v>
      </c>
      <c r="E116" s="3">
        <v>4873</v>
      </c>
      <c r="F116">
        <v>11.78</v>
      </c>
      <c r="G116">
        <v>9.64</v>
      </c>
      <c r="H116">
        <v>53</v>
      </c>
      <c r="I116">
        <v>12.69</v>
      </c>
      <c r="J116">
        <v>7.2</v>
      </c>
      <c r="K116">
        <f t="shared" ca="1" si="13"/>
        <v>0.22650978237094901</v>
      </c>
      <c r="M116">
        <f t="shared" ca="1" si="20"/>
        <v>24.23736380183869</v>
      </c>
      <c r="N116">
        <f t="shared" ca="1" si="14"/>
        <v>47.73736380183869</v>
      </c>
      <c r="O116">
        <f t="shared" ca="1" si="15"/>
        <v>20.612784654063773</v>
      </c>
      <c r="P116">
        <v>14.050746268656701</v>
      </c>
      <c r="Q116">
        <v>4.5</v>
      </c>
      <c r="R116">
        <f t="shared" ca="1" si="16"/>
        <v>19.8</v>
      </c>
      <c r="S116">
        <f t="shared" ca="1" si="17"/>
        <v>0.81278465406376876</v>
      </c>
      <c r="T116">
        <f t="shared" ca="1" si="18"/>
        <v>20.61278465406377</v>
      </c>
      <c r="U116">
        <f t="shared" ca="1" si="19"/>
        <v>47.73736380183869</v>
      </c>
    </row>
    <row r="117" spans="1:21" x14ac:dyDescent="0.45">
      <c r="A117">
        <f t="shared" ca="1" si="11"/>
        <v>18</v>
      </c>
      <c r="B117">
        <v>0.31</v>
      </c>
      <c r="C117">
        <f t="shared" ca="1" si="12"/>
        <v>14.7</v>
      </c>
      <c r="D117">
        <v>34.35</v>
      </c>
      <c r="E117" s="3">
        <v>4604</v>
      </c>
      <c r="F117">
        <v>6.45</v>
      </c>
      <c r="G117">
        <v>7.75</v>
      </c>
      <c r="H117">
        <v>52</v>
      </c>
      <c r="I117">
        <v>11.47</v>
      </c>
      <c r="J117">
        <v>7.23</v>
      </c>
      <c r="K117">
        <f t="shared" ca="1" si="13"/>
        <v>0.1879760678613242</v>
      </c>
      <c r="M117">
        <f t="shared" ca="1" si="20"/>
        <v>22.556062844808416</v>
      </c>
      <c r="N117">
        <f t="shared" ca="1" si="14"/>
        <v>45.056062844808416</v>
      </c>
      <c r="O117">
        <f t="shared" ca="1" si="15"/>
        <v>19.575611900178014</v>
      </c>
      <c r="P117">
        <v>15.84</v>
      </c>
      <c r="Q117">
        <v>4.5</v>
      </c>
      <c r="R117">
        <f t="shared" ca="1" si="16"/>
        <v>19.2</v>
      </c>
      <c r="S117">
        <f t="shared" ca="1" si="17"/>
        <v>0.37561190017801238</v>
      </c>
      <c r="T117">
        <f t="shared" ca="1" si="18"/>
        <v>19.575611900178011</v>
      </c>
      <c r="U117">
        <f t="shared" ca="1" si="19"/>
        <v>45.056062844808416</v>
      </c>
    </row>
    <row r="118" spans="1:21" x14ac:dyDescent="0.45">
      <c r="A118">
        <f t="shared" ca="1" si="11"/>
        <v>20</v>
      </c>
      <c r="B118">
        <v>0.31</v>
      </c>
      <c r="C118">
        <f t="shared" ca="1" si="12"/>
        <v>16.5</v>
      </c>
      <c r="D118">
        <v>34.79</v>
      </c>
      <c r="E118" s="3">
        <v>4568</v>
      </c>
      <c r="F118">
        <v>1.26</v>
      </c>
      <c r="G118">
        <v>7.86</v>
      </c>
      <c r="H118">
        <v>54</v>
      </c>
      <c r="I118">
        <v>11.97</v>
      </c>
      <c r="J118">
        <v>7.25</v>
      </c>
      <c r="K118">
        <f t="shared" ca="1" si="13"/>
        <v>0.19136155991605458</v>
      </c>
      <c r="M118">
        <f t="shared" ca="1" si="20"/>
        <v>24.665350774055895</v>
      </c>
      <c r="N118">
        <f t="shared" ca="1" si="14"/>
        <v>49.165350774055895</v>
      </c>
      <c r="O118">
        <f t="shared" ca="1" si="15"/>
        <v>20.136132142118548</v>
      </c>
      <c r="P118">
        <v>15.68</v>
      </c>
      <c r="Q118">
        <v>4.5</v>
      </c>
      <c r="R118">
        <f t="shared" ca="1" si="16"/>
        <v>19.7</v>
      </c>
      <c r="S118">
        <f t="shared" ca="1" si="17"/>
        <v>0.43613214211854712</v>
      </c>
      <c r="T118">
        <f t="shared" ca="1" si="18"/>
        <v>20.136132142118548</v>
      </c>
      <c r="U118">
        <f t="shared" ca="1" si="19"/>
        <v>49.165350774055895</v>
      </c>
    </row>
    <row r="119" spans="1:21" x14ac:dyDescent="0.45">
      <c r="A119">
        <f t="shared" ca="1" si="11"/>
        <v>17</v>
      </c>
      <c r="B119">
        <v>0.31</v>
      </c>
      <c r="C119">
        <f t="shared" ca="1" si="12"/>
        <v>15</v>
      </c>
      <c r="D119">
        <v>34.409999999999997</v>
      </c>
      <c r="E119" s="3">
        <v>5024</v>
      </c>
      <c r="F119">
        <v>7.94</v>
      </c>
      <c r="G119">
        <v>8.19</v>
      </c>
      <c r="H119">
        <v>54</v>
      </c>
      <c r="I119">
        <v>12.4</v>
      </c>
      <c r="J119">
        <v>7.36</v>
      </c>
      <c r="K119">
        <f t="shared" ca="1" si="13"/>
        <v>0.20385215643690263</v>
      </c>
      <c r="M119">
        <f t="shared" ca="1" si="20"/>
        <v>24.723800268259644</v>
      </c>
      <c r="N119">
        <f t="shared" ca="1" si="14"/>
        <v>46.223800268259644</v>
      </c>
      <c r="O119">
        <f t="shared" ca="1" si="15"/>
        <v>19.470489115495774</v>
      </c>
      <c r="P119">
        <v>12.2921052631579</v>
      </c>
      <c r="Q119">
        <v>4.5</v>
      </c>
      <c r="R119">
        <f t="shared" ca="1" si="16"/>
        <v>19.3</v>
      </c>
      <c r="S119">
        <f t="shared" ca="1" si="17"/>
        <v>0.17048911549577195</v>
      </c>
      <c r="T119">
        <f t="shared" ca="1" si="18"/>
        <v>19.470489115495774</v>
      </c>
      <c r="U119">
        <f t="shared" ca="1" si="19"/>
        <v>46.223800268259644</v>
      </c>
    </row>
    <row r="120" spans="1:21" x14ac:dyDescent="0.45">
      <c r="A120">
        <f t="shared" ca="1" si="11"/>
        <v>16</v>
      </c>
      <c r="B120">
        <v>0.31</v>
      </c>
      <c r="C120">
        <f t="shared" ca="1" si="12"/>
        <v>16</v>
      </c>
      <c r="D120">
        <v>32.549999999999997</v>
      </c>
      <c r="E120" s="3">
        <v>4652</v>
      </c>
      <c r="F120">
        <v>5.37</v>
      </c>
      <c r="G120">
        <v>9</v>
      </c>
      <c r="H120">
        <v>51</v>
      </c>
      <c r="I120">
        <v>11.47</v>
      </c>
      <c r="J120">
        <v>7.19</v>
      </c>
      <c r="K120">
        <f t="shared" ca="1" si="13"/>
        <v>0.15609992220459795</v>
      </c>
      <c r="M120">
        <f t="shared" ca="1" si="20"/>
        <v>27.418335253173701</v>
      </c>
      <c r="N120">
        <f t="shared" ca="1" si="14"/>
        <v>47.918335253173701</v>
      </c>
      <c r="O120">
        <f t="shared" ca="1" si="15"/>
        <v>20.034084968267294</v>
      </c>
      <c r="P120">
        <v>12.797260273972601</v>
      </c>
      <c r="Q120">
        <v>4.5</v>
      </c>
      <c r="R120">
        <f t="shared" ca="1" si="16"/>
        <v>19.2</v>
      </c>
      <c r="S120">
        <f t="shared" ca="1" si="17"/>
        <v>0.83408496826729439</v>
      </c>
      <c r="T120">
        <f t="shared" ca="1" si="18"/>
        <v>20.034084968267294</v>
      </c>
      <c r="U120">
        <f t="shared" ca="1" si="19"/>
        <v>47.918335253173701</v>
      </c>
    </row>
    <row r="121" spans="1:21" x14ac:dyDescent="0.45">
      <c r="A121">
        <f t="shared" ca="1" si="11"/>
        <v>17</v>
      </c>
      <c r="B121">
        <v>0.31</v>
      </c>
      <c r="C121">
        <f t="shared" ca="1" si="12"/>
        <v>16.399999999999999</v>
      </c>
      <c r="D121">
        <v>32.72</v>
      </c>
      <c r="E121" s="3">
        <v>4662</v>
      </c>
      <c r="F121">
        <v>6.07</v>
      </c>
      <c r="G121">
        <v>9.67</v>
      </c>
      <c r="H121">
        <v>52</v>
      </c>
      <c r="I121">
        <v>12.94</v>
      </c>
      <c r="J121">
        <v>7.24</v>
      </c>
      <c r="K121">
        <f t="shared" ca="1" si="13"/>
        <v>0.2078446520355211</v>
      </c>
      <c r="M121">
        <f t="shared" ca="1" si="20"/>
        <v>27.424328430764035</v>
      </c>
      <c r="N121">
        <f t="shared" ca="1" si="14"/>
        <v>48.924328430764035</v>
      </c>
      <c r="O121">
        <f t="shared" ca="1" si="15"/>
        <v>20.112693041714852</v>
      </c>
      <c r="P121">
        <v>11.271428571428601</v>
      </c>
      <c r="Q121">
        <v>4.5</v>
      </c>
      <c r="R121">
        <f t="shared" ca="1" si="16"/>
        <v>19.7</v>
      </c>
      <c r="S121">
        <f t="shared" ca="1" si="17"/>
        <v>0.41269304171485144</v>
      </c>
      <c r="T121">
        <f t="shared" ca="1" si="18"/>
        <v>20.112693041714852</v>
      </c>
      <c r="U121">
        <f t="shared" ca="1" si="19"/>
        <v>48.924328430764035</v>
      </c>
    </row>
    <row r="122" spans="1:21" x14ac:dyDescent="0.45">
      <c r="A122">
        <f t="shared" ca="1" si="11"/>
        <v>20</v>
      </c>
      <c r="B122">
        <v>0.31</v>
      </c>
      <c r="C122">
        <f t="shared" ca="1" si="12"/>
        <v>14.5</v>
      </c>
      <c r="D122">
        <v>30.98</v>
      </c>
      <c r="E122" s="3">
        <v>5357</v>
      </c>
      <c r="F122">
        <v>2.5299999999999998</v>
      </c>
      <c r="G122">
        <v>5.07</v>
      </c>
      <c r="H122">
        <v>53.4</v>
      </c>
      <c r="I122">
        <v>12.06</v>
      </c>
      <c r="J122">
        <v>7.11</v>
      </c>
      <c r="K122">
        <f t="shared" si="13"/>
        <v>6.1874999999999999E-2</v>
      </c>
      <c r="M122">
        <v>80</v>
      </c>
      <c r="N122">
        <f t="shared" ca="1" si="14"/>
        <v>43.67926684386466</v>
      </c>
      <c r="O122">
        <f t="shared" ca="1" si="15"/>
        <v>19.91791673403976</v>
      </c>
      <c r="P122">
        <v>9.84</v>
      </c>
      <c r="Q122">
        <v>4.5</v>
      </c>
      <c r="R122">
        <f t="shared" ca="1" si="16"/>
        <v>19.100000000000001</v>
      </c>
      <c r="S122">
        <f t="shared" ca="1" si="17"/>
        <v>0.81791673403975973</v>
      </c>
      <c r="T122">
        <f t="shared" ca="1" si="18"/>
        <v>19.91791673403976</v>
      </c>
      <c r="U122">
        <f t="shared" ca="1" si="19"/>
        <v>43.67926684386466</v>
      </c>
    </row>
    <row r="123" spans="1:21" x14ac:dyDescent="0.45">
      <c r="A123">
        <f t="shared" ca="1" si="11"/>
        <v>21</v>
      </c>
      <c r="B123">
        <v>0.31</v>
      </c>
      <c r="C123">
        <f t="shared" ca="1" si="12"/>
        <v>16.100000000000001</v>
      </c>
      <c r="D123">
        <v>35.9</v>
      </c>
      <c r="E123" s="3">
        <v>5013</v>
      </c>
      <c r="F123">
        <v>0.78</v>
      </c>
      <c r="G123">
        <v>6.92</v>
      </c>
      <c r="H123">
        <v>55</v>
      </c>
      <c r="I123">
        <v>12.47</v>
      </c>
      <c r="J123">
        <v>7.39</v>
      </c>
      <c r="K123">
        <f t="shared" si="13"/>
        <v>0.16387096774193552</v>
      </c>
      <c r="M123">
        <v>31</v>
      </c>
      <c r="N123">
        <f t="shared" ca="1" si="14"/>
        <v>49.416853866672788</v>
      </c>
      <c r="O123">
        <f t="shared" ca="1" si="15"/>
        <v>19.547986656663305</v>
      </c>
      <c r="P123">
        <v>19.264285714285698</v>
      </c>
      <c r="Q123">
        <v>4.5</v>
      </c>
      <c r="R123">
        <f t="shared" ca="1" si="16"/>
        <v>19.100000000000001</v>
      </c>
      <c r="S123">
        <f t="shared" ca="1" si="17"/>
        <v>0.44798665666330362</v>
      </c>
      <c r="T123">
        <f t="shared" ca="1" si="18"/>
        <v>19.547986656663305</v>
      </c>
      <c r="U123">
        <f t="shared" ca="1" si="19"/>
        <v>49.416853866672788</v>
      </c>
    </row>
    <row r="124" spans="1:21" x14ac:dyDescent="0.45">
      <c r="A124">
        <f t="shared" ca="1" si="11"/>
        <v>19</v>
      </c>
      <c r="B124">
        <v>0.31</v>
      </c>
      <c r="C124">
        <f t="shared" ca="1" si="12"/>
        <v>15.1</v>
      </c>
      <c r="D124">
        <v>34.630000000000003</v>
      </c>
      <c r="E124" s="3">
        <v>4742</v>
      </c>
      <c r="F124">
        <v>0.22</v>
      </c>
      <c r="G124">
        <v>7.77</v>
      </c>
      <c r="H124">
        <v>53</v>
      </c>
      <c r="I124">
        <v>12.21</v>
      </c>
      <c r="J124">
        <v>7.19</v>
      </c>
      <c r="K124">
        <f t="shared" si="13"/>
        <v>9.8431372549019611E-2</v>
      </c>
      <c r="M124">
        <v>51</v>
      </c>
      <c r="N124">
        <f t="shared" ca="1" si="14"/>
        <v>45.912395766563606</v>
      </c>
      <c r="O124">
        <f t="shared" ca="1" si="15"/>
        <v>19.733232929217081</v>
      </c>
      <c r="P124">
        <v>14.0181818181818</v>
      </c>
      <c r="Q124">
        <v>4.5</v>
      </c>
      <c r="R124">
        <f t="shared" ca="1" si="16"/>
        <v>19.2</v>
      </c>
      <c r="S124">
        <f t="shared" ca="1" si="17"/>
        <v>0.53323292921708421</v>
      </c>
      <c r="T124">
        <f t="shared" ca="1" si="18"/>
        <v>19.733232929217085</v>
      </c>
      <c r="U124">
        <f t="shared" ca="1" si="19"/>
        <v>45.912395766563606</v>
      </c>
    </row>
    <row r="125" spans="1:21" x14ac:dyDescent="0.45">
      <c r="A125">
        <f t="shared" ca="1" si="11"/>
        <v>16</v>
      </c>
      <c r="B125">
        <v>0.31</v>
      </c>
      <c r="C125">
        <f t="shared" ca="1" si="12"/>
        <v>16</v>
      </c>
      <c r="D125">
        <v>30.29</v>
      </c>
      <c r="E125" s="3">
        <v>7619</v>
      </c>
      <c r="F125">
        <v>9.41</v>
      </c>
      <c r="G125">
        <v>10.14</v>
      </c>
      <c r="H125">
        <v>66</v>
      </c>
      <c r="I125">
        <v>12.58</v>
      </c>
      <c r="J125">
        <v>7.36</v>
      </c>
      <c r="K125">
        <f t="shared" si="13"/>
        <v>8.1562499999999996E-2</v>
      </c>
      <c r="M125">
        <v>64</v>
      </c>
      <c r="N125">
        <f t="shared" ca="1" si="14"/>
        <v>49.185046662033479</v>
      </c>
      <c r="O125">
        <f t="shared" ca="1" si="15"/>
        <v>19.518127259215056</v>
      </c>
      <c r="P125">
        <v>10.271739130434799</v>
      </c>
      <c r="Q125">
        <v>4.5</v>
      </c>
      <c r="R125">
        <f t="shared" ca="1" si="16"/>
        <v>19.5</v>
      </c>
      <c r="S125">
        <f t="shared" ca="1" si="17"/>
        <v>1.8127259215051761E-2</v>
      </c>
      <c r="T125">
        <f t="shared" ca="1" si="18"/>
        <v>19.518127259215053</v>
      </c>
      <c r="U125">
        <f t="shared" ca="1" si="19"/>
        <v>49.185046662033479</v>
      </c>
    </row>
    <row r="126" spans="1:21" x14ac:dyDescent="0.45">
      <c r="A126">
        <f t="shared" ca="1" si="11"/>
        <v>18</v>
      </c>
      <c r="B126">
        <v>0.31</v>
      </c>
      <c r="C126">
        <f t="shared" ca="1" si="12"/>
        <v>15.8</v>
      </c>
      <c r="D126">
        <v>31.91</v>
      </c>
      <c r="E126" s="3">
        <v>8946</v>
      </c>
      <c r="F126">
        <v>13.14</v>
      </c>
      <c r="G126">
        <v>9.74</v>
      </c>
      <c r="H126">
        <v>51.2</v>
      </c>
      <c r="I126">
        <v>13.01</v>
      </c>
      <c r="J126">
        <v>7.29</v>
      </c>
      <c r="K126">
        <f t="shared" si="13"/>
        <v>0.15052631578947367</v>
      </c>
      <c r="M126">
        <v>38</v>
      </c>
      <c r="N126">
        <f t="shared" ca="1" si="14"/>
        <v>49.156282152083143</v>
      </c>
      <c r="O126">
        <f t="shared" ca="1" si="15"/>
        <v>19.285429216697295</v>
      </c>
      <c r="P126">
        <v>15.75</v>
      </c>
      <c r="Q126">
        <v>4.5</v>
      </c>
      <c r="R126">
        <f t="shared" ca="1" si="16"/>
        <v>19</v>
      </c>
      <c r="S126">
        <f t="shared" ca="1" si="17"/>
        <v>0.28542921669729493</v>
      </c>
      <c r="T126">
        <f t="shared" ca="1" si="18"/>
        <v>19.285429216697295</v>
      </c>
      <c r="U126">
        <f t="shared" ca="1" si="19"/>
        <v>49.156282152083143</v>
      </c>
    </row>
    <row r="127" spans="1:21" x14ac:dyDescent="0.45">
      <c r="A127">
        <f t="shared" ca="1" si="11"/>
        <v>19</v>
      </c>
      <c r="B127">
        <v>0.31</v>
      </c>
      <c r="C127">
        <f t="shared" ca="1" si="12"/>
        <v>14.7</v>
      </c>
      <c r="D127">
        <v>31.81</v>
      </c>
      <c r="E127" s="3">
        <v>7238</v>
      </c>
      <c r="F127">
        <v>12.94</v>
      </c>
      <c r="G127">
        <v>8.7899999999999991</v>
      </c>
      <c r="H127">
        <v>50.8</v>
      </c>
      <c r="I127">
        <v>12.76</v>
      </c>
      <c r="J127">
        <v>7.3</v>
      </c>
      <c r="K127">
        <f t="shared" si="13"/>
        <v>0.15166666666666667</v>
      </c>
      <c r="M127">
        <v>36</v>
      </c>
      <c r="N127">
        <f t="shared" ca="1" si="14"/>
        <v>44.531657552544083</v>
      </c>
      <c r="O127">
        <f t="shared" ca="1" si="15"/>
        <v>19.806134522599002</v>
      </c>
      <c r="P127">
        <v>16.2206896551724</v>
      </c>
      <c r="Q127">
        <v>4.5</v>
      </c>
      <c r="R127">
        <f t="shared" ca="1" si="16"/>
        <v>19.399999999999999</v>
      </c>
      <c r="S127">
        <f t="shared" ca="1" si="17"/>
        <v>0.40613452259900251</v>
      </c>
      <c r="T127">
        <f t="shared" ca="1" si="18"/>
        <v>19.806134522599002</v>
      </c>
      <c r="U127">
        <f t="shared" ca="1" si="19"/>
        <v>44.531657552544083</v>
      </c>
    </row>
    <row r="128" spans="1:21" x14ac:dyDescent="0.45">
      <c r="A128">
        <f t="shared" ca="1" si="11"/>
        <v>20</v>
      </c>
      <c r="B128">
        <v>0.31</v>
      </c>
      <c r="C128">
        <f t="shared" ca="1" si="12"/>
        <v>15.4</v>
      </c>
      <c r="D128">
        <v>33.590000000000003</v>
      </c>
      <c r="E128" s="3">
        <v>9041</v>
      </c>
      <c r="F128">
        <v>7.89</v>
      </c>
      <c r="G128">
        <v>9.1999999999999993</v>
      </c>
      <c r="H128">
        <v>65</v>
      </c>
      <c r="I128">
        <v>12.32</v>
      </c>
      <c r="J128">
        <v>7.35</v>
      </c>
      <c r="K128">
        <f t="shared" si="13"/>
        <v>0.10574468085106384</v>
      </c>
      <c r="M128">
        <v>47</v>
      </c>
      <c r="N128">
        <f t="shared" ca="1" si="14"/>
        <v>46.639816971686137</v>
      </c>
      <c r="O128">
        <f t="shared" ca="1" si="15"/>
        <v>19.811398500147142</v>
      </c>
      <c r="P128">
        <v>18.895652173913</v>
      </c>
      <c r="Q128">
        <v>4.5</v>
      </c>
      <c r="R128">
        <f t="shared" ca="1" si="16"/>
        <v>19.600000000000001</v>
      </c>
      <c r="S128">
        <f t="shared" ca="1" si="17"/>
        <v>0.21139850014714168</v>
      </c>
      <c r="T128">
        <f t="shared" ca="1" si="18"/>
        <v>19.811398500147142</v>
      </c>
      <c r="U128">
        <f t="shared" ca="1" si="19"/>
        <v>46.639816971686137</v>
      </c>
    </row>
    <row r="129" spans="1:21" x14ac:dyDescent="0.45">
      <c r="A129">
        <f t="shared" ca="1" si="11"/>
        <v>19</v>
      </c>
      <c r="B129">
        <v>0.31</v>
      </c>
      <c r="C129">
        <f t="shared" ca="1" si="12"/>
        <v>15.3</v>
      </c>
      <c r="D129">
        <v>32.58</v>
      </c>
      <c r="E129" s="3">
        <v>7235</v>
      </c>
      <c r="F129">
        <v>12.11</v>
      </c>
      <c r="G129">
        <v>12.64</v>
      </c>
      <c r="H129">
        <v>53</v>
      </c>
      <c r="I129">
        <v>12.27</v>
      </c>
      <c r="J129">
        <v>7.24</v>
      </c>
      <c r="K129">
        <f t="shared" si="13"/>
        <v>0.13594594594594592</v>
      </c>
      <c r="M129">
        <v>37</v>
      </c>
      <c r="N129">
        <f t="shared" ca="1" si="14"/>
        <v>43.911169250671541</v>
      </c>
      <c r="O129">
        <f t="shared" ca="1" si="15"/>
        <v>20.905842765413514</v>
      </c>
      <c r="P129">
        <v>15.71</v>
      </c>
      <c r="Q129">
        <v>4.5</v>
      </c>
      <c r="R129">
        <f t="shared" ca="1" si="16"/>
        <v>20</v>
      </c>
      <c r="S129">
        <f t="shared" ca="1" si="17"/>
        <v>0.90584276541351472</v>
      </c>
      <c r="T129">
        <f t="shared" ca="1" si="18"/>
        <v>20.905842765413514</v>
      </c>
      <c r="U129">
        <f t="shared" ca="1" si="19"/>
        <v>43.911169250671541</v>
      </c>
    </row>
    <row r="130" spans="1:21" x14ac:dyDescent="0.45">
      <c r="A130">
        <f t="shared" ca="1" si="11"/>
        <v>17</v>
      </c>
      <c r="B130">
        <v>0.31</v>
      </c>
      <c r="C130">
        <f t="shared" ca="1" si="12"/>
        <v>15.7</v>
      </c>
      <c r="D130">
        <v>31.37</v>
      </c>
      <c r="E130" s="3">
        <v>7642</v>
      </c>
      <c r="F130">
        <v>13.36</v>
      </c>
      <c r="G130">
        <v>9.3800000000000008</v>
      </c>
      <c r="H130">
        <v>58</v>
      </c>
      <c r="I130">
        <v>12.08</v>
      </c>
      <c r="J130">
        <v>7.3</v>
      </c>
      <c r="K130">
        <f t="shared" si="13"/>
        <v>0.14937500000000001</v>
      </c>
      <c r="M130">
        <v>32</v>
      </c>
      <c r="N130">
        <f t="shared" ca="1" si="14"/>
        <v>47.943805755750397</v>
      </c>
      <c r="O130">
        <f t="shared" ca="1" si="15"/>
        <v>19.648002179864832</v>
      </c>
      <c r="P130">
        <v>17.488888888888901</v>
      </c>
      <c r="Q130">
        <v>4.5</v>
      </c>
      <c r="R130">
        <f t="shared" ca="1" si="16"/>
        <v>19.399999999999999</v>
      </c>
      <c r="S130">
        <f t="shared" ca="1" si="17"/>
        <v>0.24800217986483619</v>
      </c>
      <c r="T130">
        <f t="shared" ca="1" si="18"/>
        <v>19.648002179864836</v>
      </c>
      <c r="U130">
        <f t="shared" ca="1" si="19"/>
        <v>47.943805755750397</v>
      </c>
    </row>
    <row r="131" spans="1:21" x14ac:dyDescent="0.45">
      <c r="A131">
        <f t="shared" ca="1" si="11"/>
        <v>19</v>
      </c>
      <c r="B131">
        <v>0.31</v>
      </c>
      <c r="C131">
        <f t="shared" ca="1" si="12"/>
        <v>14.5</v>
      </c>
      <c r="D131">
        <v>32.04</v>
      </c>
      <c r="E131" s="3">
        <v>7518</v>
      </c>
      <c r="F131">
        <v>12.22</v>
      </c>
      <c r="G131">
        <v>12.86</v>
      </c>
      <c r="H131">
        <v>53.5</v>
      </c>
      <c r="I131">
        <v>12.45</v>
      </c>
      <c r="J131">
        <v>7.37</v>
      </c>
      <c r="K131">
        <f t="shared" si="13"/>
        <v>0.12699999999999997</v>
      </c>
      <c r="M131">
        <v>40</v>
      </c>
      <c r="N131">
        <f t="shared" ca="1" si="14"/>
        <v>43.177321227741025</v>
      </c>
      <c r="O131">
        <f t="shared" ca="1" si="15"/>
        <v>20.14946678630524</v>
      </c>
      <c r="P131">
        <v>15.491803278688501</v>
      </c>
      <c r="Q131">
        <v>4.5</v>
      </c>
      <c r="R131">
        <f t="shared" ca="1" si="16"/>
        <v>19.3</v>
      </c>
      <c r="S131">
        <f t="shared" ca="1" si="17"/>
        <v>0.84946678630523809</v>
      </c>
      <c r="T131">
        <f t="shared" ca="1" si="18"/>
        <v>20.14946678630524</v>
      </c>
      <c r="U131">
        <f t="shared" ca="1" si="19"/>
        <v>43.177321227741025</v>
      </c>
    </row>
    <row r="132" spans="1:21" x14ac:dyDescent="0.45">
      <c r="A132">
        <f t="shared" ref="A132:A195" ca="1" si="21">RANDBETWEEN(16,22)</f>
        <v>19</v>
      </c>
      <c r="B132">
        <v>0.31</v>
      </c>
      <c r="C132">
        <f t="shared" ref="C132:C195" ca="1" si="22">RANDBETWEEN(145,165)/10</f>
        <v>15</v>
      </c>
      <c r="D132">
        <v>31.39</v>
      </c>
      <c r="E132" s="3">
        <v>7293</v>
      </c>
      <c r="F132">
        <v>11.85</v>
      </c>
      <c r="G132">
        <v>11.36</v>
      </c>
      <c r="H132">
        <v>50.4</v>
      </c>
      <c r="I132">
        <v>12.76</v>
      </c>
      <c r="J132">
        <v>7.3</v>
      </c>
      <c r="K132">
        <f t="shared" ref="K132:K195" si="23">(I132-J132)/M132</f>
        <v>0.11142857142857143</v>
      </c>
      <c r="M132">
        <v>49</v>
      </c>
      <c r="N132">
        <f t="shared" ref="N132:N195" ca="1" si="24">U132</f>
        <v>46.277026248254401</v>
      </c>
      <c r="O132">
        <f t="shared" ref="O132:O195" ca="1" si="25">C132/N132*60</f>
        <v>19.448094939634299</v>
      </c>
      <c r="P132">
        <v>13.318309859154899</v>
      </c>
      <c r="Q132">
        <v>4.5</v>
      </c>
      <c r="R132">
        <f t="shared" ref="R132:R195" ca="1" si="26">RANDBETWEEN(190,200)/10</f>
        <v>19.2</v>
      </c>
      <c r="S132">
        <f t="shared" ref="S132:S195" ca="1" si="27">RAND()</f>
        <v>0.24809493963429841</v>
      </c>
      <c r="T132">
        <f t="shared" ref="T132:T195" ca="1" si="28">R132+S132</f>
        <v>19.448094939634299</v>
      </c>
      <c r="U132">
        <f t="shared" ref="U132:U195" ca="1" si="29">C132*60/T132</f>
        <v>46.277026248254401</v>
      </c>
    </row>
    <row r="133" spans="1:21" x14ac:dyDescent="0.45">
      <c r="A133">
        <f t="shared" ca="1" si="21"/>
        <v>18</v>
      </c>
      <c r="B133">
        <v>0.31</v>
      </c>
      <c r="C133">
        <f t="shared" ca="1" si="22"/>
        <v>16.2</v>
      </c>
      <c r="D133">
        <v>32.5</v>
      </c>
      <c r="E133" s="3">
        <v>8954</v>
      </c>
      <c r="F133">
        <v>11.3</v>
      </c>
      <c r="G133">
        <v>10.76</v>
      </c>
      <c r="H133">
        <v>53.4</v>
      </c>
      <c r="I133">
        <v>12.71</v>
      </c>
      <c r="J133">
        <v>7.36</v>
      </c>
      <c r="K133">
        <f t="shared" si="23"/>
        <v>0.13375000000000001</v>
      </c>
      <c r="M133">
        <v>40</v>
      </c>
      <c r="N133">
        <f t="shared" ca="1" si="24"/>
        <v>46.831892470907853</v>
      </c>
      <c r="O133">
        <f t="shared" ca="1" si="25"/>
        <v>20.755086944304249</v>
      </c>
      <c r="P133">
        <v>15.261290322580599</v>
      </c>
      <c r="Q133">
        <v>4.5</v>
      </c>
      <c r="R133">
        <f t="shared" ca="1" si="26"/>
        <v>19.8</v>
      </c>
      <c r="S133">
        <f t="shared" ca="1" si="27"/>
        <v>0.95508694430425034</v>
      </c>
      <c r="T133">
        <f t="shared" ca="1" si="28"/>
        <v>20.755086944304249</v>
      </c>
      <c r="U133">
        <f t="shared" ca="1" si="29"/>
        <v>46.831892470907853</v>
      </c>
    </row>
    <row r="134" spans="1:21" x14ac:dyDescent="0.45">
      <c r="A134">
        <f t="shared" ca="1" si="21"/>
        <v>22</v>
      </c>
      <c r="B134">
        <v>0.31</v>
      </c>
      <c r="C134">
        <f t="shared" ca="1" si="22"/>
        <v>14.7</v>
      </c>
      <c r="D134">
        <v>32.67</v>
      </c>
      <c r="E134" s="3">
        <v>7921</v>
      </c>
      <c r="F134">
        <v>9.68</v>
      </c>
      <c r="G134">
        <v>9.8800000000000008</v>
      </c>
      <c r="H134">
        <v>63</v>
      </c>
      <c r="I134">
        <v>12.14</v>
      </c>
      <c r="J134">
        <v>7.24</v>
      </c>
      <c r="K134">
        <f t="shared" si="23"/>
        <v>0.13611111111111113</v>
      </c>
      <c r="M134">
        <v>36</v>
      </c>
      <c r="N134">
        <f t="shared" ca="1" si="24"/>
        <v>43.666573733079865</v>
      </c>
      <c r="O134">
        <f t="shared" ca="1" si="25"/>
        <v>20.198516269936601</v>
      </c>
      <c r="P134">
        <v>16.037288135593201</v>
      </c>
      <c r="Q134">
        <v>4.5</v>
      </c>
      <c r="R134">
        <f t="shared" ca="1" si="26"/>
        <v>19.8</v>
      </c>
      <c r="S134">
        <f t="shared" ca="1" si="27"/>
        <v>0.39851626993660527</v>
      </c>
      <c r="T134">
        <f t="shared" ca="1" si="28"/>
        <v>20.198516269936604</v>
      </c>
      <c r="U134">
        <f t="shared" ca="1" si="29"/>
        <v>43.666573733079865</v>
      </c>
    </row>
    <row r="135" spans="1:21" x14ac:dyDescent="0.45">
      <c r="A135">
        <f t="shared" ca="1" si="21"/>
        <v>20</v>
      </c>
      <c r="B135">
        <v>0.31</v>
      </c>
      <c r="C135">
        <f t="shared" ca="1" si="22"/>
        <v>15.2</v>
      </c>
      <c r="D135">
        <v>32.94</v>
      </c>
      <c r="E135" s="3">
        <v>7352</v>
      </c>
      <c r="F135">
        <v>8.1199999999999992</v>
      </c>
      <c r="G135">
        <v>8.2899999999999991</v>
      </c>
      <c r="H135">
        <v>61</v>
      </c>
      <c r="I135">
        <v>12.13</v>
      </c>
      <c r="J135">
        <v>7.05</v>
      </c>
      <c r="K135">
        <f t="shared" si="23"/>
        <v>0.2116666666666667</v>
      </c>
      <c r="M135">
        <v>24</v>
      </c>
      <c r="N135">
        <f t="shared" ca="1" si="24"/>
        <v>44.666026125544185</v>
      </c>
      <c r="O135">
        <f t="shared" ca="1" si="25"/>
        <v>20.418203254451452</v>
      </c>
      <c r="P135">
        <v>22.914893617021299</v>
      </c>
      <c r="Q135">
        <v>4.5</v>
      </c>
      <c r="R135">
        <f t="shared" ca="1" si="26"/>
        <v>19.899999999999999</v>
      </c>
      <c r="S135">
        <f t="shared" ca="1" si="27"/>
        <v>0.51820325445145854</v>
      </c>
      <c r="T135">
        <f t="shared" ca="1" si="28"/>
        <v>20.418203254451456</v>
      </c>
      <c r="U135">
        <f t="shared" ca="1" si="29"/>
        <v>44.666026125544185</v>
      </c>
    </row>
    <row r="136" spans="1:21" x14ac:dyDescent="0.45">
      <c r="A136">
        <f t="shared" ca="1" si="21"/>
        <v>19</v>
      </c>
      <c r="B136">
        <v>0.31</v>
      </c>
      <c r="C136">
        <f t="shared" ca="1" si="22"/>
        <v>15.8</v>
      </c>
      <c r="D136">
        <v>31.37</v>
      </c>
      <c r="E136" s="3">
        <v>7642</v>
      </c>
      <c r="F136">
        <v>13.36</v>
      </c>
      <c r="G136">
        <v>9.3800000000000008</v>
      </c>
      <c r="H136">
        <v>58</v>
      </c>
      <c r="I136">
        <v>12.08</v>
      </c>
      <c r="J136">
        <v>7.3</v>
      </c>
      <c r="K136">
        <f t="shared" si="23"/>
        <v>0.14937500000000001</v>
      </c>
      <c r="M136">
        <v>32</v>
      </c>
      <c r="N136">
        <f t="shared" ca="1" si="24"/>
        <v>46.181632191192548</v>
      </c>
      <c r="O136">
        <f t="shared" ca="1" si="25"/>
        <v>20.52764172724056</v>
      </c>
      <c r="P136">
        <v>17.488888888888901</v>
      </c>
      <c r="Q136">
        <v>4.5</v>
      </c>
      <c r="R136">
        <f t="shared" ca="1" si="26"/>
        <v>19.7</v>
      </c>
      <c r="S136">
        <f t="shared" ca="1" si="27"/>
        <v>0.82764172724056018</v>
      </c>
      <c r="T136">
        <f t="shared" ca="1" si="28"/>
        <v>20.52764172724056</v>
      </c>
      <c r="U136">
        <f t="shared" ca="1" si="29"/>
        <v>46.181632191192548</v>
      </c>
    </row>
    <row r="137" spans="1:21" x14ac:dyDescent="0.45">
      <c r="A137">
        <f t="shared" ca="1" si="21"/>
        <v>18</v>
      </c>
      <c r="B137">
        <v>0.31</v>
      </c>
      <c r="C137">
        <f t="shared" ca="1" si="22"/>
        <v>16</v>
      </c>
      <c r="D137">
        <v>32.04</v>
      </c>
      <c r="E137" s="3">
        <v>7518</v>
      </c>
      <c r="F137">
        <v>12.22</v>
      </c>
      <c r="G137">
        <v>12.86</v>
      </c>
      <c r="H137">
        <v>53.5</v>
      </c>
      <c r="I137">
        <v>12.45</v>
      </c>
      <c r="J137">
        <v>7.37</v>
      </c>
      <c r="K137">
        <f t="shared" si="23"/>
        <v>0.12699999999999997</v>
      </c>
      <c r="M137">
        <v>40</v>
      </c>
      <c r="N137">
        <f t="shared" ca="1" si="24"/>
        <v>49.984759273955085</v>
      </c>
      <c r="O137">
        <f t="shared" ca="1" si="25"/>
        <v>19.205854223253503</v>
      </c>
      <c r="P137">
        <v>15.491803278688501</v>
      </c>
      <c r="Q137">
        <v>4.5</v>
      </c>
      <c r="R137">
        <f t="shared" ca="1" si="26"/>
        <v>19.2</v>
      </c>
      <c r="S137">
        <f t="shared" ca="1" si="27"/>
        <v>5.8542232535043759E-3</v>
      </c>
      <c r="T137">
        <f t="shared" ca="1" si="28"/>
        <v>19.205854223253503</v>
      </c>
      <c r="U137">
        <f t="shared" ca="1" si="29"/>
        <v>49.984759273955085</v>
      </c>
    </row>
    <row r="138" spans="1:21" x14ac:dyDescent="0.45">
      <c r="A138">
        <f t="shared" ca="1" si="21"/>
        <v>19</v>
      </c>
      <c r="B138">
        <v>0.31</v>
      </c>
      <c r="C138">
        <f t="shared" ca="1" si="22"/>
        <v>15.4</v>
      </c>
      <c r="D138">
        <v>31.82</v>
      </c>
      <c r="E138" s="3">
        <v>7498</v>
      </c>
      <c r="F138">
        <v>12.6</v>
      </c>
      <c r="G138">
        <v>12.07</v>
      </c>
      <c r="H138">
        <v>56.3</v>
      </c>
      <c r="I138">
        <v>12.08</v>
      </c>
      <c r="J138">
        <v>7.35</v>
      </c>
      <c r="K138">
        <f t="shared" si="23"/>
        <v>0.10063829787234044</v>
      </c>
      <c r="M138">
        <v>47</v>
      </c>
      <c r="N138">
        <f t="shared" ca="1" si="24"/>
        <v>46.944033633939377</v>
      </c>
      <c r="O138">
        <f t="shared" ca="1" si="25"/>
        <v>19.683012482590993</v>
      </c>
      <c r="P138">
        <v>13.431428571428601</v>
      </c>
      <c r="Q138">
        <v>4.5</v>
      </c>
      <c r="R138">
        <f t="shared" ca="1" si="26"/>
        <v>19.3</v>
      </c>
      <c r="S138">
        <f t="shared" ca="1" si="27"/>
        <v>0.38301248259098686</v>
      </c>
      <c r="T138">
        <f t="shared" ca="1" si="28"/>
        <v>19.683012482590989</v>
      </c>
      <c r="U138">
        <f t="shared" ca="1" si="29"/>
        <v>46.944033633939377</v>
      </c>
    </row>
    <row r="139" spans="1:21" x14ac:dyDescent="0.45">
      <c r="A139">
        <f t="shared" ca="1" si="21"/>
        <v>16</v>
      </c>
      <c r="B139">
        <v>0.31</v>
      </c>
      <c r="C139">
        <f t="shared" ca="1" si="22"/>
        <v>15.2</v>
      </c>
      <c r="D139">
        <v>32.89</v>
      </c>
      <c r="E139" s="3">
        <v>7254</v>
      </c>
      <c r="F139">
        <v>12.15</v>
      </c>
      <c r="G139">
        <v>12.61</v>
      </c>
      <c r="H139">
        <v>51</v>
      </c>
      <c r="I139">
        <v>11.94</v>
      </c>
      <c r="J139">
        <v>7.25</v>
      </c>
      <c r="K139">
        <f t="shared" si="23"/>
        <v>0.18759999999999999</v>
      </c>
      <c r="M139">
        <v>25</v>
      </c>
      <c r="N139">
        <f t="shared" ca="1" si="24"/>
        <v>46.023423177473035</v>
      </c>
      <c r="O139">
        <f t="shared" ca="1" si="25"/>
        <v>19.81599666072632</v>
      </c>
      <c r="P139">
        <v>21</v>
      </c>
      <c r="Q139">
        <v>4.5</v>
      </c>
      <c r="R139">
        <f t="shared" ca="1" si="26"/>
        <v>19.7</v>
      </c>
      <c r="S139">
        <f t="shared" ca="1" si="27"/>
        <v>0.11599666072632109</v>
      </c>
      <c r="T139">
        <f t="shared" ca="1" si="28"/>
        <v>19.81599666072632</v>
      </c>
      <c r="U139">
        <f t="shared" ca="1" si="29"/>
        <v>46.023423177473035</v>
      </c>
    </row>
    <row r="140" spans="1:21" x14ac:dyDescent="0.45">
      <c r="A140">
        <f t="shared" ca="1" si="21"/>
        <v>21</v>
      </c>
      <c r="B140">
        <v>0.31</v>
      </c>
      <c r="C140">
        <f t="shared" ca="1" si="22"/>
        <v>15.5</v>
      </c>
      <c r="D140">
        <v>31.76</v>
      </c>
      <c r="E140" s="3">
        <v>9367</v>
      </c>
      <c r="F140">
        <v>6.58</v>
      </c>
      <c r="G140">
        <v>7.69</v>
      </c>
      <c r="H140">
        <v>51</v>
      </c>
      <c r="I140">
        <v>12.37</v>
      </c>
      <c r="J140">
        <v>7.34</v>
      </c>
      <c r="K140">
        <f t="shared" si="23"/>
        <v>7.859374999999999E-2</v>
      </c>
      <c r="M140">
        <v>64</v>
      </c>
      <c r="N140">
        <f t="shared" ca="1" si="24"/>
        <v>46.848105197439352</v>
      </c>
      <c r="O140">
        <f t="shared" ca="1" si="25"/>
        <v>19.851389849825399</v>
      </c>
      <c r="P140">
        <v>10.967441860465099</v>
      </c>
      <c r="Q140">
        <v>4.5</v>
      </c>
      <c r="R140">
        <f t="shared" ca="1" si="26"/>
        <v>19.600000000000001</v>
      </c>
      <c r="S140">
        <f t="shared" ca="1" si="27"/>
        <v>0.25138984982539647</v>
      </c>
      <c r="T140">
        <f t="shared" ca="1" si="28"/>
        <v>19.851389849825399</v>
      </c>
      <c r="U140">
        <f t="shared" ca="1" si="29"/>
        <v>46.848105197439352</v>
      </c>
    </row>
    <row r="141" spans="1:21" x14ac:dyDescent="0.45">
      <c r="A141">
        <f t="shared" ca="1" si="21"/>
        <v>22</v>
      </c>
      <c r="B141">
        <v>0.31</v>
      </c>
      <c r="C141">
        <f t="shared" ca="1" si="22"/>
        <v>15.5</v>
      </c>
      <c r="D141">
        <v>29.56</v>
      </c>
      <c r="E141" s="3">
        <v>9388</v>
      </c>
      <c r="F141">
        <v>12.22</v>
      </c>
      <c r="G141">
        <v>13.88</v>
      </c>
      <c r="H141">
        <v>52</v>
      </c>
      <c r="I141">
        <v>11.54</v>
      </c>
      <c r="J141">
        <v>7.2</v>
      </c>
      <c r="K141">
        <f t="shared" si="23"/>
        <v>0.15499999999999997</v>
      </c>
      <c r="M141">
        <v>28</v>
      </c>
      <c r="N141">
        <f t="shared" ca="1" si="24"/>
        <v>46.606591481386118</v>
      </c>
      <c r="O141">
        <f t="shared" ca="1" si="25"/>
        <v>19.95425905306605</v>
      </c>
      <c r="P141">
        <v>18.458823529411799</v>
      </c>
      <c r="Q141">
        <v>4.5</v>
      </c>
      <c r="R141">
        <f t="shared" ca="1" si="26"/>
        <v>19.3</v>
      </c>
      <c r="S141">
        <f t="shared" ca="1" si="27"/>
        <v>0.65425905306604737</v>
      </c>
      <c r="T141">
        <f t="shared" ca="1" si="28"/>
        <v>19.95425905306605</v>
      </c>
      <c r="U141">
        <f t="shared" ca="1" si="29"/>
        <v>46.606591481386118</v>
      </c>
    </row>
    <row r="142" spans="1:21" x14ac:dyDescent="0.45">
      <c r="A142">
        <f t="shared" ca="1" si="21"/>
        <v>17</v>
      </c>
      <c r="B142">
        <v>0.32</v>
      </c>
      <c r="C142">
        <f t="shared" ca="1" si="22"/>
        <v>14.9</v>
      </c>
      <c r="D142">
        <v>47.46</v>
      </c>
      <c r="E142" s="3">
        <v>6531</v>
      </c>
      <c r="F142">
        <v>2.61</v>
      </c>
      <c r="G142">
        <v>0.16</v>
      </c>
      <c r="H142">
        <v>61.52</v>
      </c>
      <c r="I142">
        <v>12.99</v>
      </c>
      <c r="J142">
        <v>7.16</v>
      </c>
      <c r="K142">
        <f t="shared" ca="1" si="23"/>
        <v>0.23299481509949371</v>
      </c>
      <c r="M142">
        <f t="shared" ref="M142:M162" ca="1" si="30">N142-A142-Q142</f>
        <v>25.022016037182915</v>
      </c>
      <c r="N142">
        <f t="shared" ca="1" si="24"/>
        <v>46.522016037182915</v>
      </c>
      <c r="O142">
        <f t="shared" ca="1" si="25"/>
        <v>19.216708048195219</v>
      </c>
      <c r="P142">
        <v>8.9377358490565992</v>
      </c>
      <c r="Q142">
        <v>4.5</v>
      </c>
      <c r="R142">
        <f t="shared" ca="1" si="26"/>
        <v>19</v>
      </c>
      <c r="S142">
        <f t="shared" ca="1" si="27"/>
        <v>0.21670804819521783</v>
      </c>
      <c r="T142">
        <f t="shared" ca="1" si="28"/>
        <v>19.216708048195219</v>
      </c>
      <c r="U142">
        <f t="shared" ca="1" si="29"/>
        <v>46.522016037182915</v>
      </c>
    </row>
    <row r="143" spans="1:21" x14ac:dyDescent="0.45">
      <c r="A143">
        <f t="shared" ca="1" si="21"/>
        <v>20</v>
      </c>
      <c r="B143">
        <v>0.32</v>
      </c>
      <c r="C143">
        <f t="shared" ca="1" si="22"/>
        <v>15.5</v>
      </c>
      <c r="D143">
        <v>36.44</v>
      </c>
      <c r="E143" s="3">
        <v>6452</v>
      </c>
      <c r="F143">
        <v>10.74</v>
      </c>
      <c r="G143">
        <v>0.17</v>
      </c>
      <c r="H143">
        <v>58.2</v>
      </c>
      <c r="I143">
        <v>12.63</v>
      </c>
      <c r="J143">
        <v>7.3</v>
      </c>
      <c r="K143">
        <f t="shared" ca="1" si="23"/>
        <v>0.24297493712419901</v>
      </c>
      <c r="M143">
        <f t="shared" ca="1" si="30"/>
        <v>21.936418887827593</v>
      </c>
      <c r="N143">
        <f t="shared" ca="1" si="24"/>
        <v>46.436418887827593</v>
      </c>
      <c r="O143">
        <f t="shared" ca="1" si="25"/>
        <v>20.027384158251305</v>
      </c>
      <c r="P143">
        <v>9.0576923076923102</v>
      </c>
      <c r="Q143">
        <v>4.5</v>
      </c>
      <c r="R143">
        <f t="shared" ca="1" si="26"/>
        <v>19.5</v>
      </c>
      <c r="S143">
        <f t="shared" ca="1" si="27"/>
        <v>0.52738415825130613</v>
      </c>
      <c r="T143">
        <f t="shared" ca="1" si="28"/>
        <v>20.027384158251305</v>
      </c>
      <c r="U143">
        <f t="shared" ca="1" si="29"/>
        <v>46.436418887827593</v>
      </c>
    </row>
    <row r="144" spans="1:21" x14ac:dyDescent="0.45">
      <c r="A144">
        <f t="shared" ca="1" si="21"/>
        <v>19</v>
      </c>
      <c r="B144">
        <v>0.32</v>
      </c>
      <c r="C144">
        <f t="shared" ca="1" si="22"/>
        <v>15.3</v>
      </c>
      <c r="D144">
        <v>39.25</v>
      </c>
      <c r="E144" s="3">
        <v>6621</v>
      </c>
      <c r="F144">
        <v>7.95</v>
      </c>
      <c r="G144">
        <v>7.34</v>
      </c>
      <c r="H144">
        <v>61.6</v>
      </c>
      <c r="I144">
        <v>12.63</v>
      </c>
      <c r="J144">
        <v>7.2</v>
      </c>
      <c r="K144">
        <f t="shared" ca="1" si="23"/>
        <v>0.24116692053185532</v>
      </c>
      <c r="M144">
        <f t="shared" ca="1" si="30"/>
        <v>22.515525711507195</v>
      </c>
      <c r="N144">
        <f t="shared" ca="1" si="24"/>
        <v>46.015525711507195</v>
      </c>
      <c r="O144">
        <f t="shared" ca="1" si="25"/>
        <v>19.949788376978901</v>
      </c>
      <c r="P144">
        <v>12.0075</v>
      </c>
      <c r="Q144">
        <v>4.5</v>
      </c>
      <c r="R144">
        <f t="shared" ca="1" si="26"/>
        <v>19.5</v>
      </c>
      <c r="S144">
        <f t="shared" ca="1" si="27"/>
        <v>0.44978837697890239</v>
      </c>
      <c r="T144">
        <f t="shared" ca="1" si="28"/>
        <v>19.949788376978901</v>
      </c>
      <c r="U144">
        <f t="shared" ca="1" si="29"/>
        <v>46.015525711507195</v>
      </c>
    </row>
    <row r="145" spans="1:21" x14ac:dyDescent="0.45">
      <c r="A145">
        <f t="shared" ca="1" si="21"/>
        <v>21</v>
      </c>
      <c r="B145">
        <v>0.32</v>
      </c>
      <c r="C145">
        <f t="shared" ca="1" si="22"/>
        <v>16.5</v>
      </c>
      <c r="D145">
        <v>36.229999999999997</v>
      </c>
      <c r="E145" s="3">
        <v>6852</v>
      </c>
      <c r="F145">
        <v>8.0299999999999994</v>
      </c>
      <c r="G145">
        <v>5.65</v>
      </c>
      <c r="H145">
        <v>63.1</v>
      </c>
      <c r="I145">
        <v>12.18</v>
      </c>
      <c r="J145">
        <v>7.35</v>
      </c>
      <c r="K145">
        <f t="shared" ca="1" si="23"/>
        <v>0.20399999788938139</v>
      </c>
      <c r="M145">
        <f t="shared" ca="1" si="30"/>
        <v>23.676470833196078</v>
      </c>
      <c r="N145">
        <f t="shared" ca="1" si="24"/>
        <v>49.176470833196078</v>
      </c>
      <c r="O145">
        <f t="shared" ca="1" si="25"/>
        <v>20.131578847087795</v>
      </c>
      <c r="P145">
        <v>12.153846153846199</v>
      </c>
      <c r="Q145">
        <v>4.5</v>
      </c>
      <c r="R145">
        <f t="shared" ca="1" si="26"/>
        <v>19.899999999999999</v>
      </c>
      <c r="S145">
        <f t="shared" ca="1" si="27"/>
        <v>0.23157884708779708</v>
      </c>
      <c r="T145">
        <f t="shared" ca="1" si="28"/>
        <v>20.131578847087795</v>
      </c>
      <c r="U145">
        <f t="shared" ca="1" si="29"/>
        <v>49.176470833196078</v>
      </c>
    </row>
    <row r="146" spans="1:21" x14ac:dyDescent="0.45">
      <c r="A146">
        <f t="shared" ca="1" si="21"/>
        <v>18</v>
      </c>
      <c r="B146">
        <v>0.32</v>
      </c>
      <c r="C146">
        <f t="shared" ca="1" si="22"/>
        <v>15.4</v>
      </c>
      <c r="D146">
        <v>40.9</v>
      </c>
      <c r="E146" s="3">
        <v>6523</v>
      </c>
      <c r="F146">
        <v>9.6</v>
      </c>
      <c r="G146">
        <v>6.59</v>
      </c>
      <c r="H146">
        <v>63.8</v>
      </c>
      <c r="I146">
        <v>12.53</v>
      </c>
      <c r="J146">
        <v>7.3</v>
      </c>
      <c r="K146">
        <f t="shared" ca="1" si="23"/>
        <v>0.21288579773312447</v>
      </c>
      <c r="M146">
        <f t="shared" ca="1" si="30"/>
        <v>24.567162561761748</v>
      </c>
      <c r="N146">
        <f t="shared" ca="1" si="24"/>
        <v>47.067162561761748</v>
      </c>
      <c r="O146">
        <f t="shared" ca="1" si="25"/>
        <v>19.631521207328419</v>
      </c>
      <c r="P146">
        <v>11.262499999999999</v>
      </c>
      <c r="Q146">
        <v>4.5</v>
      </c>
      <c r="R146">
        <f t="shared" ca="1" si="26"/>
        <v>19</v>
      </c>
      <c r="S146">
        <f t="shared" ca="1" si="27"/>
        <v>0.6315212073284191</v>
      </c>
      <c r="T146">
        <f t="shared" ca="1" si="28"/>
        <v>19.631521207328419</v>
      </c>
      <c r="U146">
        <f t="shared" ca="1" si="29"/>
        <v>47.067162561761748</v>
      </c>
    </row>
    <row r="147" spans="1:21" x14ac:dyDescent="0.45">
      <c r="A147">
        <f t="shared" ca="1" si="21"/>
        <v>20</v>
      </c>
      <c r="B147">
        <v>0.32</v>
      </c>
      <c r="C147">
        <f t="shared" ca="1" si="22"/>
        <v>14.5</v>
      </c>
      <c r="D147">
        <v>40.479999999999997</v>
      </c>
      <c r="E147" s="3">
        <v>6385</v>
      </c>
      <c r="F147">
        <v>6.6</v>
      </c>
      <c r="G147">
        <v>9.56</v>
      </c>
      <c r="H147">
        <v>59.68</v>
      </c>
      <c r="I147">
        <v>12.63</v>
      </c>
      <c r="J147">
        <v>7.2</v>
      </c>
      <c r="K147">
        <f t="shared" ca="1" si="23"/>
        <v>0.26640753047534121</v>
      </c>
      <c r="M147">
        <f t="shared" ca="1" si="30"/>
        <v>20.382306725006799</v>
      </c>
      <c r="N147">
        <f t="shared" ca="1" si="24"/>
        <v>44.882306725006799</v>
      </c>
      <c r="O147">
        <f t="shared" ca="1" si="25"/>
        <v>19.384030445014261</v>
      </c>
      <c r="P147">
        <v>14.345454545454499</v>
      </c>
      <c r="Q147">
        <v>4.5</v>
      </c>
      <c r="R147">
        <f t="shared" ca="1" si="26"/>
        <v>19</v>
      </c>
      <c r="S147">
        <f t="shared" ca="1" si="27"/>
        <v>0.38403044501425865</v>
      </c>
      <c r="T147">
        <f t="shared" ca="1" si="28"/>
        <v>19.384030445014258</v>
      </c>
      <c r="U147">
        <f t="shared" ca="1" si="29"/>
        <v>44.882306725006799</v>
      </c>
    </row>
    <row r="148" spans="1:21" x14ac:dyDescent="0.45">
      <c r="A148">
        <f t="shared" ca="1" si="21"/>
        <v>20</v>
      </c>
      <c r="B148">
        <v>0.32</v>
      </c>
      <c r="C148">
        <f t="shared" ca="1" si="22"/>
        <v>15.3</v>
      </c>
      <c r="D148">
        <v>41.71</v>
      </c>
      <c r="E148" s="3">
        <v>6533</v>
      </c>
      <c r="F148">
        <v>9.44</v>
      </c>
      <c r="G148">
        <v>9.5500000000000007</v>
      </c>
      <c r="H148">
        <v>61.2</v>
      </c>
      <c r="I148">
        <v>12.62</v>
      </c>
      <c r="J148">
        <v>7.15</v>
      </c>
      <c r="K148">
        <f t="shared" ca="1" si="23"/>
        <v>0.24682548599397472</v>
      </c>
      <c r="M148">
        <f t="shared" ca="1" si="30"/>
        <v>22.161406784927905</v>
      </c>
      <c r="N148">
        <f t="shared" ca="1" si="24"/>
        <v>46.661406784927905</v>
      </c>
      <c r="O148">
        <f t="shared" ca="1" si="25"/>
        <v>19.673646022531045</v>
      </c>
      <c r="P148">
        <v>15.79</v>
      </c>
      <c r="Q148">
        <v>4.5</v>
      </c>
      <c r="R148">
        <f t="shared" ca="1" si="26"/>
        <v>19.600000000000001</v>
      </c>
      <c r="S148">
        <f t="shared" ca="1" si="27"/>
        <v>7.3646022531042798E-2</v>
      </c>
      <c r="T148">
        <f t="shared" ca="1" si="28"/>
        <v>19.673646022531045</v>
      </c>
      <c r="U148">
        <f t="shared" ca="1" si="29"/>
        <v>46.661406784927905</v>
      </c>
    </row>
    <row r="149" spans="1:21" x14ac:dyDescent="0.45">
      <c r="A149">
        <f t="shared" ca="1" si="21"/>
        <v>19</v>
      </c>
      <c r="B149">
        <v>0.32</v>
      </c>
      <c r="C149">
        <f t="shared" ca="1" si="22"/>
        <v>16.100000000000001</v>
      </c>
      <c r="D149">
        <v>34.28</v>
      </c>
      <c r="E149" s="3">
        <v>6431</v>
      </c>
      <c r="F149">
        <v>7.52</v>
      </c>
      <c r="G149">
        <v>6.52</v>
      </c>
      <c r="H149">
        <v>61.54</v>
      </c>
      <c r="I149">
        <v>12.74</v>
      </c>
      <c r="J149">
        <v>7.23</v>
      </c>
      <c r="K149">
        <f t="shared" ca="1" si="23"/>
        <v>0.22176767505139736</v>
      </c>
      <c r="M149">
        <f t="shared" ca="1" si="30"/>
        <v>24.845821189778853</v>
      </c>
      <c r="N149">
        <f t="shared" ca="1" si="24"/>
        <v>48.345821189778853</v>
      </c>
      <c r="O149">
        <f t="shared" ca="1" si="25"/>
        <v>19.981044405224196</v>
      </c>
      <c r="P149">
        <v>13.342857142857101</v>
      </c>
      <c r="Q149">
        <v>4.5</v>
      </c>
      <c r="R149">
        <f t="shared" ca="1" si="26"/>
        <v>19.100000000000001</v>
      </c>
      <c r="S149">
        <f t="shared" ca="1" si="27"/>
        <v>0.88104440522419614</v>
      </c>
      <c r="T149">
        <f t="shared" ca="1" si="28"/>
        <v>19.981044405224196</v>
      </c>
      <c r="U149">
        <f t="shared" ca="1" si="29"/>
        <v>48.345821189778853</v>
      </c>
    </row>
    <row r="150" spans="1:21" x14ac:dyDescent="0.45">
      <c r="A150">
        <f t="shared" ca="1" si="21"/>
        <v>22</v>
      </c>
      <c r="B150">
        <v>0.32</v>
      </c>
      <c r="C150">
        <f t="shared" ca="1" si="22"/>
        <v>16.3</v>
      </c>
      <c r="D150">
        <v>30.08</v>
      </c>
      <c r="E150" s="3">
        <v>6417</v>
      </c>
      <c r="F150">
        <v>12.25</v>
      </c>
      <c r="G150">
        <v>8.65</v>
      </c>
      <c r="H150">
        <v>53.4</v>
      </c>
      <c r="I150">
        <v>12.82</v>
      </c>
      <c r="J150">
        <v>7.24</v>
      </c>
      <c r="K150">
        <f t="shared" ca="1" si="23"/>
        <v>0.26255527475471085</v>
      </c>
      <c r="M150">
        <f t="shared" ca="1" si="30"/>
        <v>21.252667672409359</v>
      </c>
      <c r="N150">
        <f t="shared" ca="1" si="24"/>
        <v>47.752667672409359</v>
      </c>
      <c r="O150">
        <f t="shared" ca="1" si="25"/>
        <v>20.480531196900461</v>
      </c>
      <c r="P150">
        <v>15.521311475409799</v>
      </c>
      <c r="Q150">
        <v>4.5</v>
      </c>
      <c r="R150">
        <f t="shared" ca="1" si="26"/>
        <v>19.8</v>
      </c>
      <c r="S150">
        <f t="shared" ca="1" si="27"/>
        <v>0.68053119690046104</v>
      </c>
      <c r="T150">
        <f t="shared" ca="1" si="28"/>
        <v>20.480531196900461</v>
      </c>
      <c r="U150">
        <f t="shared" ca="1" si="29"/>
        <v>47.752667672409359</v>
      </c>
    </row>
    <row r="151" spans="1:21" x14ac:dyDescent="0.45">
      <c r="A151">
        <f t="shared" ca="1" si="21"/>
        <v>17</v>
      </c>
      <c r="B151">
        <v>0.32</v>
      </c>
      <c r="C151">
        <f t="shared" ca="1" si="22"/>
        <v>16.399999999999999</v>
      </c>
      <c r="D151">
        <v>41.73</v>
      </c>
      <c r="E151" s="3">
        <v>6567</v>
      </c>
      <c r="F151">
        <v>13.49</v>
      </c>
      <c r="G151">
        <v>13.72</v>
      </c>
      <c r="H151">
        <v>52.7</v>
      </c>
      <c r="I151">
        <v>12.73</v>
      </c>
      <c r="J151">
        <v>7.12</v>
      </c>
      <c r="K151">
        <f t="shared" ca="1" si="23"/>
        <v>0.19294366917326225</v>
      </c>
      <c r="M151">
        <f t="shared" ca="1" si="30"/>
        <v>29.07584386695919</v>
      </c>
      <c r="N151">
        <f t="shared" ca="1" si="24"/>
        <v>50.57584386695919</v>
      </c>
      <c r="O151">
        <f t="shared" ca="1" si="25"/>
        <v>19.455928458424388</v>
      </c>
      <c r="P151">
        <v>13.5342857142857</v>
      </c>
      <c r="Q151">
        <v>4.5</v>
      </c>
      <c r="R151">
        <f t="shared" ca="1" si="26"/>
        <v>19.399999999999999</v>
      </c>
      <c r="S151">
        <f t="shared" ca="1" si="27"/>
        <v>5.5928458424390093E-2</v>
      </c>
      <c r="T151">
        <f t="shared" ca="1" si="28"/>
        <v>19.455928458424388</v>
      </c>
      <c r="U151">
        <f t="shared" ca="1" si="29"/>
        <v>50.57584386695919</v>
      </c>
    </row>
    <row r="152" spans="1:21" x14ac:dyDescent="0.45">
      <c r="A152">
        <f t="shared" ca="1" si="21"/>
        <v>17</v>
      </c>
      <c r="B152">
        <v>0.32</v>
      </c>
      <c r="C152">
        <f t="shared" ca="1" si="22"/>
        <v>14.8</v>
      </c>
      <c r="D152">
        <v>40.35</v>
      </c>
      <c r="E152" s="3">
        <v>6357</v>
      </c>
      <c r="F152">
        <v>10.36</v>
      </c>
      <c r="G152">
        <v>7.16</v>
      </c>
      <c r="H152">
        <v>54</v>
      </c>
      <c r="I152">
        <v>12.41</v>
      </c>
      <c r="J152">
        <v>7.21</v>
      </c>
      <c r="K152">
        <f t="shared" ca="1" si="23"/>
        <v>0.21510706524809303</v>
      </c>
      <c r="M152">
        <f t="shared" ca="1" si="30"/>
        <v>24.174008389741161</v>
      </c>
      <c r="N152">
        <f t="shared" ca="1" si="24"/>
        <v>45.674008389741161</v>
      </c>
      <c r="O152">
        <f t="shared" ca="1" si="25"/>
        <v>19.442129808765674</v>
      </c>
      <c r="P152">
        <v>14.5292307692308</v>
      </c>
      <c r="Q152">
        <v>4.5</v>
      </c>
      <c r="R152">
        <f t="shared" ca="1" si="26"/>
        <v>19.2</v>
      </c>
      <c r="S152">
        <f t="shared" ca="1" si="27"/>
        <v>0.24212980876567081</v>
      </c>
      <c r="T152">
        <f t="shared" ca="1" si="28"/>
        <v>19.442129808765671</v>
      </c>
      <c r="U152">
        <f t="shared" ca="1" si="29"/>
        <v>45.674008389741161</v>
      </c>
    </row>
    <row r="153" spans="1:21" x14ac:dyDescent="0.45">
      <c r="A153">
        <f t="shared" ca="1" si="21"/>
        <v>17</v>
      </c>
      <c r="B153">
        <v>0.32</v>
      </c>
      <c r="C153">
        <f t="shared" ca="1" si="22"/>
        <v>14.5</v>
      </c>
      <c r="D153">
        <v>39.07</v>
      </c>
      <c r="E153" s="3">
        <v>6637</v>
      </c>
      <c r="F153">
        <v>12.15</v>
      </c>
      <c r="G153">
        <v>9.61</v>
      </c>
      <c r="H153">
        <v>53.8</v>
      </c>
      <c r="I153">
        <v>12.2</v>
      </c>
      <c r="J153">
        <v>7.15</v>
      </c>
      <c r="K153">
        <f t="shared" ca="1" si="23"/>
        <v>0.23656452312293985</v>
      </c>
      <c r="M153">
        <f t="shared" ca="1" si="30"/>
        <v>21.347241477013746</v>
      </c>
      <c r="N153">
        <f t="shared" ca="1" si="24"/>
        <v>42.847241477013746</v>
      </c>
      <c r="O153">
        <f t="shared" ca="1" si="25"/>
        <v>20.304691037501883</v>
      </c>
      <c r="P153">
        <v>13.44</v>
      </c>
      <c r="Q153">
        <v>4.5</v>
      </c>
      <c r="R153">
        <f t="shared" ca="1" si="26"/>
        <v>19.8</v>
      </c>
      <c r="S153">
        <f t="shared" ca="1" si="27"/>
        <v>0.50469103750188171</v>
      </c>
      <c r="T153">
        <f t="shared" ca="1" si="28"/>
        <v>20.304691037501883</v>
      </c>
      <c r="U153">
        <f t="shared" ca="1" si="29"/>
        <v>42.847241477013746</v>
      </c>
    </row>
    <row r="154" spans="1:21" x14ac:dyDescent="0.45">
      <c r="A154">
        <f t="shared" ca="1" si="21"/>
        <v>16</v>
      </c>
      <c r="B154">
        <v>0.32</v>
      </c>
      <c r="C154">
        <f t="shared" ca="1" si="22"/>
        <v>16.3</v>
      </c>
      <c r="D154">
        <v>43.24</v>
      </c>
      <c r="E154" s="3">
        <v>6421</v>
      </c>
      <c r="F154">
        <v>6.78</v>
      </c>
      <c r="G154">
        <v>7.56</v>
      </c>
      <c r="H154">
        <v>65.400000000000006</v>
      </c>
      <c r="I154">
        <v>11.98</v>
      </c>
      <c r="J154">
        <v>7.4</v>
      </c>
      <c r="K154">
        <f t="shared" ca="1" si="23"/>
        <v>0.15329477681688292</v>
      </c>
      <c r="M154">
        <f t="shared" ca="1" si="30"/>
        <v>29.877077974228719</v>
      </c>
      <c r="N154">
        <f t="shared" ca="1" si="24"/>
        <v>50.377077974228719</v>
      </c>
      <c r="O154">
        <f t="shared" ca="1" si="25"/>
        <v>19.413591246803023</v>
      </c>
      <c r="P154">
        <v>14.345454545454499</v>
      </c>
      <c r="Q154">
        <v>4.5</v>
      </c>
      <c r="R154">
        <f t="shared" ca="1" si="26"/>
        <v>19.100000000000001</v>
      </c>
      <c r="S154">
        <f t="shared" ca="1" si="27"/>
        <v>0.31359124680302231</v>
      </c>
      <c r="T154">
        <f t="shared" ca="1" si="28"/>
        <v>19.413591246803023</v>
      </c>
      <c r="U154">
        <f t="shared" ca="1" si="29"/>
        <v>50.377077974228719</v>
      </c>
    </row>
    <row r="155" spans="1:21" x14ac:dyDescent="0.45">
      <c r="A155">
        <f t="shared" ca="1" si="21"/>
        <v>22</v>
      </c>
      <c r="B155">
        <v>0.32</v>
      </c>
      <c r="C155">
        <f t="shared" ca="1" si="22"/>
        <v>16.3</v>
      </c>
      <c r="D155">
        <v>41.43</v>
      </c>
      <c r="E155" s="3">
        <v>6884</v>
      </c>
      <c r="F155">
        <v>9.67</v>
      </c>
      <c r="G155">
        <v>12.93</v>
      </c>
      <c r="H155">
        <v>55.3</v>
      </c>
      <c r="I155">
        <v>11.92</v>
      </c>
      <c r="J155">
        <v>7.32</v>
      </c>
      <c r="K155">
        <f t="shared" ca="1" si="23"/>
        <v>0.2119603750017055</v>
      </c>
      <c r="M155">
        <f t="shared" ca="1" si="30"/>
        <v>21.702169568076044</v>
      </c>
      <c r="N155">
        <f t="shared" ca="1" si="24"/>
        <v>48.202169568076044</v>
      </c>
      <c r="O155">
        <f t="shared" ca="1" si="25"/>
        <v>20.289543162964236</v>
      </c>
      <c r="P155">
        <v>15.0857142857143</v>
      </c>
      <c r="Q155">
        <v>4.5</v>
      </c>
      <c r="R155">
        <f t="shared" ca="1" si="26"/>
        <v>19.3</v>
      </c>
      <c r="S155">
        <f t="shared" ca="1" si="27"/>
        <v>0.98954316296423461</v>
      </c>
      <c r="T155">
        <f t="shared" ca="1" si="28"/>
        <v>20.289543162964236</v>
      </c>
      <c r="U155">
        <f t="shared" ca="1" si="29"/>
        <v>48.202169568076044</v>
      </c>
    </row>
    <row r="156" spans="1:21" x14ac:dyDescent="0.45">
      <c r="A156">
        <f t="shared" ca="1" si="21"/>
        <v>17</v>
      </c>
      <c r="B156">
        <v>0.32</v>
      </c>
      <c r="C156">
        <f t="shared" ca="1" si="22"/>
        <v>15.1</v>
      </c>
      <c r="D156">
        <v>41.37</v>
      </c>
      <c r="E156" s="3">
        <v>6472</v>
      </c>
      <c r="F156">
        <v>8.7100000000000009</v>
      </c>
      <c r="G156">
        <v>11.48</v>
      </c>
      <c r="H156">
        <v>55.1</v>
      </c>
      <c r="I156">
        <v>12.4</v>
      </c>
      <c r="J156">
        <v>7.37</v>
      </c>
      <c r="K156">
        <f t="shared" ca="1" si="23"/>
        <v>0.2071803556079399</v>
      </c>
      <c r="M156">
        <f t="shared" ca="1" si="30"/>
        <v>24.278363579598143</v>
      </c>
      <c r="N156">
        <f t="shared" ca="1" si="24"/>
        <v>45.778363579598143</v>
      </c>
      <c r="O156">
        <f t="shared" ca="1" si="25"/>
        <v>19.791008877472706</v>
      </c>
      <c r="P156">
        <v>13.826086956521699</v>
      </c>
      <c r="Q156">
        <v>4.5</v>
      </c>
      <c r="R156">
        <f t="shared" ca="1" si="26"/>
        <v>19.2</v>
      </c>
      <c r="S156">
        <f t="shared" ca="1" si="27"/>
        <v>0.59100887747270792</v>
      </c>
      <c r="T156">
        <f t="shared" ca="1" si="28"/>
        <v>19.791008877472706</v>
      </c>
      <c r="U156">
        <f t="shared" ca="1" si="29"/>
        <v>45.778363579598143</v>
      </c>
    </row>
    <row r="157" spans="1:21" x14ac:dyDescent="0.45">
      <c r="A157">
        <f t="shared" ca="1" si="21"/>
        <v>16</v>
      </c>
      <c r="B157">
        <v>0.32</v>
      </c>
      <c r="C157">
        <f t="shared" ca="1" si="22"/>
        <v>16.399999999999999</v>
      </c>
      <c r="D157">
        <v>40.65</v>
      </c>
      <c r="E157" s="3">
        <v>6806</v>
      </c>
      <c r="F157">
        <v>8.7200000000000006</v>
      </c>
      <c r="G157">
        <v>11.21</v>
      </c>
      <c r="H157">
        <v>72.400000000000006</v>
      </c>
      <c r="I157">
        <v>11.97</v>
      </c>
      <c r="J157">
        <v>7.32</v>
      </c>
      <c r="K157">
        <f t="shared" ca="1" si="23"/>
        <v>0.16491722845515666</v>
      </c>
      <c r="M157">
        <f t="shared" ca="1" si="30"/>
        <v>28.195962565938956</v>
      </c>
      <c r="N157">
        <f t="shared" ca="1" si="24"/>
        <v>48.695962565938956</v>
      </c>
      <c r="O157">
        <f t="shared" ca="1" si="25"/>
        <v>20.207014055170806</v>
      </c>
      <c r="P157">
        <v>17.522222222222201</v>
      </c>
      <c r="Q157">
        <v>4.5</v>
      </c>
      <c r="R157">
        <f t="shared" ca="1" si="26"/>
        <v>19.5</v>
      </c>
      <c r="S157">
        <f t="shared" ca="1" si="27"/>
        <v>0.70701405517080562</v>
      </c>
      <c r="T157">
        <f t="shared" ca="1" si="28"/>
        <v>20.207014055170806</v>
      </c>
      <c r="U157">
        <f t="shared" ca="1" si="29"/>
        <v>48.695962565938956</v>
      </c>
    </row>
    <row r="158" spans="1:21" x14ac:dyDescent="0.45">
      <c r="A158">
        <f t="shared" ca="1" si="21"/>
        <v>20</v>
      </c>
      <c r="B158">
        <v>0.32</v>
      </c>
      <c r="C158">
        <f t="shared" ca="1" si="22"/>
        <v>14.7</v>
      </c>
      <c r="D158">
        <v>39.26</v>
      </c>
      <c r="E158" s="3">
        <v>6547</v>
      </c>
      <c r="F158">
        <v>13.25</v>
      </c>
      <c r="G158">
        <v>8.08</v>
      </c>
      <c r="H158">
        <v>65.209999999999994</v>
      </c>
      <c r="I158">
        <v>12.17</v>
      </c>
      <c r="J158">
        <v>7.19</v>
      </c>
      <c r="K158">
        <f t="shared" ca="1" si="23"/>
        <v>0.26857841192787646</v>
      </c>
      <c r="M158">
        <f t="shared" ca="1" si="30"/>
        <v>18.542071063169885</v>
      </c>
      <c r="N158">
        <f t="shared" ca="1" si="24"/>
        <v>43.042071063169885</v>
      </c>
      <c r="O158">
        <f t="shared" ca="1" si="25"/>
        <v>20.491579011278276</v>
      </c>
      <c r="P158">
        <v>12.249350649350699</v>
      </c>
      <c r="Q158">
        <v>4.5</v>
      </c>
      <c r="R158">
        <f t="shared" ca="1" si="26"/>
        <v>20</v>
      </c>
      <c r="S158">
        <f t="shared" ca="1" si="27"/>
        <v>0.49157901127827408</v>
      </c>
      <c r="T158">
        <f t="shared" ca="1" si="28"/>
        <v>20.491579011278276</v>
      </c>
      <c r="U158">
        <f t="shared" ca="1" si="29"/>
        <v>43.042071063169885</v>
      </c>
    </row>
    <row r="159" spans="1:21" x14ac:dyDescent="0.45">
      <c r="A159">
        <f t="shared" ca="1" si="21"/>
        <v>16</v>
      </c>
      <c r="B159">
        <v>0.32</v>
      </c>
      <c r="C159">
        <f t="shared" ca="1" si="22"/>
        <v>15</v>
      </c>
      <c r="D159">
        <v>41.154000000000003</v>
      </c>
      <c r="E159" s="3">
        <v>6458</v>
      </c>
      <c r="F159">
        <v>6.48</v>
      </c>
      <c r="G159">
        <v>5.79</v>
      </c>
      <c r="H159">
        <v>50.6</v>
      </c>
      <c r="I159">
        <v>12.6</v>
      </c>
      <c r="J159">
        <v>7.45</v>
      </c>
      <c r="K159">
        <f t="shared" ca="1" si="23"/>
        <v>0.20886635733238851</v>
      </c>
      <c r="M159">
        <f t="shared" ca="1" si="30"/>
        <v>24.656914908533231</v>
      </c>
      <c r="N159">
        <f t="shared" ca="1" si="24"/>
        <v>45.156914908533231</v>
      </c>
      <c r="O159">
        <f t="shared" ca="1" si="25"/>
        <v>19.930502378716053</v>
      </c>
      <c r="P159">
        <v>12.561038961038999</v>
      </c>
      <c r="Q159">
        <v>4.5</v>
      </c>
      <c r="R159">
        <f t="shared" ca="1" si="26"/>
        <v>19.2</v>
      </c>
      <c r="S159">
        <f t="shared" ca="1" si="27"/>
        <v>0.73050237871605195</v>
      </c>
      <c r="T159">
        <f t="shared" ca="1" si="28"/>
        <v>19.930502378716053</v>
      </c>
      <c r="U159">
        <f t="shared" ca="1" si="29"/>
        <v>45.156914908533231</v>
      </c>
    </row>
    <row r="160" spans="1:21" x14ac:dyDescent="0.45">
      <c r="A160">
        <f t="shared" ca="1" si="21"/>
        <v>21</v>
      </c>
      <c r="B160">
        <v>0.32</v>
      </c>
      <c r="C160">
        <f t="shared" ca="1" si="22"/>
        <v>14.8</v>
      </c>
      <c r="D160">
        <v>33.159999999999997</v>
      </c>
      <c r="E160" s="3">
        <v>4445</v>
      </c>
      <c r="F160">
        <v>4.53</v>
      </c>
      <c r="G160">
        <v>8.75</v>
      </c>
      <c r="H160">
        <v>53.8</v>
      </c>
      <c r="I160">
        <v>12.31</v>
      </c>
      <c r="J160">
        <v>7.19</v>
      </c>
      <c r="K160">
        <f t="shared" ca="1" si="23"/>
        <v>0.28039849397400957</v>
      </c>
      <c r="M160">
        <f t="shared" ca="1" si="30"/>
        <v>18.259727174121622</v>
      </c>
      <c r="N160">
        <f t="shared" ca="1" si="24"/>
        <v>43.759727174121622</v>
      </c>
      <c r="O160">
        <f t="shared" ca="1" si="25"/>
        <v>20.292631086720768</v>
      </c>
      <c r="P160">
        <v>11.569230769230799</v>
      </c>
      <c r="Q160">
        <v>4.5</v>
      </c>
      <c r="R160">
        <f t="shared" ca="1" si="26"/>
        <v>19.399999999999999</v>
      </c>
      <c r="S160">
        <f t="shared" ca="1" si="27"/>
        <v>0.89263108672076907</v>
      </c>
      <c r="T160">
        <f t="shared" ca="1" si="28"/>
        <v>20.292631086720768</v>
      </c>
      <c r="U160">
        <f t="shared" ca="1" si="29"/>
        <v>43.759727174121622</v>
      </c>
    </row>
    <row r="161" spans="1:21" x14ac:dyDescent="0.45">
      <c r="A161">
        <f t="shared" ca="1" si="21"/>
        <v>19</v>
      </c>
      <c r="B161">
        <v>0.32</v>
      </c>
      <c r="C161">
        <f t="shared" ca="1" si="22"/>
        <v>14.8</v>
      </c>
      <c r="D161">
        <v>32.75</v>
      </c>
      <c r="E161" s="3">
        <v>4562</v>
      </c>
      <c r="F161">
        <v>1.88</v>
      </c>
      <c r="G161">
        <v>8.39</v>
      </c>
      <c r="H161">
        <v>54.1</v>
      </c>
      <c r="I161">
        <v>11.56</v>
      </c>
      <c r="J161">
        <v>7.23</v>
      </c>
      <c r="K161">
        <f t="shared" ca="1" si="23"/>
        <v>0.18841993842642077</v>
      </c>
      <c r="M161">
        <f t="shared" ca="1" si="30"/>
        <v>22.980582820277768</v>
      </c>
      <c r="N161">
        <f t="shared" ca="1" si="24"/>
        <v>46.480582820277768</v>
      </c>
      <c r="O161">
        <f t="shared" ca="1" si="25"/>
        <v>19.104751836558261</v>
      </c>
      <c r="P161">
        <v>15.6</v>
      </c>
      <c r="Q161">
        <v>4.5</v>
      </c>
      <c r="R161">
        <f t="shared" ca="1" si="26"/>
        <v>19</v>
      </c>
      <c r="S161">
        <f t="shared" ca="1" si="27"/>
        <v>0.10475183655826215</v>
      </c>
      <c r="T161">
        <f t="shared" ca="1" si="28"/>
        <v>19.104751836558261</v>
      </c>
      <c r="U161">
        <f t="shared" ca="1" si="29"/>
        <v>46.480582820277768</v>
      </c>
    </row>
    <row r="162" spans="1:21" x14ac:dyDescent="0.45">
      <c r="A162">
        <f t="shared" ca="1" si="21"/>
        <v>21</v>
      </c>
      <c r="B162">
        <v>0.32</v>
      </c>
      <c r="C162">
        <f t="shared" ca="1" si="22"/>
        <v>15.5</v>
      </c>
      <c r="D162">
        <v>31.88</v>
      </c>
      <c r="E162" s="3">
        <v>4603</v>
      </c>
      <c r="F162">
        <v>5.91</v>
      </c>
      <c r="G162">
        <v>8.11</v>
      </c>
      <c r="H162">
        <v>52</v>
      </c>
      <c r="I162">
        <v>12.36</v>
      </c>
      <c r="J162">
        <v>7.19</v>
      </c>
      <c r="K162">
        <f t="shared" ca="1" si="23"/>
        <v>0.26445206885476191</v>
      </c>
      <c r="M162">
        <f t="shared" ca="1" si="30"/>
        <v>19.549856510441529</v>
      </c>
      <c r="N162">
        <f t="shared" ca="1" si="24"/>
        <v>45.049856510441529</v>
      </c>
      <c r="O162">
        <f t="shared" ca="1" si="25"/>
        <v>20.643794942708578</v>
      </c>
      <c r="P162">
        <v>13.4571428571429</v>
      </c>
      <c r="Q162">
        <v>4.5</v>
      </c>
      <c r="R162">
        <f t="shared" ca="1" si="26"/>
        <v>19.7</v>
      </c>
      <c r="S162">
        <f t="shared" ca="1" si="27"/>
        <v>0.94379494270857689</v>
      </c>
      <c r="T162">
        <f t="shared" ca="1" si="28"/>
        <v>20.643794942708578</v>
      </c>
      <c r="U162">
        <f t="shared" ca="1" si="29"/>
        <v>45.049856510441529</v>
      </c>
    </row>
    <row r="163" spans="1:21" x14ac:dyDescent="0.45">
      <c r="A163">
        <f t="shared" ca="1" si="21"/>
        <v>22</v>
      </c>
      <c r="B163">
        <v>0.32</v>
      </c>
      <c r="C163">
        <f t="shared" ca="1" si="22"/>
        <v>15.2</v>
      </c>
      <c r="D163">
        <v>40.31</v>
      </c>
      <c r="E163" s="3">
        <v>4599</v>
      </c>
      <c r="F163">
        <v>10.73</v>
      </c>
      <c r="G163">
        <v>3.06</v>
      </c>
      <c r="H163">
        <v>55.6</v>
      </c>
      <c r="I163">
        <v>11.44</v>
      </c>
      <c r="J163">
        <v>7.19</v>
      </c>
      <c r="K163">
        <f t="shared" si="23"/>
        <v>6.7460317460317443E-2</v>
      </c>
      <c r="M163">
        <v>63</v>
      </c>
      <c r="N163">
        <f t="shared" ca="1" si="24"/>
        <v>44.365744251183848</v>
      </c>
      <c r="O163">
        <f t="shared" ca="1" si="25"/>
        <v>20.556400335280397</v>
      </c>
      <c r="P163">
        <v>11.6022471910112</v>
      </c>
      <c r="Q163">
        <v>4.5</v>
      </c>
      <c r="R163">
        <f t="shared" ca="1" si="26"/>
        <v>20</v>
      </c>
      <c r="S163">
        <f t="shared" ca="1" si="27"/>
        <v>0.55640033528039701</v>
      </c>
      <c r="T163">
        <f t="shared" ca="1" si="28"/>
        <v>20.556400335280397</v>
      </c>
      <c r="U163">
        <f t="shared" ca="1" si="29"/>
        <v>44.365744251183848</v>
      </c>
    </row>
    <row r="164" spans="1:21" x14ac:dyDescent="0.45">
      <c r="A164">
        <f t="shared" ca="1" si="21"/>
        <v>21</v>
      </c>
      <c r="B164">
        <v>0.32</v>
      </c>
      <c r="C164">
        <f t="shared" ca="1" si="22"/>
        <v>14.7</v>
      </c>
      <c r="D164">
        <v>33.869999999999997</v>
      </c>
      <c r="E164" s="3">
        <v>4817</v>
      </c>
      <c r="F164">
        <v>2.33</v>
      </c>
      <c r="G164">
        <v>7.92</v>
      </c>
      <c r="H164">
        <v>57</v>
      </c>
      <c r="I164">
        <v>12.28</v>
      </c>
      <c r="J164">
        <v>7.23</v>
      </c>
      <c r="K164">
        <f t="shared" si="23"/>
        <v>0.11744186046511626</v>
      </c>
      <c r="M164">
        <v>43</v>
      </c>
      <c r="N164">
        <f t="shared" ca="1" si="24"/>
        <v>44.460176743898963</v>
      </c>
      <c r="O164">
        <f t="shared" ca="1" si="25"/>
        <v>19.837977817329126</v>
      </c>
      <c r="P164">
        <v>13.6782608695652</v>
      </c>
      <c r="Q164">
        <v>4.5</v>
      </c>
      <c r="R164">
        <f t="shared" ca="1" si="26"/>
        <v>19.2</v>
      </c>
      <c r="S164">
        <f t="shared" ca="1" si="27"/>
        <v>0.63797781732912917</v>
      </c>
      <c r="T164">
        <f t="shared" ca="1" si="28"/>
        <v>19.837977817329129</v>
      </c>
      <c r="U164">
        <f t="shared" ca="1" si="29"/>
        <v>44.460176743898963</v>
      </c>
    </row>
    <row r="165" spans="1:21" x14ac:dyDescent="0.45">
      <c r="A165">
        <f t="shared" ca="1" si="21"/>
        <v>17</v>
      </c>
      <c r="B165">
        <v>0.32</v>
      </c>
      <c r="C165">
        <f t="shared" ca="1" si="22"/>
        <v>15.8</v>
      </c>
      <c r="D165">
        <v>32.450000000000003</v>
      </c>
      <c r="E165" s="3">
        <v>4736</v>
      </c>
      <c r="F165">
        <v>1.27</v>
      </c>
      <c r="G165">
        <v>6.21</v>
      </c>
      <c r="H165">
        <v>56</v>
      </c>
      <c r="I165">
        <v>12.29</v>
      </c>
      <c r="J165">
        <v>7.2</v>
      </c>
      <c r="K165">
        <f t="shared" si="23"/>
        <v>0.13756756756756755</v>
      </c>
      <c r="M165">
        <v>37</v>
      </c>
      <c r="N165">
        <f t="shared" ca="1" si="24"/>
        <v>46.59039542574326</v>
      </c>
      <c r="O165">
        <f t="shared" ca="1" si="25"/>
        <v>20.347541404986405</v>
      </c>
      <c r="P165">
        <v>17.95</v>
      </c>
      <c r="Q165">
        <v>4.5</v>
      </c>
      <c r="R165">
        <f t="shared" ca="1" si="26"/>
        <v>19.5</v>
      </c>
      <c r="S165">
        <f t="shared" ca="1" si="27"/>
        <v>0.84754140498640074</v>
      </c>
      <c r="T165">
        <f t="shared" ca="1" si="28"/>
        <v>20.347541404986401</v>
      </c>
      <c r="U165">
        <f t="shared" ca="1" si="29"/>
        <v>46.59039542574326</v>
      </c>
    </row>
    <row r="166" spans="1:21" x14ac:dyDescent="0.45">
      <c r="A166">
        <f t="shared" ca="1" si="21"/>
        <v>22</v>
      </c>
      <c r="B166">
        <v>0.32</v>
      </c>
      <c r="C166">
        <f t="shared" ca="1" si="22"/>
        <v>14.8</v>
      </c>
      <c r="D166">
        <v>36.479999999999997</v>
      </c>
      <c r="E166" s="3">
        <v>4813</v>
      </c>
      <c r="F166">
        <v>7.15</v>
      </c>
      <c r="G166">
        <v>7.52</v>
      </c>
      <c r="H166">
        <v>56</v>
      </c>
      <c r="I166">
        <v>12.22</v>
      </c>
      <c r="J166">
        <v>7.22</v>
      </c>
      <c r="K166">
        <f t="shared" si="23"/>
        <v>0.12820512820512822</v>
      </c>
      <c r="M166">
        <v>39</v>
      </c>
      <c r="N166">
        <f t="shared" ca="1" si="24"/>
        <v>44.285599520587368</v>
      </c>
      <c r="O166">
        <f t="shared" ca="1" si="25"/>
        <v>20.051664866525947</v>
      </c>
      <c r="P166">
        <v>17.390322580645201</v>
      </c>
      <c r="Q166">
        <v>4.5</v>
      </c>
      <c r="R166">
        <f t="shared" ca="1" si="26"/>
        <v>20</v>
      </c>
      <c r="S166">
        <f t="shared" ca="1" si="27"/>
        <v>5.1664866525947817E-2</v>
      </c>
      <c r="T166">
        <f t="shared" ca="1" si="28"/>
        <v>20.051664866525947</v>
      </c>
      <c r="U166">
        <f t="shared" ca="1" si="29"/>
        <v>44.285599520587368</v>
      </c>
    </row>
    <row r="167" spans="1:21" x14ac:dyDescent="0.45">
      <c r="A167">
        <f t="shared" ca="1" si="21"/>
        <v>16</v>
      </c>
      <c r="B167">
        <v>0.32</v>
      </c>
      <c r="C167">
        <f t="shared" ca="1" si="22"/>
        <v>16.399999999999999</v>
      </c>
      <c r="D167">
        <v>34.43</v>
      </c>
      <c r="E167" s="3">
        <v>7524</v>
      </c>
      <c r="F167">
        <v>11.23</v>
      </c>
      <c r="G167">
        <v>11.96</v>
      </c>
      <c r="H167">
        <v>57</v>
      </c>
      <c r="I167">
        <v>12.35</v>
      </c>
      <c r="J167">
        <v>7.23</v>
      </c>
      <c r="K167">
        <f t="shared" si="23"/>
        <v>0.14222222222222219</v>
      </c>
      <c r="M167">
        <v>36</v>
      </c>
      <c r="N167">
        <f t="shared" ca="1" si="24"/>
        <v>48.279086994835382</v>
      </c>
      <c r="O167">
        <f t="shared" ca="1" si="25"/>
        <v>20.381495617455702</v>
      </c>
      <c r="P167">
        <v>15.85</v>
      </c>
      <c r="Q167">
        <v>4.5</v>
      </c>
      <c r="R167">
        <f t="shared" ca="1" si="26"/>
        <v>20</v>
      </c>
      <c r="S167">
        <f t="shared" ca="1" si="27"/>
        <v>0.38149561745570049</v>
      </c>
      <c r="T167">
        <f t="shared" ca="1" si="28"/>
        <v>20.381495617455702</v>
      </c>
      <c r="U167">
        <f t="shared" ca="1" si="29"/>
        <v>48.279086994835382</v>
      </c>
    </row>
    <row r="168" spans="1:21" x14ac:dyDescent="0.45">
      <c r="A168">
        <f t="shared" ca="1" si="21"/>
        <v>19</v>
      </c>
      <c r="B168">
        <v>0.32</v>
      </c>
      <c r="C168">
        <f t="shared" ca="1" si="22"/>
        <v>15.2</v>
      </c>
      <c r="D168">
        <v>32.270000000000003</v>
      </c>
      <c r="E168" s="3">
        <v>7245</v>
      </c>
      <c r="F168">
        <v>12.99</v>
      </c>
      <c r="G168">
        <v>13.08</v>
      </c>
      <c r="H168">
        <v>52</v>
      </c>
      <c r="I168">
        <v>11.56</v>
      </c>
      <c r="J168">
        <v>7.1</v>
      </c>
      <c r="K168">
        <f t="shared" si="23"/>
        <v>0.24777777777777782</v>
      </c>
      <c r="M168">
        <v>18</v>
      </c>
      <c r="N168">
        <f t="shared" ca="1" si="24"/>
        <v>45.211790195699997</v>
      </c>
      <c r="O168">
        <f t="shared" ca="1" si="25"/>
        <v>20.171729454914139</v>
      </c>
      <c r="P168">
        <v>23.571428571428601</v>
      </c>
      <c r="Q168">
        <v>4.5</v>
      </c>
      <c r="R168">
        <f t="shared" ca="1" si="26"/>
        <v>19.2</v>
      </c>
      <c r="S168">
        <f t="shared" ca="1" si="27"/>
        <v>0.97172945491413831</v>
      </c>
      <c r="T168">
        <f t="shared" ca="1" si="28"/>
        <v>20.171729454914139</v>
      </c>
      <c r="U168">
        <f t="shared" ca="1" si="29"/>
        <v>45.211790195699997</v>
      </c>
    </row>
    <row r="169" spans="1:21" x14ac:dyDescent="0.45">
      <c r="A169">
        <f t="shared" ca="1" si="21"/>
        <v>17</v>
      </c>
      <c r="B169">
        <v>0.32</v>
      </c>
      <c r="C169">
        <f t="shared" ca="1" si="22"/>
        <v>15.7</v>
      </c>
      <c r="D169">
        <v>31.36</v>
      </c>
      <c r="E169" s="3">
        <v>7549</v>
      </c>
      <c r="F169">
        <v>13.49</v>
      </c>
      <c r="G169">
        <v>13.24</v>
      </c>
      <c r="H169">
        <v>58.3</v>
      </c>
      <c r="I169">
        <v>12.07</v>
      </c>
      <c r="J169">
        <v>7</v>
      </c>
      <c r="K169">
        <f t="shared" si="23"/>
        <v>0.23045454545454547</v>
      </c>
      <c r="M169">
        <v>22</v>
      </c>
      <c r="N169">
        <f t="shared" ca="1" si="24"/>
        <v>47.290903075786616</v>
      </c>
      <c r="O169">
        <f t="shared" ca="1" si="25"/>
        <v>19.919264355988009</v>
      </c>
      <c r="P169">
        <v>19.4204081632653</v>
      </c>
      <c r="Q169">
        <v>4.5</v>
      </c>
      <c r="R169">
        <f t="shared" ca="1" si="26"/>
        <v>19.899999999999999</v>
      </c>
      <c r="S169">
        <f t="shared" ca="1" si="27"/>
        <v>1.9264355988012016E-2</v>
      </c>
      <c r="T169">
        <f t="shared" ca="1" si="28"/>
        <v>19.919264355988009</v>
      </c>
      <c r="U169">
        <f t="shared" ca="1" si="29"/>
        <v>47.290903075786616</v>
      </c>
    </row>
    <row r="170" spans="1:21" x14ac:dyDescent="0.45">
      <c r="A170">
        <f t="shared" ca="1" si="21"/>
        <v>18</v>
      </c>
      <c r="B170">
        <v>0.32</v>
      </c>
      <c r="C170">
        <f t="shared" ca="1" si="22"/>
        <v>15.9</v>
      </c>
      <c r="D170">
        <v>31.39</v>
      </c>
      <c r="E170" s="3">
        <v>8264</v>
      </c>
      <c r="F170">
        <v>11.5</v>
      </c>
      <c r="G170">
        <v>10.26</v>
      </c>
      <c r="H170">
        <v>54.2</v>
      </c>
      <c r="I170">
        <v>12.81</v>
      </c>
      <c r="J170">
        <v>7.2</v>
      </c>
      <c r="K170">
        <f t="shared" si="23"/>
        <v>0.1275</v>
      </c>
      <c r="M170">
        <v>44</v>
      </c>
      <c r="N170">
        <f t="shared" ca="1" si="24"/>
        <v>50.05239885524832</v>
      </c>
      <c r="O170">
        <f t="shared" ca="1" si="25"/>
        <v>19.06002552962488</v>
      </c>
      <c r="P170">
        <v>14.52</v>
      </c>
      <c r="Q170">
        <v>4.5</v>
      </c>
      <c r="R170">
        <f t="shared" ca="1" si="26"/>
        <v>19</v>
      </c>
      <c r="S170">
        <f t="shared" ca="1" si="27"/>
        <v>6.0025529624876839E-2</v>
      </c>
      <c r="T170">
        <f t="shared" ca="1" si="28"/>
        <v>19.060025529624877</v>
      </c>
      <c r="U170">
        <f t="shared" ca="1" si="29"/>
        <v>50.05239885524832</v>
      </c>
    </row>
    <row r="171" spans="1:21" x14ac:dyDescent="0.45">
      <c r="A171">
        <f t="shared" ca="1" si="21"/>
        <v>22</v>
      </c>
      <c r="B171">
        <v>0.32</v>
      </c>
      <c r="C171">
        <f t="shared" ca="1" si="22"/>
        <v>15.6</v>
      </c>
      <c r="D171">
        <v>31.97</v>
      </c>
      <c r="E171" s="3">
        <v>7814</v>
      </c>
      <c r="F171">
        <v>12.21</v>
      </c>
      <c r="G171">
        <v>8.3000000000000007</v>
      </c>
      <c r="H171">
        <v>54.6</v>
      </c>
      <c r="I171">
        <v>11.26</v>
      </c>
      <c r="J171">
        <v>7.2</v>
      </c>
      <c r="K171">
        <f t="shared" si="23"/>
        <v>9.441860465116278E-2</v>
      </c>
      <c r="M171">
        <v>43</v>
      </c>
      <c r="N171">
        <f t="shared" ca="1" si="24"/>
        <v>46.925125973282256</v>
      </c>
      <c r="O171">
        <f t="shared" ca="1" si="25"/>
        <v>19.946669946777124</v>
      </c>
      <c r="P171">
        <v>14.464615384615399</v>
      </c>
      <c r="Q171">
        <v>4.5</v>
      </c>
      <c r="R171">
        <f t="shared" ca="1" si="26"/>
        <v>19.5</v>
      </c>
      <c r="S171">
        <f t="shared" ca="1" si="27"/>
        <v>0.44666994677712957</v>
      </c>
      <c r="T171">
        <f t="shared" ca="1" si="28"/>
        <v>19.946669946777128</v>
      </c>
      <c r="U171">
        <f t="shared" ca="1" si="29"/>
        <v>46.925125973282256</v>
      </c>
    </row>
    <row r="172" spans="1:21" x14ac:dyDescent="0.45">
      <c r="A172">
        <f t="shared" ca="1" si="21"/>
        <v>17</v>
      </c>
      <c r="B172">
        <v>0.32</v>
      </c>
      <c r="C172">
        <f t="shared" ca="1" si="22"/>
        <v>15.8</v>
      </c>
      <c r="D172">
        <v>32.270000000000003</v>
      </c>
      <c r="E172" s="3">
        <v>7245</v>
      </c>
      <c r="F172">
        <v>12.99</v>
      </c>
      <c r="G172">
        <v>13.08</v>
      </c>
      <c r="H172">
        <v>52</v>
      </c>
      <c r="I172">
        <v>11.56</v>
      </c>
      <c r="J172">
        <v>7.1</v>
      </c>
      <c r="K172">
        <f t="shared" si="23"/>
        <v>0.24777777777777782</v>
      </c>
      <c r="M172">
        <v>18</v>
      </c>
      <c r="N172">
        <f t="shared" ca="1" si="24"/>
        <v>49.344991242946705</v>
      </c>
      <c r="O172">
        <f t="shared" ca="1" si="25"/>
        <v>19.211676324605804</v>
      </c>
      <c r="P172">
        <v>23.571428571428601</v>
      </c>
      <c r="Q172">
        <v>4.5</v>
      </c>
      <c r="R172">
        <f t="shared" ca="1" si="26"/>
        <v>19.2</v>
      </c>
      <c r="S172">
        <f t="shared" ca="1" si="27"/>
        <v>1.1676324605803923E-2</v>
      </c>
      <c r="T172">
        <f t="shared" ca="1" si="28"/>
        <v>19.211676324605804</v>
      </c>
      <c r="U172">
        <f t="shared" ca="1" si="29"/>
        <v>49.344991242946705</v>
      </c>
    </row>
    <row r="173" spans="1:21" x14ac:dyDescent="0.45">
      <c r="A173">
        <f t="shared" ca="1" si="21"/>
        <v>21</v>
      </c>
      <c r="B173">
        <v>0.32</v>
      </c>
      <c r="C173">
        <f t="shared" ca="1" si="22"/>
        <v>14.7</v>
      </c>
      <c r="D173">
        <v>31.36</v>
      </c>
      <c r="E173" s="3">
        <v>7549</v>
      </c>
      <c r="F173">
        <v>13.49</v>
      </c>
      <c r="G173">
        <v>13.24</v>
      </c>
      <c r="H173">
        <v>58.3</v>
      </c>
      <c r="I173">
        <v>12.07</v>
      </c>
      <c r="J173">
        <v>7</v>
      </c>
      <c r="K173">
        <f t="shared" si="23"/>
        <v>0.23045454545454547</v>
      </c>
      <c r="M173">
        <v>22</v>
      </c>
      <c r="N173">
        <f t="shared" ca="1" si="24"/>
        <v>44.936955887772314</v>
      </c>
      <c r="O173">
        <f t="shared" ca="1" si="25"/>
        <v>19.62749773711305</v>
      </c>
      <c r="P173">
        <v>19.4204081632653</v>
      </c>
      <c r="Q173">
        <v>4.5</v>
      </c>
      <c r="R173">
        <f t="shared" ca="1" si="26"/>
        <v>19</v>
      </c>
      <c r="S173">
        <f t="shared" ca="1" si="27"/>
        <v>0.62749773711304868</v>
      </c>
      <c r="T173">
        <f t="shared" ca="1" si="28"/>
        <v>19.62749773711305</v>
      </c>
      <c r="U173">
        <f t="shared" ca="1" si="29"/>
        <v>44.936955887772314</v>
      </c>
    </row>
    <row r="174" spans="1:21" x14ac:dyDescent="0.45">
      <c r="A174">
        <f t="shared" ca="1" si="21"/>
        <v>21</v>
      </c>
      <c r="B174">
        <v>0.32</v>
      </c>
      <c r="C174">
        <f t="shared" ca="1" si="22"/>
        <v>15.9</v>
      </c>
      <c r="D174">
        <v>31.98</v>
      </c>
      <c r="E174" s="3">
        <v>9320</v>
      </c>
      <c r="F174">
        <v>12.91</v>
      </c>
      <c r="G174">
        <v>12.34</v>
      </c>
      <c r="H174">
        <v>51</v>
      </c>
      <c r="I174">
        <v>11.63</v>
      </c>
      <c r="J174">
        <v>7.33</v>
      </c>
      <c r="K174">
        <f t="shared" si="23"/>
        <v>0.17200000000000004</v>
      </c>
      <c r="M174">
        <v>25</v>
      </c>
      <c r="N174">
        <f t="shared" ca="1" si="24"/>
        <v>47.605796113249667</v>
      </c>
      <c r="O174">
        <f t="shared" ca="1" si="25"/>
        <v>20.039576645888342</v>
      </c>
      <c r="P174">
        <v>18.4352941176471</v>
      </c>
      <c r="Q174">
        <v>4.5</v>
      </c>
      <c r="R174">
        <f t="shared" ca="1" si="26"/>
        <v>19.600000000000001</v>
      </c>
      <c r="S174">
        <f t="shared" ca="1" si="27"/>
        <v>0.43957664588833978</v>
      </c>
      <c r="T174">
        <f t="shared" ca="1" si="28"/>
        <v>20.039576645888342</v>
      </c>
      <c r="U174">
        <f t="shared" ca="1" si="29"/>
        <v>47.605796113249667</v>
      </c>
    </row>
    <row r="175" spans="1:21" x14ac:dyDescent="0.45">
      <c r="A175">
        <f t="shared" ca="1" si="21"/>
        <v>16</v>
      </c>
      <c r="B175">
        <v>0.33</v>
      </c>
      <c r="C175">
        <f t="shared" ca="1" si="22"/>
        <v>15.9</v>
      </c>
      <c r="D175">
        <v>27.95</v>
      </c>
      <c r="E175" s="3">
        <v>6074</v>
      </c>
      <c r="F175">
        <v>12.61</v>
      </c>
      <c r="G175">
        <v>8.5</v>
      </c>
      <c r="H175">
        <v>70.8</v>
      </c>
      <c r="I175">
        <v>12.04</v>
      </c>
      <c r="J175">
        <v>7.24</v>
      </c>
      <c r="K175">
        <f t="shared" ca="1" si="23"/>
        <v>0.17094208331927602</v>
      </c>
      <c r="M175">
        <f t="shared" ref="M175:M197" ca="1" si="31">N175-A175-Q175</f>
        <v>28.079685860823567</v>
      </c>
      <c r="N175">
        <f t="shared" ca="1" si="24"/>
        <v>48.579685860823567</v>
      </c>
      <c r="O175">
        <f t="shared" ca="1" si="25"/>
        <v>19.637837978885337</v>
      </c>
      <c r="P175">
        <v>9.5766990291262104</v>
      </c>
      <c r="Q175">
        <v>4.5</v>
      </c>
      <c r="R175">
        <f t="shared" ca="1" si="26"/>
        <v>19.5</v>
      </c>
      <c r="S175">
        <f t="shared" ca="1" si="27"/>
        <v>0.13783797888533555</v>
      </c>
      <c r="T175">
        <f t="shared" ca="1" si="28"/>
        <v>19.637837978885337</v>
      </c>
      <c r="U175">
        <f t="shared" ca="1" si="29"/>
        <v>48.579685860823567</v>
      </c>
    </row>
    <row r="176" spans="1:21" x14ac:dyDescent="0.45">
      <c r="A176">
        <f t="shared" ca="1" si="21"/>
        <v>18</v>
      </c>
      <c r="B176">
        <v>0.33</v>
      </c>
      <c r="C176">
        <f t="shared" ca="1" si="22"/>
        <v>14.9</v>
      </c>
      <c r="D176">
        <v>35.89</v>
      </c>
      <c r="E176" s="3">
        <v>6262</v>
      </c>
      <c r="F176">
        <v>8.5299999999999994</v>
      </c>
      <c r="G176">
        <v>6.87</v>
      </c>
      <c r="H176">
        <v>61.5</v>
      </c>
      <c r="I176">
        <v>12.8</v>
      </c>
      <c r="J176">
        <v>7.37</v>
      </c>
      <c r="K176">
        <f t="shared" ca="1" si="23"/>
        <v>0.25171771184592506</v>
      </c>
      <c r="M176">
        <f t="shared" ca="1" si="31"/>
        <v>21.571783567314768</v>
      </c>
      <c r="N176">
        <f t="shared" ca="1" si="24"/>
        <v>44.071783567314768</v>
      </c>
      <c r="O176">
        <f t="shared" ca="1" si="25"/>
        <v>20.285087818933267</v>
      </c>
      <c r="P176">
        <v>9.8096385542168694</v>
      </c>
      <c r="Q176">
        <v>4.5</v>
      </c>
      <c r="R176">
        <f t="shared" ca="1" si="26"/>
        <v>19.5</v>
      </c>
      <c r="S176">
        <f t="shared" ca="1" si="27"/>
        <v>0.78508781893326196</v>
      </c>
      <c r="T176">
        <f t="shared" ca="1" si="28"/>
        <v>20.285087818933263</v>
      </c>
      <c r="U176">
        <f t="shared" ca="1" si="29"/>
        <v>44.071783567314768</v>
      </c>
    </row>
    <row r="177" spans="1:21" x14ac:dyDescent="0.45">
      <c r="A177">
        <f t="shared" ca="1" si="21"/>
        <v>22</v>
      </c>
      <c r="B177">
        <v>0.33</v>
      </c>
      <c r="C177">
        <f t="shared" ca="1" si="22"/>
        <v>14.6</v>
      </c>
      <c r="D177">
        <v>51.31</v>
      </c>
      <c r="E177" s="3">
        <v>6427</v>
      </c>
      <c r="F177">
        <v>12.02</v>
      </c>
      <c r="G177">
        <v>0.14000000000000001</v>
      </c>
      <c r="H177">
        <v>60.38</v>
      </c>
      <c r="I177">
        <v>12.31</v>
      </c>
      <c r="J177">
        <v>7.25</v>
      </c>
      <c r="K177">
        <f t="shared" ca="1" si="23"/>
        <v>0.30756242611327278</v>
      </c>
      <c r="M177">
        <f t="shared" ca="1" si="31"/>
        <v>16.451944614770476</v>
      </c>
      <c r="N177">
        <f t="shared" ca="1" si="24"/>
        <v>42.951944614770476</v>
      </c>
      <c r="O177">
        <f t="shared" ca="1" si="25"/>
        <v>20.39488567646266</v>
      </c>
      <c r="P177">
        <v>11.071232876712299</v>
      </c>
      <c r="Q177">
        <v>4.5</v>
      </c>
      <c r="R177">
        <f t="shared" ca="1" si="26"/>
        <v>19.600000000000001</v>
      </c>
      <c r="S177">
        <f t="shared" ca="1" si="27"/>
        <v>0.79488567646266239</v>
      </c>
      <c r="T177">
        <f t="shared" ca="1" si="28"/>
        <v>20.394885676462664</v>
      </c>
      <c r="U177">
        <f t="shared" ca="1" si="29"/>
        <v>42.951944614770476</v>
      </c>
    </row>
    <row r="178" spans="1:21" x14ac:dyDescent="0.45">
      <c r="A178">
        <f t="shared" ca="1" si="21"/>
        <v>17</v>
      </c>
      <c r="B178">
        <v>0.33</v>
      </c>
      <c r="C178">
        <f t="shared" ca="1" si="22"/>
        <v>15.9</v>
      </c>
      <c r="D178">
        <v>39</v>
      </c>
      <c r="E178" s="3">
        <v>6472</v>
      </c>
      <c r="H178">
        <v>52.4</v>
      </c>
      <c r="I178">
        <v>12.38</v>
      </c>
      <c r="J178">
        <v>7.34</v>
      </c>
      <c r="K178">
        <f t="shared" ca="1" si="23"/>
        <v>0.19498903611370622</v>
      </c>
      <c r="M178">
        <f t="shared" ca="1" si="31"/>
        <v>25.847607129361712</v>
      </c>
      <c r="N178">
        <f t="shared" ca="1" si="24"/>
        <v>47.347607129361712</v>
      </c>
      <c r="O178">
        <f t="shared" ca="1" si="25"/>
        <v>20.14885350791878</v>
      </c>
      <c r="P178">
        <v>12.9428571428571</v>
      </c>
      <c r="Q178">
        <v>4.5</v>
      </c>
      <c r="R178">
        <f t="shared" ca="1" si="26"/>
        <v>19.2</v>
      </c>
      <c r="S178">
        <f t="shared" ca="1" si="27"/>
        <v>0.94885350791878142</v>
      </c>
      <c r="T178">
        <f t="shared" ca="1" si="28"/>
        <v>20.14885350791878</v>
      </c>
      <c r="U178">
        <f t="shared" ca="1" si="29"/>
        <v>47.347607129361712</v>
      </c>
    </row>
    <row r="179" spans="1:21" x14ac:dyDescent="0.45">
      <c r="A179">
        <f t="shared" ca="1" si="21"/>
        <v>21</v>
      </c>
      <c r="B179">
        <v>0.33</v>
      </c>
      <c r="C179">
        <f t="shared" ca="1" si="22"/>
        <v>16</v>
      </c>
      <c r="D179">
        <v>38.840000000000003</v>
      </c>
      <c r="E179" s="3">
        <v>6424</v>
      </c>
      <c r="F179">
        <v>10.039999999999999</v>
      </c>
      <c r="G179">
        <v>9.27</v>
      </c>
      <c r="H179">
        <v>59.82</v>
      </c>
      <c r="I179">
        <v>12.74</v>
      </c>
      <c r="J179">
        <v>7.03</v>
      </c>
      <c r="K179">
        <f t="shared" ca="1" si="23"/>
        <v>0.25387207429621922</v>
      </c>
      <c r="M179">
        <f t="shared" ca="1" si="31"/>
        <v>22.491642752867506</v>
      </c>
      <c r="N179">
        <f t="shared" ca="1" si="24"/>
        <v>47.991642752867506</v>
      </c>
      <c r="O179">
        <f t="shared" ca="1" si="25"/>
        <v>20.003482792691855</v>
      </c>
      <c r="P179">
        <v>13.9058823529412</v>
      </c>
      <c r="Q179">
        <v>4.5</v>
      </c>
      <c r="R179">
        <f t="shared" ca="1" si="26"/>
        <v>19.3</v>
      </c>
      <c r="S179">
        <f t="shared" ca="1" si="27"/>
        <v>0.70348279269185476</v>
      </c>
      <c r="T179">
        <f t="shared" ca="1" si="28"/>
        <v>20.003482792691855</v>
      </c>
      <c r="U179">
        <f t="shared" ca="1" si="29"/>
        <v>47.991642752867506</v>
      </c>
    </row>
    <row r="180" spans="1:21" x14ac:dyDescent="0.45">
      <c r="A180">
        <f t="shared" ca="1" si="21"/>
        <v>18</v>
      </c>
      <c r="B180">
        <v>0.33</v>
      </c>
      <c r="C180">
        <f t="shared" ca="1" si="22"/>
        <v>14.6</v>
      </c>
      <c r="D180">
        <v>30.27</v>
      </c>
      <c r="E180" s="3">
        <v>6482</v>
      </c>
      <c r="F180">
        <v>9.75</v>
      </c>
      <c r="G180">
        <v>0.11</v>
      </c>
      <c r="H180">
        <v>50.6</v>
      </c>
      <c r="I180">
        <v>13.29</v>
      </c>
      <c r="J180">
        <v>7.33</v>
      </c>
      <c r="K180">
        <f t="shared" ca="1" si="23"/>
        <v>0.29038080050343718</v>
      </c>
      <c r="M180">
        <f t="shared" ca="1" si="31"/>
        <v>20.524772952161662</v>
      </c>
      <c r="N180">
        <f t="shared" ca="1" si="24"/>
        <v>43.024772952161662</v>
      </c>
      <c r="O180">
        <f t="shared" ca="1" si="25"/>
        <v>20.36036310927209</v>
      </c>
      <c r="P180">
        <v>10.953488372093</v>
      </c>
      <c r="Q180">
        <v>4.5</v>
      </c>
      <c r="R180">
        <f t="shared" ca="1" si="26"/>
        <v>19.5</v>
      </c>
      <c r="S180">
        <f t="shared" ca="1" si="27"/>
        <v>0.86036310927209236</v>
      </c>
      <c r="T180">
        <f t="shared" ca="1" si="28"/>
        <v>20.360363109272093</v>
      </c>
      <c r="U180">
        <f t="shared" ca="1" si="29"/>
        <v>43.024772952161662</v>
      </c>
    </row>
    <row r="181" spans="1:21" x14ac:dyDescent="0.45">
      <c r="A181">
        <f t="shared" ca="1" si="21"/>
        <v>16</v>
      </c>
      <c r="B181">
        <v>0.33</v>
      </c>
      <c r="C181">
        <f t="shared" ca="1" si="22"/>
        <v>15.8</v>
      </c>
      <c r="D181">
        <v>42.07</v>
      </c>
      <c r="E181" s="3">
        <v>6738</v>
      </c>
      <c r="F181">
        <v>11.15</v>
      </c>
      <c r="G181">
        <v>9.73</v>
      </c>
      <c r="H181">
        <v>53.3</v>
      </c>
      <c r="I181">
        <v>11.69</v>
      </c>
      <c r="J181">
        <v>7.34</v>
      </c>
      <c r="K181">
        <f t="shared" ca="1" si="23"/>
        <v>0.16560011746299588</v>
      </c>
      <c r="M181">
        <f t="shared" ca="1" si="31"/>
        <v>26.268097309605032</v>
      </c>
      <c r="N181">
        <f t="shared" ca="1" si="24"/>
        <v>46.768097309605032</v>
      </c>
      <c r="O181">
        <f t="shared" ca="1" si="25"/>
        <v>20.27022809425484</v>
      </c>
      <c r="P181">
        <v>14.185074626865701</v>
      </c>
      <c r="Q181">
        <v>4.5</v>
      </c>
      <c r="R181">
        <f t="shared" ca="1" si="26"/>
        <v>19.5</v>
      </c>
      <c r="S181">
        <f t="shared" ca="1" si="27"/>
        <v>0.77022809425483774</v>
      </c>
      <c r="T181">
        <f t="shared" ca="1" si="28"/>
        <v>20.270228094254836</v>
      </c>
      <c r="U181">
        <f t="shared" ca="1" si="29"/>
        <v>46.768097309605032</v>
      </c>
    </row>
    <row r="182" spans="1:21" x14ac:dyDescent="0.45">
      <c r="A182">
        <f t="shared" ca="1" si="21"/>
        <v>21</v>
      </c>
      <c r="B182">
        <v>0.33</v>
      </c>
      <c r="C182">
        <f t="shared" ca="1" si="22"/>
        <v>15.3</v>
      </c>
      <c r="D182">
        <v>39.409999999999997</v>
      </c>
      <c r="E182" s="3">
        <v>6514</v>
      </c>
      <c r="F182">
        <v>9.6</v>
      </c>
      <c r="G182">
        <v>7.91</v>
      </c>
      <c r="H182">
        <v>62.5</v>
      </c>
      <c r="I182">
        <v>11.68</v>
      </c>
      <c r="J182">
        <v>7.14</v>
      </c>
      <c r="K182">
        <f t="shared" ca="1" si="23"/>
        <v>0.24184083439590123</v>
      </c>
      <c r="M182">
        <f t="shared" ca="1" si="31"/>
        <v>18.772677539508791</v>
      </c>
      <c r="N182">
        <f t="shared" ca="1" si="24"/>
        <v>44.272677539508791</v>
      </c>
      <c r="O182">
        <f t="shared" ca="1" si="25"/>
        <v>20.7351362289028</v>
      </c>
      <c r="P182">
        <v>13.192682926829301</v>
      </c>
      <c r="Q182">
        <v>4.5</v>
      </c>
      <c r="R182">
        <f t="shared" ca="1" si="26"/>
        <v>19.899999999999999</v>
      </c>
      <c r="S182">
        <f t="shared" ca="1" si="27"/>
        <v>0.83513622890280015</v>
      </c>
      <c r="T182">
        <f t="shared" ca="1" si="28"/>
        <v>20.7351362289028</v>
      </c>
      <c r="U182">
        <f t="shared" ca="1" si="29"/>
        <v>44.272677539508791</v>
      </c>
    </row>
    <row r="183" spans="1:21" x14ac:dyDescent="0.45">
      <c r="A183">
        <f t="shared" ca="1" si="21"/>
        <v>19</v>
      </c>
      <c r="B183">
        <v>0.33</v>
      </c>
      <c r="C183">
        <f t="shared" ca="1" si="22"/>
        <v>16.2</v>
      </c>
      <c r="D183">
        <v>40.369999999999997</v>
      </c>
      <c r="E183" s="3">
        <v>6391</v>
      </c>
      <c r="F183">
        <v>12.83</v>
      </c>
      <c r="G183">
        <v>11.8</v>
      </c>
      <c r="H183">
        <v>52.8</v>
      </c>
      <c r="I183">
        <v>12.84</v>
      </c>
      <c r="J183">
        <v>7.16</v>
      </c>
      <c r="K183">
        <f t="shared" ca="1" si="23"/>
        <v>0.21709867595521146</v>
      </c>
      <c r="M183">
        <f t="shared" ca="1" si="31"/>
        <v>26.163218062056778</v>
      </c>
      <c r="N183">
        <f t="shared" ca="1" si="24"/>
        <v>49.663218062056778</v>
      </c>
      <c r="O183">
        <f t="shared" ca="1" si="25"/>
        <v>19.571828768434525</v>
      </c>
      <c r="P183">
        <v>11.2357142857143</v>
      </c>
      <c r="Q183">
        <v>4.5</v>
      </c>
      <c r="R183">
        <f t="shared" ca="1" si="26"/>
        <v>19.100000000000001</v>
      </c>
      <c r="S183">
        <f t="shared" ca="1" si="27"/>
        <v>0.47182876843452237</v>
      </c>
      <c r="T183">
        <f t="shared" ca="1" si="28"/>
        <v>19.571828768434525</v>
      </c>
      <c r="U183">
        <f t="shared" ca="1" si="29"/>
        <v>49.663218062056778</v>
      </c>
    </row>
    <row r="184" spans="1:21" x14ac:dyDescent="0.45">
      <c r="A184">
        <f t="shared" ca="1" si="21"/>
        <v>17</v>
      </c>
      <c r="B184">
        <v>0.33</v>
      </c>
      <c r="C184">
        <f t="shared" ca="1" si="22"/>
        <v>15</v>
      </c>
      <c r="D184">
        <v>45.03</v>
      </c>
      <c r="E184" s="3">
        <v>6345</v>
      </c>
      <c r="F184">
        <v>8.6</v>
      </c>
      <c r="G184">
        <v>9.36</v>
      </c>
      <c r="H184">
        <v>62.45</v>
      </c>
      <c r="I184">
        <v>12.5</v>
      </c>
      <c r="J184">
        <v>7</v>
      </c>
      <c r="K184">
        <f t="shared" ca="1" si="23"/>
        <v>0.24179758251425001</v>
      </c>
      <c r="M184">
        <f t="shared" ca="1" si="31"/>
        <v>22.746298547777521</v>
      </c>
      <c r="N184">
        <f t="shared" ca="1" si="24"/>
        <v>44.246298547777521</v>
      </c>
      <c r="O184">
        <f t="shared" ca="1" si="25"/>
        <v>20.340684521399513</v>
      </c>
      <c r="P184">
        <v>4.6735294117647097</v>
      </c>
      <c r="Q184">
        <v>4.5</v>
      </c>
      <c r="R184">
        <f t="shared" ca="1" si="26"/>
        <v>19.5</v>
      </c>
      <c r="S184">
        <f t="shared" ca="1" si="27"/>
        <v>0.84068452139951355</v>
      </c>
      <c r="T184">
        <f t="shared" ca="1" si="28"/>
        <v>20.340684521399513</v>
      </c>
      <c r="U184">
        <f t="shared" ca="1" si="29"/>
        <v>44.246298547777521</v>
      </c>
    </row>
    <row r="185" spans="1:21" x14ac:dyDescent="0.45">
      <c r="A185">
        <f t="shared" ca="1" si="21"/>
        <v>22</v>
      </c>
      <c r="B185">
        <v>0.33</v>
      </c>
      <c r="C185">
        <f t="shared" ca="1" si="22"/>
        <v>15.5</v>
      </c>
      <c r="D185">
        <v>32.94</v>
      </c>
      <c r="E185" s="3">
        <v>6515</v>
      </c>
      <c r="F185">
        <v>12.92</v>
      </c>
      <c r="G185">
        <v>11.41</v>
      </c>
      <c r="H185">
        <v>60.58</v>
      </c>
      <c r="I185">
        <v>12.53</v>
      </c>
      <c r="J185">
        <v>7.09</v>
      </c>
      <c r="K185">
        <f t="shared" ca="1" si="23"/>
        <v>0.27954149286296337</v>
      </c>
      <c r="M185">
        <f t="shared" ca="1" si="31"/>
        <v>19.460438392474323</v>
      </c>
      <c r="N185">
        <f t="shared" ca="1" si="24"/>
        <v>45.960438392474323</v>
      </c>
      <c r="O185">
        <f t="shared" ca="1" si="25"/>
        <v>20.234793934260654</v>
      </c>
      <c r="P185">
        <v>12.246153846153801</v>
      </c>
      <c r="Q185">
        <v>4.5</v>
      </c>
      <c r="R185">
        <f t="shared" ca="1" si="26"/>
        <v>19.3</v>
      </c>
      <c r="S185">
        <f t="shared" ca="1" si="27"/>
        <v>0.93479393426065249</v>
      </c>
      <c r="T185">
        <f t="shared" ca="1" si="28"/>
        <v>20.234793934260654</v>
      </c>
      <c r="U185">
        <f t="shared" ca="1" si="29"/>
        <v>45.960438392474323</v>
      </c>
    </row>
    <row r="186" spans="1:21" x14ac:dyDescent="0.45">
      <c r="A186">
        <f t="shared" ca="1" si="21"/>
        <v>20</v>
      </c>
      <c r="B186">
        <v>0.33</v>
      </c>
      <c r="C186">
        <f t="shared" ca="1" si="22"/>
        <v>15.1</v>
      </c>
      <c r="D186">
        <v>36.840000000000003</v>
      </c>
      <c r="E186" s="3">
        <v>6658</v>
      </c>
      <c r="F186">
        <v>12.94</v>
      </c>
      <c r="G186">
        <v>12.86</v>
      </c>
      <c r="H186">
        <v>62</v>
      </c>
      <c r="I186">
        <v>12.23</v>
      </c>
      <c r="J186">
        <v>7.36</v>
      </c>
      <c r="K186">
        <f t="shared" ca="1" si="23"/>
        <v>0.2450639868266006</v>
      </c>
      <c r="M186">
        <f t="shared" ca="1" si="31"/>
        <v>19.87236094157668</v>
      </c>
      <c r="N186">
        <f t="shared" ca="1" si="24"/>
        <v>44.37236094157668</v>
      </c>
      <c r="O186">
        <f t="shared" ca="1" si="25"/>
        <v>20.418115709301428</v>
      </c>
      <c r="P186">
        <v>17.443636363636401</v>
      </c>
      <c r="Q186">
        <v>4.5</v>
      </c>
      <c r="R186">
        <f t="shared" ca="1" si="26"/>
        <v>19.8</v>
      </c>
      <c r="S186">
        <f t="shared" ca="1" si="27"/>
        <v>0.61811570930142845</v>
      </c>
      <c r="T186">
        <f t="shared" ca="1" si="28"/>
        <v>20.418115709301428</v>
      </c>
      <c r="U186">
        <f t="shared" ca="1" si="29"/>
        <v>44.37236094157668</v>
      </c>
    </row>
    <row r="187" spans="1:21" x14ac:dyDescent="0.45">
      <c r="A187">
        <f t="shared" ca="1" si="21"/>
        <v>20</v>
      </c>
      <c r="B187">
        <v>0.33</v>
      </c>
      <c r="C187">
        <f t="shared" ca="1" si="22"/>
        <v>15.6</v>
      </c>
      <c r="D187">
        <v>41.1</v>
      </c>
      <c r="E187" s="3">
        <v>6309</v>
      </c>
      <c r="F187">
        <v>13.19</v>
      </c>
      <c r="G187">
        <v>9.51</v>
      </c>
      <c r="H187">
        <v>51.1</v>
      </c>
      <c r="I187">
        <v>11.98</v>
      </c>
      <c r="J187">
        <v>7.14</v>
      </c>
      <c r="K187">
        <f t="shared" ca="1" si="23"/>
        <v>0.22603777278011736</v>
      </c>
      <c r="M187">
        <f t="shared" ca="1" si="31"/>
        <v>21.412350424759339</v>
      </c>
      <c r="N187">
        <f t="shared" ca="1" si="24"/>
        <v>45.912350424759339</v>
      </c>
      <c r="O187">
        <f t="shared" ca="1" si="25"/>
        <v>20.386671371440819</v>
      </c>
      <c r="P187">
        <v>14.878125000000001</v>
      </c>
      <c r="Q187">
        <v>4.5</v>
      </c>
      <c r="R187">
        <f t="shared" ca="1" si="26"/>
        <v>19.600000000000001</v>
      </c>
      <c r="S187">
        <f t="shared" ca="1" si="27"/>
        <v>0.78667137144081623</v>
      </c>
      <c r="T187">
        <f t="shared" ca="1" si="28"/>
        <v>20.386671371440819</v>
      </c>
      <c r="U187">
        <f t="shared" ca="1" si="29"/>
        <v>45.912350424759339</v>
      </c>
    </row>
    <row r="188" spans="1:21" x14ac:dyDescent="0.45">
      <c r="A188">
        <f t="shared" ca="1" si="21"/>
        <v>19</v>
      </c>
      <c r="B188">
        <v>0.33</v>
      </c>
      <c r="C188">
        <f t="shared" ca="1" si="22"/>
        <v>14.9</v>
      </c>
      <c r="D188">
        <v>40.21</v>
      </c>
      <c r="E188" s="3">
        <v>6624</v>
      </c>
      <c r="F188">
        <v>13.21</v>
      </c>
      <c r="G188">
        <v>8.51</v>
      </c>
      <c r="H188">
        <v>60.59</v>
      </c>
      <c r="I188">
        <v>12.39</v>
      </c>
      <c r="J188">
        <v>7.16</v>
      </c>
      <c r="K188">
        <f t="shared" ca="1" si="23"/>
        <v>0.25001661843246231</v>
      </c>
      <c r="M188">
        <f t="shared" ca="1" si="31"/>
        <v>20.918609462005804</v>
      </c>
      <c r="N188">
        <f t="shared" ca="1" si="24"/>
        <v>44.418609462005804</v>
      </c>
      <c r="O188">
        <f t="shared" ca="1" si="25"/>
        <v>20.126699390819468</v>
      </c>
      <c r="P188">
        <v>6.6083916083916101</v>
      </c>
      <c r="Q188">
        <v>4.5</v>
      </c>
      <c r="R188">
        <f t="shared" ca="1" si="26"/>
        <v>19.899999999999999</v>
      </c>
      <c r="S188">
        <f t="shared" ca="1" si="27"/>
        <v>0.22669939081947066</v>
      </c>
      <c r="T188">
        <f t="shared" ca="1" si="28"/>
        <v>20.126699390819468</v>
      </c>
      <c r="U188">
        <f t="shared" ca="1" si="29"/>
        <v>44.418609462005804</v>
      </c>
    </row>
    <row r="189" spans="1:21" x14ac:dyDescent="0.45">
      <c r="A189">
        <f t="shared" ca="1" si="21"/>
        <v>21</v>
      </c>
      <c r="B189">
        <v>0.33</v>
      </c>
      <c r="C189">
        <f t="shared" ca="1" si="22"/>
        <v>16.399999999999999</v>
      </c>
      <c r="D189">
        <v>34.979999999999997</v>
      </c>
      <c r="E189" s="3">
        <v>6528</v>
      </c>
      <c r="F189">
        <v>13.91</v>
      </c>
      <c r="G189">
        <v>10.01</v>
      </c>
      <c r="H189">
        <v>52</v>
      </c>
      <c r="I189">
        <v>12.57</v>
      </c>
      <c r="J189">
        <v>7.27</v>
      </c>
      <c r="K189">
        <f t="shared" ca="1" si="23"/>
        <v>0.21580768026588837</v>
      </c>
      <c r="M189">
        <f t="shared" ca="1" si="31"/>
        <v>24.558903526834975</v>
      </c>
      <c r="N189">
        <f t="shared" ca="1" si="24"/>
        <v>50.058903526834975</v>
      </c>
      <c r="O189">
        <f t="shared" ca="1" si="25"/>
        <v>19.656842852590827</v>
      </c>
      <c r="P189">
        <v>15.9050847457627</v>
      </c>
      <c r="Q189">
        <v>4.5</v>
      </c>
      <c r="R189">
        <f t="shared" ca="1" si="26"/>
        <v>19.5</v>
      </c>
      <c r="S189">
        <f t="shared" ca="1" si="27"/>
        <v>0.15684285259082775</v>
      </c>
      <c r="T189">
        <f t="shared" ca="1" si="28"/>
        <v>19.656842852590827</v>
      </c>
      <c r="U189">
        <f t="shared" ca="1" si="29"/>
        <v>50.058903526834975</v>
      </c>
    </row>
    <row r="190" spans="1:21" x14ac:dyDescent="0.45">
      <c r="A190">
        <f t="shared" ca="1" si="21"/>
        <v>22</v>
      </c>
      <c r="B190">
        <v>0.33</v>
      </c>
      <c r="C190">
        <f t="shared" ca="1" si="22"/>
        <v>15.5</v>
      </c>
      <c r="D190">
        <v>32.86</v>
      </c>
      <c r="E190" s="3">
        <v>4163</v>
      </c>
      <c r="F190">
        <v>10.58</v>
      </c>
      <c r="G190">
        <v>10.34</v>
      </c>
      <c r="H190">
        <v>58.7</v>
      </c>
      <c r="I190">
        <v>12.35</v>
      </c>
      <c r="J190">
        <v>7.38</v>
      </c>
      <c r="K190">
        <f t="shared" ca="1" si="23"/>
        <v>0.24985693853332591</v>
      </c>
      <c r="M190">
        <f t="shared" ca="1" si="31"/>
        <v>19.891382761568181</v>
      </c>
      <c r="N190">
        <f t="shared" ca="1" si="24"/>
        <v>46.391382761568181</v>
      </c>
      <c r="O190">
        <f t="shared" ca="1" si="25"/>
        <v>20.046826471627313</v>
      </c>
      <c r="P190">
        <v>6.16734693877551</v>
      </c>
      <c r="Q190">
        <v>4.5</v>
      </c>
      <c r="R190">
        <f t="shared" ca="1" si="26"/>
        <v>19.600000000000001</v>
      </c>
      <c r="S190">
        <f t="shared" ca="1" si="27"/>
        <v>0.44682647162731182</v>
      </c>
      <c r="T190">
        <f t="shared" ca="1" si="28"/>
        <v>20.046826471627313</v>
      </c>
      <c r="U190">
        <f t="shared" ca="1" si="29"/>
        <v>46.391382761568181</v>
      </c>
    </row>
    <row r="191" spans="1:21" x14ac:dyDescent="0.45">
      <c r="A191">
        <f t="shared" ca="1" si="21"/>
        <v>20</v>
      </c>
      <c r="B191">
        <v>0.33</v>
      </c>
      <c r="C191">
        <f t="shared" ca="1" si="22"/>
        <v>15</v>
      </c>
      <c r="D191">
        <v>34.619999999999997</v>
      </c>
      <c r="E191" s="3">
        <v>4744</v>
      </c>
      <c r="F191">
        <v>5.93</v>
      </c>
      <c r="G191">
        <v>4.76</v>
      </c>
      <c r="H191">
        <v>70.8</v>
      </c>
      <c r="I191">
        <v>12.47</v>
      </c>
      <c r="J191">
        <v>7.37</v>
      </c>
      <c r="K191">
        <f t="shared" ca="1" si="23"/>
        <v>0.27307911475425578</v>
      </c>
      <c r="M191">
        <f t="shared" ca="1" si="31"/>
        <v>18.675906447805417</v>
      </c>
      <c r="N191">
        <f t="shared" ca="1" si="24"/>
        <v>43.175906447805417</v>
      </c>
      <c r="O191">
        <f t="shared" ca="1" si="25"/>
        <v>20.844959007125745</v>
      </c>
      <c r="P191">
        <v>9.3711340206185607</v>
      </c>
      <c r="Q191">
        <v>4.5</v>
      </c>
      <c r="R191">
        <f t="shared" ca="1" si="26"/>
        <v>19.899999999999999</v>
      </c>
      <c r="S191">
        <f t="shared" ca="1" si="27"/>
        <v>0.94495900712574543</v>
      </c>
      <c r="T191">
        <f t="shared" ca="1" si="28"/>
        <v>20.844959007125745</v>
      </c>
      <c r="U191">
        <f t="shared" ca="1" si="29"/>
        <v>43.175906447805417</v>
      </c>
    </row>
    <row r="192" spans="1:21" x14ac:dyDescent="0.45">
      <c r="A192">
        <f t="shared" ca="1" si="21"/>
        <v>17</v>
      </c>
      <c r="B192">
        <v>0.33</v>
      </c>
      <c r="C192">
        <f t="shared" ca="1" si="22"/>
        <v>14.6</v>
      </c>
      <c r="D192">
        <v>33.380000000000003</v>
      </c>
      <c r="E192" s="3">
        <v>4610</v>
      </c>
      <c r="F192">
        <v>1.1299999999999999</v>
      </c>
      <c r="G192">
        <v>7.21</v>
      </c>
      <c r="H192">
        <v>54.9</v>
      </c>
      <c r="I192">
        <v>12.46</v>
      </c>
      <c r="J192">
        <v>7.31</v>
      </c>
      <c r="K192">
        <f t="shared" ca="1" si="23"/>
        <v>0.24742892304410918</v>
      </c>
      <c r="M192">
        <f t="shared" ca="1" si="31"/>
        <v>20.814058181395026</v>
      </c>
      <c r="N192">
        <f t="shared" ca="1" si="24"/>
        <v>42.314058181395026</v>
      </c>
      <c r="O192">
        <f t="shared" ca="1" si="25"/>
        <v>20.70233954504431</v>
      </c>
      <c r="P192">
        <v>15.579310344827601</v>
      </c>
      <c r="Q192">
        <v>4.5</v>
      </c>
      <c r="R192">
        <f t="shared" ca="1" si="26"/>
        <v>20</v>
      </c>
      <c r="S192">
        <f t="shared" ca="1" si="27"/>
        <v>0.70233954504431007</v>
      </c>
      <c r="T192">
        <f t="shared" ca="1" si="28"/>
        <v>20.70233954504431</v>
      </c>
      <c r="U192">
        <f t="shared" ca="1" si="29"/>
        <v>42.314058181395026</v>
      </c>
    </row>
    <row r="193" spans="1:21" x14ac:dyDescent="0.45">
      <c r="A193">
        <f t="shared" ca="1" si="21"/>
        <v>20</v>
      </c>
      <c r="B193">
        <v>0.33</v>
      </c>
      <c r="C193">
        <f t="shared" ca="1" si="22"/>
        <v>15.2</v>
      </c>
      <c r="D193">
        <v>33.19</v>
      </c>
      <c r="E193" s="3">
        <v>4608</v>
      </c>
      <c r="F193">
        <v>3.97</v>
      </c>
      <c r="G193">
        <v>7.41</v>
      </c>
      <c r="H193">
        <v>50.81</v>
      </c>
      <c r="I193">
        <v>12.38</v>
      </c>
      <c r="J193">
        <v>7.15</v>
      </c>
      <c r="K193">
        <f t="shared" ca="1" si="23"/>
        <v>0.2629749350044554</v>
      </c>
      <c r="M193">
        <f t="shared" ca="1" si="31"/>
        <v>19.88782695168797</v>
      </c>
      <c r="N193">
        <f t="shared" ca="1" si="24"/>
        <v>44.38782695168797</v>
      </c>
      <c r="O193">
        <f t="shared" ca="1" si="25"/>
        <v>20.546173638836326</v>
      </c>
      <c r="P193">
        <v>13.2441176470588</v>
      </c>
      <c r="Q193">
        <v>4.5</v>
      </c>
      <c r="R193">
        <f t="shared" ca="1" si="26"/>
        <v>19.899999999999999</v>
      </c>
      <c r="S193">
        <f t="shared" ca="1" si="27"/>
        <v>0.64617363883632772</v>
      </c>
      <c r="T193">
        <f t="shared" ca="1" si="28"/>
        <v>20.546173638836326</v>
      </c>
      <c r="U193">
        <f t="shared" ca="1" si="29"/>
        <v>44.38782695168797</v>
      </c>
    </row>
    <row r="194" spans="1:21" x14ac:dyDescent="0.45">
      <c r="A194">
        <f t="shared" ca="1" si="21"/>
        <v>17</v>
      </c>
      <c r="B194">
        <v>0.33</v>
      </c>
      <c r="C194">
        <f t="shared" ca="1" si="22"/>
        <v>15.4</v>
      </c>
      <c r="D194">
        <v>32</v>
      </c>
      <c r="E194" s="3">
        <v>4735</v>
      </c>
      <c r="F194">
        <v>1.65</v>
      </c>
      <c r="G194">
        <v>9.75</v>
      </c>
      <c r="H194">
        <v>54</v>
      </c>
      <c r="I194">
        <v>12.73</v>
      </c>
      <c r="J194">
        <v>7.31</v>
      </c>
      <c r="K194">
        <f t="shared" ca="1" si="23"/>
        <v>0.22580939718136608</v>
      </c>
      <c r="M194">
        <f t="shared" ca="1" si="31"/>
        <v>24.002544037822986</v>
      </c>
      <c r="N194">
        <f t="shared" ca="1" si="24"/>
        <v>45.502544037822986</v>
      </c>
      <c r="O194">
        <f t="shared" ca="1" si="25"/>
        <v>20.306556908816912</v>
      </c>
      <c r="P194">
        <v>14.724590163934399</v>
      </c>
      <c r="Q194">
        <v>4.5</v>
      </c>
      <c r="R194">
        <f t="shared" ca="1" si="26"/>
        <v>19.600000000000001</v>
      </c>
      <c r="S194">
        <f t="shared" ca="1" si="27"/>
        <v>0.70655690881690647</v>
      </c>
      <c r="T194">
        <f t="shared" ca="1" si="28"/>
        <v>20.306556908816908</v>
      </c>
      <c r="U194">
        <f t="shared" ca="1" si="29"/>
        <v>45.502544037822986</v>
      </c>
    </row>
    <row r="195" spans="1:21" x14ac:dyDescent="0.45">
      <c r="A195">
        <f t="shared" ca="1" si="21"/>
        <v>21</v>
      </c>
      <c r="B195">
        <v>0.33</v>
      </c>
      <c r="C195">
        <f t="shared" ca="1" si="22"/>
        <v>16.2</v>
      </c>
      <c r="D195">
        <v>35.380000000000003</v>
      </c>
      <c r="E195" s="3">
        <v>4589</v>
      </c>
      <c r="F195">
        <v>4.2300000000000004</v>
      </c>
      <c r="G195">
        <v>10.41</v>
      </c>
      <c r="H195">
        <v>54</v>
      </c>
      <c r="I195">
        <v>12.39</v>
      </c>
      <c r="J195">
        <v>7.19</v>
      </c>
      <c r="K195">
        <f t="shared" ca="1" si="23"/>
        <v>0.22928800533032478</v>
      </c>
      <c r="M195">
        <f t="shared" ca="1" si="31"/>
        <v>22.678901116125097</v>
      </c>
      <c r="N195">
        <f t="shared" ca="1" si="24"/>
        <v>48.178901116125097</v>
      </c>
      <c r="O195">
        <f t="shared" ca="1" si="25"/>
        <v>20.174806346396291</v>
      </c>
      <c r="P195">
        <v>12.5647058823529</v>
      </c>
      <c r="Q195">
        <v>4.5</v>
      </c>
      <c r="R195">
        <f t="shared" ca="1" si="26"/>
        <v>19.8</v>
      </c>
      <c r="S195">
        <f t="shared" ca="1" si="27"/>
        <v>0.37480634639628962</v>
      </c>
      <c r="T195">
        <f t="shared" ca="1" si="28"/>
        <v>20.174806346396291</v>
      </c>
      <c r="U195">
        <f t="shared" ca="1" si="29"/>
        <v>48.178901116125097</v>
      </c>
    </row>
    <row r="196" spans="1:21" x14ac:dyDescent="0.45">
      <c r="A196">
        <f t="shared" ref="A196:A259" ca="1" si="32">RANDBETWEEN(16,22)</f>
        <v>17</v>
      </c>
      <c r="B196">
        <v>0.33</v>
      </c>
      <c r="C196">
        <f t="shared" ref="C196:C259" ca="1" si="33">RANDBETWEEN(145,165)/10</f>
        <v>15.7</v>
      </c>
      <c r="D196">
        <v>32.86</v>
      </c>
      <c r="E196" s="3">
        <v>4163</v>
      </c>
      <c r="F196">
        <v>10.58</v>
      </c>
      <c r="G196">
        <v>10.34</v>
      </c>
      <c r="H196">
        <v>58.7</v>
      </c>
      <c r="I196">
        <v>12.35</v>
      </c>
      <c r="J196">
        <v>7.38</v>
      </c>
      <c r="K196">
        <f t="shared" ref="K196:K259" ca="1" si="34">(I196-J196)/M196</f>
        <v>0.18990711597629009</v>
      </c>
      <c r="M196">
        <f t="shared" ca="1" si="31"/>
        <v>26.170688625593705</v>
      </c>
      <c r="N196">
        <f t="shared" ref="N196:N259" ca="1" si="35">U196</f>
        <v>47.670688625593705</v>
      </c>
      <c r="O196">
        <f t="shared" ref="O196:O259" ca="1" si="36">C196/N196*60</f>
        <v>19.760570429315212</v>
      </c>
      <c r="P196">
        <v>6.16734693877551</v>
      </c>
      <c r="Q196">
        <v>4.5</v>
      </c>
      <c r="R196">
        <f t="shared" ref="R196:R259" ca="1" si="37">RANDBETWEEN(190,200)/10</f>
        <v>19.7</v>
      </c>
      <c r="S196">
        <f t="shared" ref="S196:S259" ca="1" si="38">RAND()</f>
        <v>6.057042931521428E-2</v>
      </c>
      <c r="T196">
        <f t="shared" ref="T196:T259" ca="1" si="39">R196+S196</f>
        <v>19.760570429315212</v>
      </c>
      <c r="U196">
        <f t="shared" ref="U196:U259" ca="1" si="40">C196*60/T196</f>
        <v>47.670688625593705</v>
      </c>
    </row>
    <row r="197" spans="1:21" x14ac:dyDescent="0.45">
      <c r="A197">
        <f t="shared" ca="1" si="32"/>
        <v>19</v>
      </c>
      <c r="B197">
        <v>0.33</v>
      </c>
      <c r="C197">
        <f t="shared" ca="1" si="33"/>
        <v>15.9</v>
      </c>
      <c r="D197">
        <v>34.619999999999997</v>
      </c>
      <c r="E197" s="3">
        <v>4744</v>
      </c>
      <c r="F197">
        <v>5.93</v>
      </c>
      <c r="G197">
        <v>4.76</v>
      </c>
      <c r="H197">
        <v>70.8</v>
      </c>
      <c r="I197">
        <v>12.47</v>
      </c>
      <c r="J197">
        <v>7.37</v>
      </c>
      <c r="K197">
        <f t="shared" ca="1" si="34"/>
        <v>0.21159877571858343</v>
      </c>
      <c r="M197">
        <f t="shared" ca="1" si="31"/>
        <v>24.102218846401854</v>
      </c>
      <c r="N197">
        <f t="shared" ca="1" si="35"/>
        <v>47.602218846401854</v>
      </c>
      <c r="O197">
        <f t="shared" ca="1" si="36"/>
        <v>20.041082603276816</v>
      </c>
      <c r="P197">
        <v>9.3711340206185607</v>
      </c>
      <c r="Q197">
        <v>4.5</v>
      </c>
      <c r="R197">
        <f t="shared" ca="1" si="37"/>
        <v>19.899999999999999</v>
      </c>
      <c r="S197">
        <f t="shared" ca="1" si="38"/>
        <v>0.14108260327681887</v>
      </c>
      <c r="T197">
        <f t="shared" ca="1" si="39"/>
        <v>20.041082603276816</v>
      </c>
      <c r="U197">
        <f t="shared" ca="1" si="40"/>
        <v>47.602218846401854</v>
      </c>
    </row>
    <row r="198" spans="1:21" x14ac:dyDescent="0.45">
      <c r="A198">
        <f t="shared" ca="1" si="32"/>
        <v>21</v>
      </c>
      <c r="B198">
        <v>0.33</v>
      </c>
      <c r="C198">
        <f t="shared" ca="1" si="33"/>
        <v>15.6</v>
      </c>
      <c r="D198">
        <v>32.64</v>
      </c>
      <c r="E198" s="3">
        <v>6935</v>
      </c>
      <c r="F198">
        <v>12.53</v>
      </c>
      <c r="G198">
        <v>10.71</v>
      </c>
      <c r="H198">
        <v>54.3</v>
      </c>
      <c r="I198">
        <v>11.92</v>
      </c>
      <c r="J198">
        <v>7.22</v>
      </c>
      <c r="K198">
        <f t="shared" si="34"/>
        <v>0.12051282051282051</v>
      </c>
      <c r="M198">
        <v>39</v>
      </c>
      <c r="N198">
        <f t="shared" ca="1" si="35"/>
        <v>47.252298053282296</v>
      </c>
      <c r="O198">
        <f t="shared" ca="1" si="36"/>
        <v>19.808560399423421</v>
      </c>
      <c r="P198">
        <v>14.676923076923099</v>
      </c>
      <c r="Q198">
        <v>4.5</v>
      </c>
      <c r="R198">
        <f t="shared" ca="1" si="37"/>
        <v>19.5</v>
      </c>
      <c r="S198">
        <f t="shared" ca="1" si="38"/>
        <v>0.30856039942342228</v>
      </c>
      <c r="T198">
        <f t="shared" ca="1" si="39"/>
        <v>19.808560399423421</v>
      </c>
      <c r="U198">
        <f t="shared" ca="1" si="40"/>
        <v>47.252298053282296</v>
      </c>
    </row>
    <row r="199" spans="1:21" x14ac:dyDescent="0.45">
      <c r="A199">
        <f t="shared" ca="1" si="32"/>
        <v>18</v>
      </c>
      <c r="B199">
        <v>0.33</v>
      </c>
      <c r="C199">
        <f t="shared" ca="1" si="33"/>
        <v>14.6</v>
      </c>
      <c r="D199">
        <v>35.4</v>
      </c>
      <c r="E199" s="3">
        <v>6760</v>
      </c>
      <c r="F199">
        <v>11.57</v>
      </c>
      <c r="G199">
        <v>12.83</v>
      </c>
      <c r="H199">
        <v>52</v>
      </c>
      <c r="I199">
        <v>12.73</v>
      </c>
      <c r="J199">
        <v>7.18</v>
      </c>
      <c r="K199">
        <f t="shared" si="34"/>
        <v>0.11808510638297874</v>
      </c>
      <c r="M199">
        <v>47</v>
      </c>
      <c r="N199">
        <f t="shared" ca="1" si="35"/>
        <v>43.516712838584745</v>
      </c>
      <c r="O199">
        <f t="shared" ca="1" si="36"/>
        <v>20.13019694868316</v>
      </c>
      <c r="P199">
        <v>15.695652173913</v>
      </c>
      <c r="Q199">
        <v>4.5</v>
      </c>
      <c r="R199">
        <f t="shared" ca="1" si="37"/>
        <v>19.600000000000001</v>
      </c>
      <c r="S199">
        <f t="shared" ca="1" si="38"/>
        <v>0.53019694868316036</v>
      </c>
      <c r="T199">
        <f t="shared" ca="1" si="39"/>
        <v>20.13019694868316</v>
      </c>
      <c r="U199">
        <f t="shared" ca="1" si="40"/>
        <v>43.516712838584745</v>
      </c>
    </row>
    <row r="200" spans="1:21" x14ac:dyDescent="0.45">
      <c r="A200">
        <f t="shared" ca="1" si="32"/>
        <v>16</v>
      </c>
      <c r="B200">
        <v>0.33</v>
      </c>
      <c r="C200">
        <f t="shared" ca="1" si="33"/>
        <v>15</v>
      </c>
      <c r="D200">
        <v>32.25</v>
      </c>
      <c r="E200" s="3">
        <v>9213</v>
      </c>
      <c r="F200">
        <v>9.3800000000000008</v>
      </c>
      <c r="G200">
        <v>9.77</v>
      </c>
      <c r="H200">
        <v>55</v>
      </c>
      <c r="I200">
        <v>12.57</v>
      </c>
      <c r="J200">
        <v>7.3</v>
      </c>
      <c r="K200">
        <f t="shared" si="34"/>
        <v>0.21080000000000002</v>
      </c>
      <c r="M200">
        <v>25</v>
      </c>
      <c r="N200">
        <f t="shared" ca="1" si="35"/>
        <v>46.700649460267655</v>
      </c>
      <c r="O200">
        <f t="shared" ca="1" si="36"/>
        <v>19.271680595485275</v>
      </c>
      <c r="P200">
        <v>23.3739130434783</v>
      </c>
      <c r="Q200">
        <v>4.5</v>
      </c>
      <c r="R200">
        <f t="shared" ca="1" si="37"/>
        <v>19.100000000000001</v>
      </c>
      <c r="S200">
        <f t="shared" ca="1" si="38"/>
        <v>0.17168059548527226</v>
      </c>
      <c r="T200">
        <f t="shared" ca="1" si="39"/>
        <v>19.271680595485275</v>
      </c>
      <c r="U200">
        <f t="shared" ca="1" si="40"/>
        <v>46.700649460267655</v>
      </c>
    </row>
    <row r="201" spans="1:21" x14ac:dyDescent="0.45">
      <c r="A201">
        <f t="shared" ca="1" si="32"/>
        <v>22</v>
      </c>
      <c r="B201">
        <v>0.33</v>
      </c>
      <c r="C201">
        <f t="shared" ca="1" si="33"/>
        <v>14.5</v>
      </c>
      <c r="D201">
        <v>31.15</v>
      </c>
      <c r="E201" s="3">
        <v>7382</v>
      </c>
      <c r="F201">
        <v>10.38</v>
      </c>
      <c r="G201">
        <v>9.2799999999999994</v>
      </c>
      <c r="H201">
        <v>51.4</v>
      </c>
      <c r="I201">
        <v>12.51</v>
      </c>
      <c r="J201">
        <v>7.23</v>
      </c>
      <c r="K201">
        <f t="shared" si="34"/>
        <v>0.10999999999999999</v>
      </c>
      <c r="M201">
        <v>48</v>
      </c>
      <c r="N201">
        <f t="shared" ca="1" si="35"/>
        <v>42.503380164540353</v>
      </c>
      <c r="O201">
        <f t="shared" ca="1" si="36"/>
        <v>20.468960271677926</v>
      </c>
      <c r="P201">
        <v>13.695652173913</v>
      </c>
      <c r="Q201">
        <v>4.5</v>
      </c>
      <c r="R201">
        <f t="shared" ca="1" si="37"/>
        <v>19.8</v>
      </c>
      <c r="S201">
        <f t="shared" ca="1" si="38"/>
        <v>0.66896027167792371</v>
      </c>
      <c r="T201">
        <f t="shared" ca="1" si="39"/>
        <v>20.468960271677926</v>
      </c>
      <c r="U201">
        <f t="shared" ca="1" si="40"/>
        <v>42.503380164540353</v>
      </c>
    </row>
    <row r="202" spans="1:21" x14ac:dyDescent="0.45">
      <c r="A202">
        <f t="shared" ca="1" si="32"/>
        <v>21</v>
      </c>
      <c r="B202">
        <v>0.34</v>
      </c>
      <c r="C202">
        <f t="shared" ca="1" si="33"/>
        <v>16.2</v>
      </c>
      <c r="D202">
        <v>34.770000000000003</v>
      </c>
      <c r="E202" s="3">
        <v>6423</v>
      </c>
      <c r="F202">
        <v>5.62</v>
      </c>
      <c r="G202">
        <v>0.14000000000000001</v>
      </c>
      <c r="H202">
        <v>60.1</v>
      </c>
      <c r="I202">
        <v>13.02</v>
      </c>
      <c r="J202">
        <v>7.15</v>
      </c>
      <c r="K202">
        <f t="shared" ca="1" si="34"/>
        <v>0.24982645345154861</v>
      </c>
      <c r="M202">
        <f t="shared" ref="M202:M225" ca="1" si="41">N202-A202-Q202</f>
        <v>23.496310814572837</v>
      </c>
      <c r="N202">
        <f t="shared" ca="1" si="35"/>
        <v>48.996310814572837</v>
      </c>
      <c r="O202">
        <f t="shared" ca="1" si="36"/>
        <v>19.838228304137964</v>
      </c>
      <c r="P202">
        <v>8.3381443298969096</v>
      </c>
      <c r="Q202">
        <v>4.5</v>
      </c>
      <c r="R202">
        <f t="shared" ca="1" si="37"/>
        <v>19.5</v>
      </c>
      <c r="S202">
        <f t="shared" ca="1" si="38"/>
        <v>0.33822830413796556</v>
      </c>
      <c r="T202">
        <f t="shared" ca="1" si="39"/>
        <v>19.838228304137967</v>
      </c>
      <c r="U202">
        <f t="shared" ca="1" si="40"/>
        <v>48.996310814572837</v>
      </c>
    </row>
    <row r="203" spans="1:21" x14ac:dyDescent="0.45">
      <c r="A203">
        <f t="shared" ca="1" si="32"/>
        <v>20</v>
      </c>
      <c r="B203">
        <v>0.34</v>
      </c>
      <c r="C203">
        <f t="shared" ca="1" si="33"/>
        <v>16.2</v>
      </c>
      <c r="D203">
        <v>35.56</v>
      </c>
      <c r="E203" s="3">
        <v>6320</v>
      </c>
      <c r="F203">
        <v>7.32</v>
      </c>
      <c r="G203">
        <v>9.07</v>
      </c>
      <c r="H203">
        <v>60.2</v>
      </c>
      <c r="I203">
        <v>12.6</v>
      </c>
      <c r="J203">
        <v>7.42</v>
      </c>
      <c r="K203">
        <f t="shared" ca="1" si="34"/>
        <v>0.20943373924818429</v>
      </c>
      <c r="M203">
        <f t="shared" ca="1" si="41"/>
        <v>24.733359670676407</v>
      </c>
      <c r="N203">
        <f t="shared" ca="1" si="35"/>
        <v>49.233359670676407</v>
      </c>
      <c r="O203">
        <f t="shared" ca="1" si="36"/>
        <v>19.742711171891184</v>
      </c>
      <c r="P203">
        <v>8.5749999999999993</v>
      </c>
      <c r="Q203">
        <v>4.5</v>
      </c>
      <c r="R203">
        <f t="shared" ca="1" si="37"/>
        <v>19.100000000000001</v>
      </c>
      <c r="S203">
        <f t="shared" ca="1" si="38"/>
        <v>0.64271117189118232</v>
      </c>
      <c r="T203">
        <f t="shared" ca="1" si="39"/>
        <v>19.742711171891184</v>
      </c>
      <c r="U203">
        <f t="shared" ca="1" si="40"/>
        <v>49.233359670676407</v>
      </c>
    </row>
    <row r="204" spans="1:21" x14ac:dyDescent="0.45">
      <c r="A204">
        <f t="shared" ca="1" si="32"/>
        <v>16</v>
      </c>
      <c r="B204">
        <v>0.34</v>
      </c>
      <c r="C204">
        <f t="shared" ca="1" si="33"/>
        <v>14.9</v>
      </c>
      <c r="D204">
        <v>39.69</v>
      </c>
      <c r="E204" s="3">
        <v>6521</v>
      </c>
      <c r="F204">
        <v>11.93</v>
      </c>
      <c r="G204">
        <v>7.6</v>
      </c>
      <c r="H204">
        <v>58.3</v>
      </c>
      <c r="I204">
        <v>12.58</v>
      </c>
      <c r="J204">
        <v>7.16</v>
      </c>
      <c r="K204">
        <f t="shared" ca="1" si="34"/>
        <v>0.22420907678295546</v>
      </c>
      <c r="M204">
        <f t="shared" ca="1" si="41"/>
        <v>24.17386520549659</v>
      </c>
      <c r="N204">
        <f t="shared" ca="1" si="35"/>
        <v>44.67386520549659</v>
      </c>
      <c r="O204">
        <f t="shared" ca="1" si="36"/>
        <v>20.011700261163075</v>
      </c>
      <c r="P204">
        <v>11.842499999999999</v>
      </c>
      <c r="Q204">
        <v>4.5</v>
      </c>
      <c r="R204">
        <f t="shared" ca="1" si="37"/>
        <v>19.7</v>
      </c>
      <c r="S204">
        <f t="shared" ca="1" si="38"/>
        <v>0.31170026116307092</v>
      </c>
      <c r="T204">
        <f t="shared" ca="1" si="39"/>
        <v>20.011700261163071</v>
      </c>
      <c r="U204">
        <f t="shared" ca="1" si="40"/>
        <v>44.67386520549659</v>
      </c>
    </row>
    <row r="205" spans="1:21" x14ac:dyDescent="0.45">
      <c r="A205">
        <f t="shared" ca="1" si="32"/>
        <v>17</v>
      </c>
      <c r="B205">
        <v>0.34</v>
      </c>
      <c r="C205">
        <f t="shared" ca="1" si="33"/>
        <v>16.2</v>
      </c>
      <c r="D205">
        <v>39.25</v>
      </c>
      <c r="E205" s="3">
        <v>6584</v>
      </c>
      <c r="F205">
        <v>5.08</v>
      </c>
      <c r="G205">
        <v>4.78</v>
      </c>
      <c r="H205">
        <v>60.2</v>
      </c>
      <c r="I205">
        <v>12.5</v>
      </c>
      <c r="J205">
        <v>7.35</v>
      </c>
      <c r="K205">
        <f t="shared" ca="1" si="34"/>
        <v>0.18269159942471669</v>
      </c>
      <c r="M205">
        <f t="shared" ca="1" si="41"/>
        <v>28.189582970519702</v>
      </c>
      <c r="N205">
        <f t="shared" ca="1" si="35"/>
        <v>49.689582970519702</v>
      </c>
      <c r="O205">
        <f t="shared" ca="1" si="36"/>
        <v>19.561444107443549</v>
      </c>
      <c r="P205">
        <v>12.530232558139501</v>
      </c>
      <c r="Q205">
        <v>4.5</v>
      </c>
      <c r="R205">
        <f t="shared" ca="1" si="37"/>
        <v>19.399999999999999</v>
      </c>
      <c r="S205">
        <f t="shared" ca="1" si="38"/>
        <v>0.16144410744354942</v>
      </c>
      <c r="T205">
        <f t="shared" ca="1" si="39"/>
        <v>19.561444107443549</v>
      </c>
      <c r="U205">
        <f t="shared" ca="1" si="40"/>
        <v>49.689582970519702</v>
      </c>
    </row>
    <row r="206" spans="1:21" x14ac:dyDescent="0.45">
      <c r="A206">
        <f t="shared" ca="1" si="32"/>
        <v>20</v>
      </c>
      <c r="B206">
        <v>0.34</v>
      </c>
      <c r="C206">
        <f t="shared" ca="1" si="33"/>
        <v>15.9</v>
      </c>
      <c r="D206">
        <v>43.72</v>
      </c>
      <c r="E206" s="3">
        <v>6521</v>
      </c>
      <c r="F206">
        <v>0.01</v>
      </c>
      <c r="G206">
        <v>0.08</v>
      </c>
      <c r="H206">
        <v>62.5</v>
      </c>
      <c r="I206">
        <v>12.46</v>
      </c>
      <c r="J206">
        <v>7.43</v>
      </c>
      <c r="K206">
        <f t="shared" ca="1" si="34"/>
        <v>0.23037783912555437</v>
      </c>
      <c r="M206">
        <f t="shared" ca="1" si="41"/>
        <v>21.8336972822229</v>
      </c>
      <c r="N206">
        <f t="shared" ca="1" si="35"/>
        <v>46.3336972822229</v>
      </c>
      <c r="O206">
        <f t="shared" ca="1" si="36"/>
        <v>20.589766324692295</v>
      </c>
      <c r="P206">
        <v>8.4149999999999991</v>
      </c>
      <c r="Q206">
        <v>4.5</v>
      </c>
      <c r="R206">
        <f t="shared" ca="1" si="37"/>
        <v>20</v>
      </c>
      <c r="S206">
        <f t="shared" ca="1" si="38"/>
        <v>0.58976632469229562</v>
      </c>
      <c r="T206">
        <f t="shared" ca="1" si="39"/>
        <v>20.589766324692295</v>
      </c>
      <c r="U206">
        <f t="shared" ca="1" si="40"/>
        <v>46.3336972822229</v>
      </c>
    </row>
    <row r="207" spans="1:21" x14ac:dyDescent="0.45">
      <c r="A207">
        <f t="shared" ca="1" si="32"/>
        <v>19</v>
      </c>
      <c r="B207">
        <v>0.34</v>
      </c>
      <c r="C207">
        <f t="shared" ca="1" si="33"/>
        <v>15</v>
      </c>
      <c r="D207">
        <v>40.549999999999997</v>
      </c>
      <c r="E207" s="3">
        <v>6512</v>
      </c>
      <c r="F207">
        <v>8.91</v>
      </c>
      <c r="G207">
        <v>9.11</v>
      </c>
      <c r="H207">
        <v>61.5</v>
      </c>
      <c r="I207">
        <v>12.56</v>
      </c>
      <c r="J207">
        <v>7.41</v>
      </c>
      <c r="K207">
        <f t="shared" ca="1" si="34"/>
        <v>0.23628534137479304</v>
      </c>
      <c r="M207">
        <f t="shared" ca="1" si="41"/>
        <v>21.795681314953562</v>
      </c>
      <c r="N207">
        <f t="shared" ca="1" si="35"/>
        <v>45.295681314953562</v>
      </c>
      <c r="O207">
        <f t="shared" ca="1" si="36"/>
        <v>19.869443926498153</v>
      </c>
      <c r="P207">
        <v>9.48</v>
      </c>
      <c r="Q207">
        <v>4.5</v>
      </c>
      <c r="R207">
        <f t="shared" ca="1" si="37"/>
        <v>19.7</v>
      </c>
      <c r="S207">
        <f t="shared" ca="1" si="38"/>
        <v>0.16944392649815343</v>
      </c>
      <c r="T207">
        <f t="shared" ca="1" si="39"/>
        <v>19.869443926498153</v>
      </c>
      <c r="U207">
        <f t="shared" ca="1" si="40"/>
        <v>45.295681314953562</v>
      </c>
    </row>
    <row r="208" spans="1:21" x14ac:dyDescent="0.45">
      <c r="A208">
        <f t="shared" ca="1" si="32"/>
        <v>16</v>
      </c>
      <c r="B208">
        <v>0.34</v>
      </c>
      <c r="C208">
        <f t="shared" ca="1" si="33"/>
        <v>16.5</v>
      </c>
      <c r="D208">
        <v>29.54</v>
      </c>
      <c r="E208" s="3">
        <v>6541</v>
      </c>
      <c r="F208">
        <v>11.93</v>
      </c>
      <c r="G208">
        <v>7.82</v>
      </c>
      <c r="H208">
        <v>52.1</v>
      </c>
      <c r="I208">
        <v>12.87</v>
      </c>
      <c r="J208">
        <v>7.38</v>
      </c>
      <c r="K208">
        <f t="shared" ca="1" si="34"/>
        <v>0.18669005524011617</v>
      </c>
      <c r="M208">
        <f t="shared" ca="1" si="41"/>
        <v>29.407029704602614</v>
      </c>
      <c r="N208">
        <f t="shared" ca="1" si="35"/>
        <v>49.907029704602614</v>
      </c>
      <c r="O208">
        <f t="shared" ca="1" si="36"/>
        <v>19.836884820831131</v>
      </c>
      <c r="P208">
        <v>14.803125</v>
      </c>
      <c r="Q208">
        <v>4.5</v>
      </c>
      <c r="R208">
        <f t="shared" ca="1" si="37"/>
        <v>19.2</v>
      </c>
      <c r="S208">
        <f t="shared" ca="1" si="38"/>
        <v>0.63688482083113163</v>
      </c>
      <c r="T208">
        <f t="shared" ca="1" si="39"/>
        <v>19.836884820831131</v>
      </c>
      <c r="U208">
        <f t="shared" ca="1" si="40"/>
        <v>49.907029704602614</v>
      </c>
    </row>
    <row r="209" spans="1:21" x14ac:dyDescent="0.45">
      <c r="A209">
        <f t="shared" ca="1" si="32"/>
        <v>19</v>
      </c>
      <c r="B209">
        <v>0.34</v>
      </c>
      <c r="C209">
        <f t="shared" ca="1" si="33"/>
        <v>15.1</v>
      </c>
      <c r="D209">
        <v>36.21</v>
      </c>
      <c r="E209" s="3">
        <v>6582</v>
      </c>
      <c r="F209">
        <v>4.1399999999999997</v>
      </c>
      <c r="G209">
        <v>12.61</v>
      </c>
      <c r="H209">
        <v>58.24</v>
      </c>
      <c r="I209">
        <v>12.83</v>
      </c>
      <c r="J209">
        <v>7.2</v>
      </c>
      <c r="K209">
        <f t="shared" ca="1" si="34"/>
        <v>0.26309963025774652</v>
      </c>
      <c r="M209">
        <f t="shared" ca="1" si="41"/>
        <v>21.398737787979975</v>
      </c>
      <c r="N209">
        <f t="shared" ca="1" si="35"/>
        <v>44.898737787979975</v>
      </c>
      <c r="O209">
        <f t="shared" ca="1" si="36"/>
        <v>20.178740976601549</v>
      </c>
      <c r="P209">
        <v>12</v>
      </c>
      <c r="Q209">
        <v>4.5</v>
      </c>
      <c r="R209">
        <f t="shared" ca="1" si="37"/>
        <v>19.7</v>
      </c>
      <c r="S209">
        <f t="shared" ca="1" si="38"/>
        <v>0.47874097660155146</v>
      </c>
      <c r="T209">
        <f t="shared" ca="1" si="39"/>
        <v>20.178740976601549</v>
      </c>
      <c r="U209">
        <f t="shared" ca="1" si="40"/>
        <v>44.898737787979975</v>
      </c>
    </row>
    <row r="210" spans="1:21" x14ac:dyDescent="0.45">
      <c r="A210">
        <f t="shared" ca="1" si="32"/>
        <v>21</v>
      </c>
      <c r="B210">
        <v>0.34</v>
      </c>
      <c r="C210">
        <f t="shared" ca="1" si="33"/>
        <v>15.5</v>
      </c>
      <c r="D210">
        <v>38.520000000000003</v>
      </c>
      <c r="E210" s="3">
        <v>6458</v>
      </c>
      <c r="F210">
        <v>11.45</v>
      </c>
      <c r="G210">
        <v>8.56</v>
      </c>
      <c r="H210">
        <v>54.9</v>
      </c>
      <c r="I210">
        <v>12.18</v>
      </c>
      <c r="J210">
        <v>7.24</v>
      </c>
      <c r="K210">
        <f t="shared" ca="1" si="34"/>
        <v>0.24795338264025515</v>
      </c>
      <c r="M210">
        <f t="shared" ca="1" si="41"/>
        <v>19.923099848035676</v>
      </c>
      <c r="N210">
        <f t="shared" ca="1" si="35"/>
        <v>45.423099848035676</v>
      </c>
      <c r="O210">
        <f t="shared" ca="1" si="36"/>
        <v>20.474164095170575</v>
      </c>
      <c r="P210">
        <v>11.124705882352901</v>
      </c>
      <c r="Q210">
        <v>4.5</v>
      </c>
      <c r="R210">
        <f t="shared" ca="1" si="37"/>
        <v>19.600000000000001</v>
      </c>
      <c r="S210">
        <f t="shared" ca="1" si="38"/>
        <v>0.87416409517057281</v>
      </c>
      <c r="T210">
        <f t="shared" ca="1" si="39"/>
        <v>20.474164095170575</v>
      </c>
      <c r="U210">
        <f t="shared" ca="1" si="40"/>
        <v>45.423099848035676</v>
      </c>
    </row>
    <row r="211" spans="1:21" x14ac:dyDescent="0.45">
      <c r="A211">
        <f t="shared" ca="1" si="32"/>
        <v>20</v>
      </c>
      <c r="B211">
        <v>0.34</v>
      </c>
      <c r="C211">
        <f t="shared" ca="1" si="33"/>
        <v>14.6</v>
      </c>
      <c r="D211">
        <v>34.01</v>
      </c>
      <c r="E211" s="3">
        <v>6423</v>
      </c>
      <c r="F211">
        <v>3.98</v>
      </c>
      <c r="G211">
        <v>5.88</v>
      </c>
      <c r="H211">
        <v>64.28</v>
      </c>
      <c r="I211">
        <v>12.94</v>
      </c>
      <c r="J211">
        <v>7.45</v>
      </c>
      <c r="K211">
        <f t="shared" ca="1" si="34"/>
        <v>0.27573310342656104</v>
      </c>
      <c r="M211">
        <f t="shared" ca="1" si="41"/>
        <v>19.910558187519946</v>
      </c>
      <c r="N211">
        <f t="shared" ca="1" si="35"/>
        <v>44.410558187519946</v>
      </c>
      <c r="O211">
        <f t="shared" ca="1" si="36"/>
        <v>19.725039174269366</v>
      </c>
      <c r="P211">
        <v>11.0093023255814</v>
      </c>
      <c r="Q211">
        <v>4.5</v>
      </c>
      <c r="R211">
        <f t="shared" ca="1" si="37"/>
        <v>19.600000000000001</v>
      </c>
      <c r="S211">
        <f t="shared" ca="1" si="38"/>
        <v>0.12503917426936284</v>
      </c>
      <c r="T211">
        <f t="shared" ca="1" si="39"/>
        <v>19.725039174269366</v>
      </c>
      <c r="U211">
        <f t="shared" ca="1" si="40"/>
        <v>44.410558187519946</v>
      </c>
    </row>
    <row r="212" spans="1:21" x14ac:dyDescent="0.45">
      <c r="A212">
        <f t="shared" ca="1" si="32"/>
        <v>19</v>
      </c>
      <c r="B212">
        <v>0.34</v>
      </c>
      <c r="C212">
        <f t="shared" ca="1" si="33"/>
        <v>16.399999999999999</v>
      </c>
      <c r="D212">
        <v>28.89</v>
      </c>
      <c r="E212" s="3">
        <v>6523</v>
      </c>
      <c r="F212">
        <v>7.17</v>
      </c>
      <c r="G212">
        <v>7.38</v>
      </c>
      <c r="H212">
        <v>63.74</v>
      </c>
      <c r="I212">
        <v>12.66</v>
      </c>
      <c r="J212">
        <v>7.4</v>
      </c>
      <c r="K212">
        <f t="shared" ca="1" si="34"/>
        <v>0.20562576452813736</v>
      </c>
      <c r="M212">
        <f t="shared" ca="1" si="41"/>
        <v>25.580452002551624</v>
      </c>
      <c r="N212">
        <f t="shared" ca="1" si="35"/>
        <v>49.080452002551624</v>
      </c>
      <c r="O212">
        <f t="shared" ca="1" si="36"/>
        <v>20.048715116740226</v>
      </c>
      <c r="P212">
        <v>13.233333333333301</v>
      </c>
      <c r="Q212">
        <v>4.5</v>
      </c>
      <c r="R212">
        <f t="shared" ca="1" si="37"/>
        <v>19.600000000000001</v>
      </c>
      <c r="S212">
        <f t="shared" ca="1" si="38"/>
        <v>0.44871511674022568</v>
      </c>
      <c r="T212">
        <f t="shared" ca="1" si="39"/>
        <v>20.048715116740226</v>
      </c>
      <c r="U212">
        <f t="shared" ca="1" si="40"/>
        <v>49.080452002551624</v>
      </c>
    </row>
    <row r="213" spans="1:21" x14ac:dyDescent="0.45">
      <c r="A213">
        <f t="shared" ca="1" si="32"/>
        <v>20</v>
      </c>
      <c r="B213">
        <v>0.34</v>
      </c>
      <c r="C213">
        <f t="shared" ca="1" si="33"/>
        <v>15.5</v>
      </c>
      <c r="D213">
        <v>40.729999999999997</v>
      </c>
      <c r="E213" s="3">
        <v>6521</v>
      </c>
      <c r="F213">
        <v>13.66</v>
      </c>
      <c r="G213">
        <v>12.73</v>
      </c>
      <c r="H213">
        <v>60.58</v>
      </c>
      <c r="I213">
        <v>12.73</v>
      </c>
      <c r="J213">
        <v>7.4</v>
      </c>
      <c r="K213">
        <f t="shared" ca="1" si="34"/>
        <v>0.24153368724176005</v>
      </c>
      <c r="M213">
        <f t="shared" ca="1" si="41"/>
        <v>22.067315167780322</v>
      </c>
      <c r="N213">
        <f t="shared" ca="1" si="35"/>
        <v>46.567315167780322</v>
      </c>
      <c r="O213">
        <f t="shared" ca="1" si="36"/>
        <v>19.971089092193619</v>
      </c>
      <c r="P213">
        <v>12.420779220779201</v>
      </c>
      <c r="Q213">
        <v>4.5</v>
      </c>
      <c r="R213">
        <f t="shared" ca="1" si="37"/>
        <v>19.2</v>
      </c>
      <c r="S213">
        <f t="shared" ca="1" si="38"/>
        <v>0.77108909219361976</v>
      </c>
      <c r="T213">
        <f t="shared" ca="1" si="39"/>
        <v>19.971089092193619</v>
      </c>
      <c r="U213">
        <f t="shared" ca="1" si="40"/>
        <v>46.567315167780322</v>
      </c>
    </row>
    <row r="214" spans="1:21" x14ac:dyDescent="0.45">
      <c r="A214">
        <f t="shared" ca="1" si="32"/>
        <v>19</v>
      </c>
      <c r="B214">
        <v>0.34</v>
      </c>
      <c r="C214">
        <f t="shared" ca="1" si="33"/>
        <v>14.7</v>
      </c>
      <c r="D214">
        <v>39.96</v>
      </c>
      <c r="E214" s="3">
        <v>6542</v>
      </c>
      <c r="F214">
        <v>14.3</v>
      </c>
      <c r="G214">
        <v>12.2</v>
      </c>
      <c r="H214">
        <v>53.2</v>
      </c>
      <c r="I214">
        <v>12.82</v>
      </c>
      <c r="J214">
        <v>7.05</v>
      </c>
      <c r="K214">
        <f t="shared" ca="1" si="34"/>
        <v>0.27321317214241808</v>
      </c>
      <c r="M214">
        <f t="shared" ca="1" si="41"/>
        <v>21.119040325743399</v>
      </c>
      <c r="N214">
        <f t="shared" ca="1" si="35"/>
        <v>44.619040325743399</v>
      </c>
      <c r="O214">
        <f t="shared" ca="1" si="36"/>
        <v>19.767345813825614</v>
      </c>
      <c r="P214">
        <v>10.4571428571429</v>
      </c>
      <c r="Q214">
        <v>4.5</v>
      </c>
      <c r="R214">
        <f t="shared" ca="1" si="37"/>
        <v>19.2</v>
      </c>
      <c r="S214">
        <f t="shared" ca="1" si="38"/>
        <v>0.56734581382561278</v>
      </c>
      <c r="T214">
        <f t="shared" ca="1" si="39"/>
        <v>19.767345813825614</v>
      </c>
      <c r="U214">
        <f t="shared" ca="1" si="40"/>
        <v>44.619040325743399</v>
      </c>
    </row>
    <row r="215" spans="1:21" x14ac:dyDescent="0.45">
      <c r="A215">
        <f t="shared" ca="1" si="32"/>
        <v>18</v>
      </c>
      <c r="B215">
        <v>0.34</v>
      </c>
      <c r="C215">
        <f t="shared" ca="1" si="33"/>
        <v>15.5</v>
      </c>
      <c r="D215">
        <v>42</v>
      </c>
      <c r="E215" s="3">
        <v>6722</v>
      </c>
      <c r="F215">
        <v>6.27</v>
      </c>
      <c r="G215">
        <v>10.09</v>
      </c>
      <c r="H215">
        <v>53.3</v>
      </c>
      <c r="I215">
        <v>12.85</v>
      </c>
      <c r="J215">
        <v>7.35</v>
      </c>
      <c r="K215">
        <f t="shared" ca="1" si="34"/>
        <v>0.23684899420804637</v>
      </c>
      <c r="M215">
        <f t="shared" ca="1" si="41"/>
        <v>23.221546785074551</v>
      </c>
      <c r="N215">
        <f t="shared" ca="1" si="35"/>
        <v>45.721546785074551</v>
      </c>
      <c r="O215">
        <f t="shared" ca="1" si="36"/>
        <v>20.340519194849097</v>
      </c>
      <c r="P215">
        <v>13.2083333333333</v>
      </c>
      <c r="Q215">
        <v>4.5</v>
      </c>
      <c r="R215">
        <f t="shared" ca="1" si="37"/>
        <v>19.8</v>
      </c>
      <c r="S215">
        <f t="shared" ca="1" si="38"/>
        <v>0.54051919484909705</v>
      </c>
      <c r="T215">
        <f t="shared" ca="1" si="39"/>
        <v>20.340519194849097</v>
      </c>
      <c r="U215">
        <f t="shared" ca="1" si="40"/>
        <v>45.721546785074551</v>
      </c>
    </row>
    <row r="216" spans="1:21" x14ac:dyDescent="0.45">
      <c r="A216">
        <f t="shared" ca="1" si="32"/>
        <v>16</v>
      </c>
      <c r="B216">
        <v>0.34</v>
      </c>
      <c r="C216">
        <f t="shared" ca="1" si="33"/>
        <v>15.1</v>
      </c>
      <c r="D216">
        <v>41.31</v>
      </c>
      <c r="E216" s="3">
        <v>6385</v>
      </c>
      <c r="F216">
        <v>6.43</v>
      </c>
      <c r="G216">
        <v>12.04</v>
      </c>
      <c r="H216">
        <v>52.5</v>
      </c>
      <c r="I216">
        <v>12.63</v>
      </c>
      <c r="J216">
        <v>6.98</v>
      </c>
      <c r="K216">
        <f t="shared" ca="1" si="34"/>
        <v>0.217503328436948</v>
      </c>
      <c r="M216">
        <f t="shared" ca="1" si="41"/>
        <v>25.976613970015073</v>
      </c>
      <c r="N216">
        <f t="shared" ca="1" si="35"/>
        <v>46.476613970015073</v>
      </c>
      <c r="O216">
        <f t="shared" ca="1" si="36"/>
        <v>19.493674831486569</v>
      </c>
      <c r="P216">
        <v>27.681818181818201</v>
      </c>
      <c r="Q216">
        <v>4.5</v>
      </c>
      <c r="R216">
        <f t="shared" ca="1" si="37"/>
        <v>19.2</v>
      </c>
      <c r="S216">
        <f t="shared" ca="1" si="38"/>
        <v>0.29367483148657325</v>
      </c>
      <c r="T216">
        <f t="shared" ca="1" si="39"/>
        <v>19.493674831486572</v>
      </c>
      <c r="U216">
        <f t="shared" ca="1" si="40"/>
        <v>46.476613970015073</v>
      </c>
    </row>
    <row r="217" spans="1:21" x14ac:dyDescent="0.45">
      <c r="A217">
        <f t="shared" ca="1" si="32"/>
        <v>20</v>
      </c>
      <c r="B217">
        <v>0.34</v>
      </c>
      <c r="C217">
        <f t="shared" ca="1" si="33"/>
        <v>15.1</v>
      </c>
      <c r="D217">
        <v>37.92</v>
      </c>
      <c r="E217" s="3">
        <v>6381</v>
      </c>
      <c r="F217">
        <v>8.85</v>
      </c>
      <c r="G217">
        <v>8.32</v>
      </c>
      <c r="H217">
        <v>50.7</v>
      </c>
      <c r="I217">
        <v>12.36</v>
      </c>
      <c r="J217">
        <v>7.31</v>
      </c>
      <c r="K217">
        <f t="shared" ca="1" si="34"/>
        <v>0.24620177789906308</v>
      </c>
      <c r="M217">
        <f t="shared" ca="1" si="41"/>
        <v>20.511630919539421</v>
      </c>
      <c r="N217">
        <f t="shared" ca="1" si="35"/>
        <v>45.011630919539421</v>
      </c>
      <c r="O217">
        <f t="shared" ca="1" si="36"/>
        <v>20.128130918417973</v>
      </c>
      <c r="P217">
        <v>14.3391304347826</v>
      </c>
      <c r="Q217">
        <v>4.5</v>
      </c>
      <c r="R217">
        <f t="shared" ca="1" si="37"/>
        <v>19.3</v>
      </c>
      <c r="S217">
        <f t="shared" ca="1" si="38"/>
        <v>0.82813091841797604</v>
      </c>
      <c r="T217">
        <f t="shared" ca="1" si="39"/>
        <v>20.128130918417977</v>
      </c>
      <c r="U217">
        <f t="shared" ca="1" si="40"/>
        <v>45.011630919539421</v>
      </c>
    </row>
    <row r="218" spans="1:21" x14ac:dyDescent="0.45">
      <c r="A218">
        <f t="shared" ca="1" si="32"/>
        <v>16</v>
      </c>
      <c r="B218">
        <v>0.34</v>
      </c>
      <c r="C218">
        <f t="shared" ca="1" si="33"/>
        <v>14.8</v>
      </c>
      <c r="D218">
        <v>32.18</v>
      </c>
      <c r="E218" s="3">
        <v>4311</v>
      </c>
      <c r="F218">
        <v>6.55</v>
      </c>
      <c r="G218">
        <v>7.22</v>
      </c>
      <c r="H218">
        <v>57.3</v>
      </c>
      <c r="I218">
        <v>12.87</v>
      </c>
      <c r="J218">
        <v>7.3</v>
      </c>
      <c r="K218">
        <f t="shared" ca="1" si="34"/>
        <v>0.2318315791396178</v>
      </c>
      <c r="M218">
        <f t="shared" ca="1" si="41"/>
        <v>24.026062457373563</v>
      </c>
      <c r="N218">
        <f t="shared" ca="1" si="35"/>
        <v>44.526062457373563</v>
      </c>
      <c r="O218">
        <f t="shared" ca="1" si="36"/>
        <v>19.943375879017264</v>
      </c>
      <c r="P218">
        <v>9.06</v>
      </c>
      <c r="Q218">
        <v>4.5</v>
      </c>
      <c r="R218">
        <f t="shared" ca="1" si="37"/>
        <v>19.399999999999999</v>
      </c>
      <c r="S218">
        <f t="shared" ca="1" si="38"/>
        <v>0.54337587901726381</v>
      </c>
      <c r="T218">
        <f t="shared" ca="1" si="39"/>
        <v>19.943375879017264</v>
      </c>
      <c r="U218">
        <f t="shared" ca="1" si="40"/>
        <v>44.526062457373563</v>
      </c>
    </row>
    <row r="219" spans="1:21" x14ac:dyDescent="0.45">
      <c r="A219">
        <f t="shared" ca="1" si="32"/>
        <v>17</v>
      </c>
      <c r="B219">
        <v>0.34</v>
      </c>
      <c r="C219">
        <f t="shared" ca="1" si="33"/>
        <v>14.9</v>
      </c>
      <c r="D219">
        <v>31.43</v>
      </c>
      <c r="E219" s="3">
        <v>4381</v>
      </c>
      <c r="F219">
        <v>6.58</v>
      </c>
      <c r="G219">
        <v>5.88</v>
      </c>
      <c r="H219">
        <v>52.5</v>
      </c>
      <c r="I219">
        <v>12.64</v>
      </c>
      <c r="J219">
        <v>7.23</v>
      </c>
      <c r="K219">
        <f t="shared" ca="1" si="34"/>
        <v>0.22309306723177891</v>
      </c>
      <c r="M219">
        <f t="shared" ca="1" si="41"/>
        <v>24.249969159191167</v>
      </c>
      <c r="N219">
        <f t="shared" ca="1" si="35"/>
        <v>45.749969159191167</v>
      </c>
      <c r="O219">
        <f t="shared" ca="1" si="36"/>
        <v>19.540996779456744</v>
      </c>
      <c r="P219">
        <v>13.02</v>
      </c>
      <c r="Q219">
        <v>4.5</v>
      </c>
      <c r="R219">
        <f t="shared" ca="1" si="37"/>
        <v>19.100000000000001</v>
      </c>
      <c r="S219">
        <f t="shared" ca="1" si="38"/>
        <v>0.44099677945674209</v>
      </c>
      <c r="T219">
        <f t="shared" ca="1" si="39"/>
        <v>19.540996779456744</v>
      </c>
      <c r="U219">
        <f t="shared" ca="1" si="40"/>
        <v>45.749969159191167</v>
      </c>
    </row>
    <row r="220" spans="1:21" x14ac:dyDescent="0.45">
      <c r="A220">
        <f t="shared" ca="1" si="32"/>
        <v>20</v>
      </c>
      <c r="B220">
        <v>0.34</v>
      </c>
      <c r="C220">
        <f t="shared" ca="1" si="33"/>
        <v>14.6</v>
      </c>
      <c r="D220">
        <v>31.95</v>
      </c>
      <c r="E220" s="3">
        <v>4234</v>
      </c>
      <c r="F220">
        <v>11.59</v>
      </c>
      <c r="G220">
        <v>5.68</v>
      </c>
      <c r="H220">
        <v>50.1</v>
      </c>
      <c r="I220">
        <v>12.12</v>
      </c>
      <c r="J220">
        <v>7.32</v>
      </c>
      <c r="K220">
        <f t="shared" ca="1" si="34"/>
        <v>0.26219881915131937</v>
      </c>
      <c r="M220">
        <f t="shared" ca="1" si="41"/>
        <v>18.306718602076685</v>
      </c>
      <c r="N220">
        <f t="shared" ca="1" si="35"/>
        <v>42.806718602076685</v>
      </c>
      <c r="O220">
        <f t="shared" ca="1" si="36"/>
        <v>20.464077336624037</v>
      </c>
      <c r="P220">
        <v>13.0521739130435</v>
      </c>
      <c r="Q220">
        <v>4.5</v>
      </c>
      <c r="R220">
        <f t="shared" ca="1" si="37"/>
        <v>19.600000000000001</v>
      </c>
      <c r="S220">
        <f t="shared" ca="1" si="38"/>
        <v>0.86407733662403474</v>
      </c>
      <c r="T220">
        <f t="shared" ca="1" si="39"/>
        <v>20.464077336624037</v>
      </c>
      <c r="U220">
        <f t="shared" ca="1" si="40"/>
        <v>42.806718602076685</v>
      </c>
    </row>
    <row r="221" spans="1:21" x14ac:dyDescent="0.45">
      <c r="A221">
        <f t="shared" ca="1" si="32"/>
        <v>22</v>
      </c>
      <c r="B221">
        <v>0.34</v>
      </c>
      <c r="C221">
        <f t="shared" ca="1" si="33"/>
        <v>15.2</v>
      </c>
      <c r="D221">
        <v>33.159999999999997</v>
      </c>
      <c r="E221" s="3">
        <v>4651</v>
      </c>
      <c r="F221">
        <v>8.64</v>
      </c>
      <c r="G221">
        <v>7.46</v>
      </c>
      <c r="H221">
        <v>53.8</v>
      </c>
      <c r="I221">
        <v>12.46</v>
      </c>
      <c r="J221">
        <v>7.27</v>
      </c>
      <c r="K221">
        <f t="shared" ca="1" si="34"/>
        <v>0.27226833124258026</v>
      </c>
      <c r="M221">
        <f t="shared" ca="1" si="41"/>
        <v>19.062077386355732</v>
      </c>
      <c r="N221">
        <f t="shared" ca="1" si="35"/>
        <v>45.562077386355732</v>
      </c>
      <c r="O221">
        <f t="shared" ca="1" si="36"/>
        <v>20.016646569173172</v>
      </c>
      <c r="P221">
        <v>15.01</v>
      </c>
      <c r="Q221">
        <v>4.5</v>
      </c>
      <c r="R221">
        <f t="shared" ca="1" si="37"/>
        <v>19.399999999999999</v>
      </c>
      <c r="S221">
        <f t="shared" ca="1" si="38"/>
        <v>0.61664656917317384</v>
      </c>
      <c r="T221">
        <f t="shared" ca="1" si="39"/>
        <v>20.016646569173172</v>
      </c>
      <c r="U221">
        <f t="shared" ca="1" si="40"/>
        <v>45.562077386355732</v>
      </c>
    </row>
    <row r="222" spans="1:21" x14ac:dyDescent="0.45">
      <c r="A222">
        <f t="shared" ca="1" si="32"/>
        <v>17</v>
      </c>
      <c r="B222">
        <v>0.34</v>
      </c>
      <c r="C222">
        <f t="shared" ca="1" si="33"/>
        <v>15.2</v>
      </c>
      <c r="D222">
        <v>32.18</v>
      </c>
      <c r="E222" s="3">
        <v>4311</v>
      </c>
      <c r="F222">
        <v>6.55</v>
      </c>
      <c r="G222">
        <v>7.22</v>
      </c>
      <c r="H222">
        <v>57.3</v>
      </c>
      <c r="I222">
        <v>12.87</v>
      </c>
      <c r="J222">
        <v>7.3</v>
      </c>
      <c r="K222">
        <f t="shared" ca="1" si="34"/>
        <v>0.24038753409779218</v>
      </c>
      <c r="M222">
        <f t="shared" ca="1" si="41"/>
        <v>23.170918662255026</v>
      </c>
      <c r="N222">
        <f t="shared" ca="1" si="35"/>
        <v>44.670918662255026</v>
      </c>
      <c r="O222">
        <f t="shared" ca="1" si="36"/>
        <v>20.415966971608313</v>
      </c>
      <c r="P222">
        <v>9.06</v>
      </c>
      <c r="Q222">
        <v>4.5</v>
      </c>
      <c r="R222">
        <f t="shared" ca="1" si="37"/>
        <v>19.899999999999999</v>
      </c>
      <c r="S222">
        <f t="shared" ca="1" si="38"/>
        <v>0.51596697160831273</v>
      </c>
      <c r="T222">
        <f t="shared" ca="1" si="39"/>
        <v>20.415966971608313</v>
      </c>
      <c r="U222">
        <f t="shared" ca="1" si="40"/>
        <v>44.670918662255026</v>
      </c>
    </row>
    <row r="223" spans="1:21" x14ac:dyDescent="0.45">
      <c r="A223">
        <f t="shared" ca="1" si="32"/>
        <v>19</v>
      </c>
      <c r="B223">
        <v>0.34</v>
      </c>
      <c r="C223">
        <f t="shared" ca="1" si="33"/>
        <v>14.8</v>
      </c>
      <c r="D223">
        <v>31.43</v>
      </c>
      <c r="E223" s="3">
        <v>4381</v>
      </c>
      <c r="F223">
        <v>6.58</v>
      </c>
      <c r="G223">
        <v>5.88</v>
      </c>
      <c r="H223">
        <v>52.5</v>
      </c>
      <c r="I223">
        <v>12.64</v>
      </c>
      <c r="J223">
        <v>7.23</v>
      </c>
      <c r="K223">
        <f t="shared" ca="1" si="34"/>
        <v>0.24495519773167529</v>
      </c>
      <c r="M223">
        <f t="shared" ca="1" si="41"/>
        <v>22.085671380307396</v>
      </c>
      <c r="N223">
        <f t="shared" ca="1" si="35"/>
        <v>45.585671380307396</v>
      </c>
      <c r="O223">
        <f t="shared" ca="1" si="36"/>
        <v>19.479805235107452</v>
      </c>
      <c r="P223">
        <v>13.02</v>
      </c>
      <c r="Q223">
        <v>4.5</v>
      </c>
      <c r="R223">
        <f t="shared" ca="1" si="37"/>
        <v>19.3</v>
      </c>
      <c r="S223">
        <f t="shared" ca="1" si="38"/>
        <v>0.17980523510745217</v>
      </c>
      <c r="T223">
        <f t="shared" ca="1" si="39"/>
        <v>19.479805235107452</v>
      </c>
      <c r="U223">
        <f t="shared" ca="1" si="40"/>
        <v>45.585671380307396</v>
      </c>
    </row>
    <row r="224" spans="1:21" x14ac:dyDescent="0.45">
      <c r="A224">
        <f t="shared" ca="1" si="32"/>
        <v>21</v>
      </c>
      <c r="B224">
        <v>0.34</v>
      </c>
      <c r="C224">
        <f t="shared" ca="1" si="33"/>
        <v>15.3</v>
      </c>
      <c r="D224">
        <v>33.07</v>
      </c>
      <c r="E224" s="3">
        <v>4382</v>
      </c>
      <c r="F224">
        <v>10.71</v>
      </c>
      <c r="G224">
        <v>6.06</v>
      </c>
      <c r="H224">
        <v>51</v>
      </c>
      <c r="I224">
        <v>12.09</v>
      </c>
      <c r="J224">
        <v>7.22</v>
      </c>
      <c r="K224">
        <f t="shared" ca="1" si="34"/>
        <v>0.2486661994790311</v>
      </c>
      <c r="M224">
        <f t="shared" ca="1" si="41"/>
        <v>19.584487196904561</v>
      </c>
      <c r="N224">
        <f t="shared" ca="1" si="35"/>
        <v>45.084487196904561</v>
      </c>
      <c r="O224">
        <f t="shared" ca="1" si="36"/>
        <v>20.361770912258013</v>
      </c>
      <c r="P224">
        <v>12.020930232558101</v>
      </c>
      <c r="Q224">
        <v>4.5</v>
      </c>
      <c r="R224">
        <f t="shared" ca="1" si="37"/>
        <v>19.5</v>
      </c>
      <c r="S224">
        <f t="shared" ca="1" si="38"/>
        <v>0.86177091225800984</v>
      </c>
      <c r="T224">
        <f t="shared" ca="1" si="39"/>
        <v>20.36177091225801</v>
      </c>
      <c r="U224">
        <f t="shared" ca="1" si="40"/>
        <v>45.084487196904561</v>
      </c>
    </row>
    <row r="225" spans="1:21" x14ac:dyDescent="0.45">
      <c r="A225">
        <f t="shared" ca="1" si="32"/>
        <v>22</v>
      </c>
      <c r="B225">
        <v>0.34</v>
      </c>
      <c r="C225">
        <f t="shared" ca="1" si="33"/>
        <v>16.2</v>
      </c>
      <c r="D225">
        <v>30.13</v>
      </c>
      <c r="E225" s="3">
        <v>5234</v>
      </c>
      <c r="F225">
        <v>1.1399999999999999</v>
      </c>
      <c r="G225">
        <v>5.04</v>
      </c>
      <c r="H225">
        <v>50.7</v>
      </c>
      <c r="I225">
        <v>11.73</v>
      </c>
      <c r="J225">
        <v>7.4</v>
      </c>
      <c r="K225">
        <f t="shared" ca="1" si="34"/>
        <v>0.20014057556546652</v>
      </c>
      <c r="M225">
        <f t="shared" ca="1" si="41"/>
        <v>21.634793383431862</v>
      </c>
      <c r="N225">
        <f t="shared" ca="1" si="35"/>
        <v>48.134793383431862</v>
      </c>
      <c r="O225">
        <f t="shared" ca="1" si="36"/>
        <v>20.193293284906158</v>
      </c>
      <c r="P225">
        <v>11.229629629629599</v>
      </c>
      <c r="Q225">
        <v>4.5</v>
      </c>
      <c r="R225">
        <f t="shared" ca="1" si="37"/>
        <v>20</v>
      </c>
      <c r="S225">
        <f t="shared" ca="1" si="38"/>
        <v>0.19329328490615882</v>
      </c>
      <c r="T225">
        <f t="shared" ca="1" si="39"/>
        <v>20.193293284906158</v>
      </c>
      <c r="U225">
        <f t="shared" ca="1" si="40"/>
        <v>48.134793383431862</v>
      </c>
    </row>
    <row r="226" spans="1:21" x14ac:dyDescent="0.45">
      <c r="A226">
        <f t="shared" ca="1" si="32"/>
        <v>22</v>
      </c>
      <c r="B226">
        <v>0.34</v>
      </c>
      <c r="C226">
        <f t="shared" ca="1" si="33"/>
        <v>16.5</v>
      </c>
      <c r="D226">
        <v>36.22</v>
      </c>
      <c r="E226" s="3">
        <v>4726</v>
      </c>
      <c r="F226">
        <v>2.3199999999999998</v>
      </c>
      <c r="G226">
        <v>6.95</v>
      </c>
      <c r="H226">
        <v>56</v>
      </c>
      <c r="I226">
        <v>11.69</v>
      </c>
      <c r="J226">
        <v>7.21</v>
      </c>
      <c r="K226">
        <f t="shared" si="34"/>
        <v>8.2962962962962961E-2</v>
      </c>
      <c r="M226">
        <v>54</v>
      </c>
      <c r="N226">
        <f t="shared" ca="1" si="35"/>
        <v>49.43885785127577</v>
      </c>
      <c r="O226">
        <f t="shared" ca="1" si="36"/>
        <v>20.024734450341938</v>
      </c>
      <c r="P226">
        <v>13.4181818181818</v>
      </c>
      <c r="Q226">
        <v>4.5</v>
      </c>
      <c r="R226">
        <f t="shared" ca="1" si="37"/>
        <v>19.5</v>
      </c>
      <c r="S226">
        <f t="shared" ca="1" si="38"/>
        <v>0.52473445034193711</v>
      </c>
      <c r="T226">
        <f t="shared" ca="1" si="39"/>
        <v>20.024734450341938</v>
      </c>
      <c r="U226">
        <f t="shared" ca="1" si="40"/>
        <v>49.43885785127577</v>
      </c>
    </row>
    <row r="227" spans="1:21" x14ac:dyDescent="0.45">
      <c r="A227">
        <f t="shared" ca="1" si="32"/>
        <v>19</v>
      </c>
      <c r="B227">
        <v>0.34</v>
      </c>
      <c r="C227">
        <f t="shared" ca="1" si="33"/>
        <v>16.100000000000001</v>
      </c>
      <c r="D227">
        <v>33.04</v>
      </c>
      <c r="E227" s="3">
        <v>4261</v>
      </c>
      <c r="F227">
        <v>1.0900000000000001</v>
      </c>
      <c r="G227">
        <v>5.51</v>
      </c>
      <c r="H227">
        <v>53</v>
      </c>
      <c r="I227">
        <v>11.42</v>
      </c>
      <c r="J227">
        <v>7.21</v>
      </c>
      <c r="K227">
        <f t="shared" si="34"/>
        <v>8.2549019607843138E-2</v>
      </c>
      <c r="M227">
        <v>51</v>
      </c>
      <c r="N227">
        <f t="shared" ca="1" si="35"/>
        <v>47.394580670435197</v>
      </c>
      <c r="O227">
        <f t="shared" ca="1" si="36"/>
        <v>20.382077155977292</v>
      </c>
      <c r="P227">
        <v>13.363636363636401</v>
      </c>
      <c r="Q227">
        <v>4.5</v>
      </c>
      <c r="R227">
        <f t="shared" ca="1" si="37"/>
        <v>19.7</v>
      </c>
      <c r="S227">
        <f t="shared" ca="1" si="38"/>
        <v>0.68207715597729424</v>
      </c>
      <c r="T227">
        <f t="shared" ca="1" si="39"/>
        <v>20.382077155977292</v>
      </c>
      <c r="U227">
        <f t="shared" ca="1" si="40"/>
        <v>47.394580670435197</v>
      </c>
    </row>
    <row r="228" spans="1:21" x14ac:dyDescent="0.45">
      <c r="A228">
        <f t="shared" ca="1" si="32"/>
        <v>17</v>
      </c>
      <c r="B228">
        <v>0.34</v>
      </c>
      <c r="C228">
        <f t="shared" ca="1" si="33"/>
        <v>15.1</v>
      </c>
      <c r="D228">
        <v>35.29</v>
      </c>
      <c r="E228" s="3">
        <v>4582</v>
      </c>
      <c r="F228">
        <v>6.9</v>
      </c>
      <c r="G228">
        <v>7.02</v>
      </c>
      <c r="H228">
        <v>56</v>
      </c>
      <c r="I228">
        <v>12.33</v>
      </c>
      <c r="J228">
        <v>7.12</v>
      </c>
      <c r="K228">
        <f t="shared" si="34"/>
        <v>0.14472222222222222</v>
      </c>
      <c r="M228">
        <v>36</v>
      </c>
      <c r="N228">
        <f t="shared" ca="1" si="35"/>
        <v>46.488709751344601</v>
      </c>
      <c r="O228">
        <f t="shared" ca="1" si="36"/>
        <v>19.488602820898802</v>
      </c>
      <c r="P228">
        <v>17.7147540983607</v>
      </c>
      <c r="Q228">
        <v>4.5</v>
      </c>
      <c r="R228">
        <f t="shared" ca="1" si="37"/>
        <v>19.399999999999999</v>
      </c>
      <c r="S228">
        <f t="shared" ca="1" si="38"/>
        <v>8.8602820898802448E-2</v>
      </c>
      <c r="T228">
        <f t="shared" ca="1" si="39"/>
        <v>19.488602820898802</v>
      </c>
      <c r="U228">
        <f t="shared" ca="1" si="40"/>
        <v>46.488709751344601</v>
      </c>
    </row>
    <row r="229" spans="1:21" x14ac:dyDescent="0.45">
      <c r="A229">
        <f t="shared" ca="1" si="32"/>
        <v>21</v>
      </c>
      <c r="B229">
        <v>0.34</v>
      </c>
      <c r="C229">
        <f t="shared" ca="1" si="33"/>
        <v>15.8</v>
      </c>
      <c r="D229">
        <v>34.5</v>
      </c>
      <c r="E229" s="3">
        <v>8741</v>
      </c>
      <c r="F229">
        <v>11.85</v>
      </c>
      <c r="G229">
        <v>12.08</v>
      </c>
      <c r="H229">
        <v>73</v>
      </c>
      <c r="I229">
        <v>12.48</v>
      </c>
      <c r="J229">
        <v>7.25</v>
      </c>
      <c r="K229">
        <f t="shared" si="34"/>
        <v>0.10460000000000001</v>
      </c>
      <c r="M229">
        <v>50</v>
      </c>
      <c r="N229">
        <f t="shared" ca="1" si="35"/>
        <v>46.247646719410312</v>
      </c>
      <c r="O229">
        <f t="shared" ca="1" si="36"/>
        <v>20.498340288569125</v>
      </c>
      <c r="P229">
        <v>12.794594594594599</v>
      </c>
      <c r="Q229">
        <v>4.5</v>
      </c>
      <c r="R229">
        <f t="shared" ca="1" si="37"/>
        <v>19.5</v>
      </c>
      <c r="S229">
        <f t="shared" ca="1" si="38"/>
        <v>0.99834028856912194</v>
      </c>
      <c r="T229">
        <f t="shared" ca="1" si="39"/>
        <v>20.498340288569121</v>
      </c>
      <c r="U229">
        <f t="shared" ca="1" si="40"/>
        <v>46.247646719410312</v>
      </c>
    </row>
    <row r="230" spans="1:21" x14ac:dyDescent="0.45">
      <c r="A230">
        <f t="shared" ca="1" si="32"/>
        <v>20</v>
      </c>
      <c r="B230">
        <v>0.35</v>
      </c>
      <c r="C230">
        <f t="shared" ca="1" si="33"/>
        <v>16.2</v>
      </c>
      <c r="D230">
        <v>34.58</v>
      </c>
      <c r="E230" s="3">
        <v>6685</v>
      </c>
      <c r="F230">
        <v>10.24</v>
      </c>
      <c r="G230">
        <v>8.56</v>
      </c>
      <c r="H230">
        <v>61.2</v>
      </c>
      <c r="I230">
        <v>11.66</v>
      </c>
      <c r="J230">
        <v>7.45</v>
      </c>
      <c r="K230">
        <f t="shared" ca="1" si="34"/>
        <v>0.16649720139139851</v>
      </c>
      <c r="M230">
        <f t="shared" ref="M230:M248" ca="1" si="42">N230-A230-Q230</f>
        <v>25.285710299137165</v>
      </c>
      <c r="N230">
        <f t="shared" ca="1" si="35"/>
        <v>49.785710299137165</v>
      </c>
      <c r="O230">
        <f t="shared" ca="1" si="36"/>
        <v>19.523674447140422</v>
      </c>
      <c r="P230">
        <v>8.6181818181818208</v>
      </c>
      <c r="Q230">
        <v>4.5</v>
      </c>
      <c r="R230">
        <f t="shared" ca="1" si="37"/>
        <v>19.2</v>
      </c>
      <c r="S230">
        <f t="shared" ca="1" si="38"/>
        <v>0.32367444714042326</v>
      </c>
      <c r="T230">
        <f t="shared" ca="1" si="39"/>
        <v>19.523674447140422</v>
      </c>
      <c r="U230">
        <f t="shared" ca="1" si="40"/>
        <v>49.785710299137165</v>
      </c>
    </row>
    <row r="231" spans="1:21" s="2" customFormat="1" x14ac:dyDescent="0.45">
      <c r="A231" s="2">
        <f t="shared" ca="1" si="32"/>
        <v>21</v>
      </c>
      <c r="B231" s="2">
        <v>0.35</v>
      </c>
      <c r="C231" s="2">
        <f t="shared" ca="1" si="33"/>
        <v>14.7</v>
      </c>
      <c r="D231" s="2">
        <v>36.46</v>
      </c>
      <c r="E231" s="4">
        <v>6691</v>
      </c>
      <c r="F231" s="2">
        <v>8.57</v>
      </c>
      <c r="G231" s="2">
        <v>4.71</v>
      </c>
      <c r="H231" s="2">
        <v>53.1</v>
      </c>
      <c r="I231" s="2">
        <v>12.54</v>
      </c>
      <c r="J231" s="2">
        <v>7.4</v>
      </c>
      <c r="K231" s="2">
        <f t="shared" ca="1" si="34"/>
        <v>0.27114548092825047</v>
      </c>
      <c r="M231" s="2">
        <f t="shared" ca="1" si="42"/>
        <v>18.95661318936061</v>
      </c>
      <c r="N231" s="2">
        <f t="shared" ca="1" si="35"/>
        <v>44.45661318936061</v>
      </c>
      <c r="O231" s="2">
        <f t="shared" ca="1" si="36"/>
        <v>19.839567990552212</v>
      </c>
      <c r="P231" s="2">
        <v>9.3386138613861398</v>
      </c>
      <c r="Q231" s="2">
        <v>4.5</v>
      </c>
      <c r="R231" s="2">
        <f t="shared" ca="1" si="37"/>
        <v>19.8</v>
      </c>
      <c r="S231" s="2">
        <f t="shared" ca="1" si="38"/>
        <v>3.9567990552209942E-2</v>
      </c>
      <c r="T231" s="2">
        <f t="shared" ca="1" si="39"/>
        <v>19.839567990552212</v>
      </c>
      <c r="U231" s="2">
        <f t="shared" ca="1" si="40"/>
        <v>44.45661318936061</v>
      </c>
    </row>
    <row r="232" spans="1:21" x14ac:dyDescent="0.45">
      <c r="A232">
        <f t="shared" ca="1" si="32"/>
        <v>19</v>
      </c>
      <c r="B232">
        <v>0.35</v>
      </c>
      <c r="C232">
        <f t="shared" ca="1" si="33"/>
        <v>14.8</v>
      </c>
      <c r="D232">
        <v>20.12</v>
      </c>
      <c r="E232" s="3">
        <v>7420</v>
      </c>
      <c r="F232">
        <v>11.67</v>
      </c>
      <c r="G232">
        <v>11.05</v>
      </c>
      <c r="H232">
        <v>67.3</v>
      </c>
      <c r="I232">
        <v>12.37</v>
      </c>
      <c r="J232">
        <v>7.4</v>
      </c>
      <c r="K232">
        <f t="shared" ca="1" si="34"/>
        <v>0.2265284883356514</v>
      </c>
      <c r="M232">
        <f t="shared" ca="1" si="42"/>
        <v>21.939845343583713</v>
      </c>
      <c r="N232">
        <f t="shared" ca="1" si="35"/>
        <v>45.439845343583713</v>
      </c>
      <c r="O232">
        <f t="shared" ca="1" si="36"/>
        <v>19.542320034004895</v>
      </c>
      <c r="P232">
        <v>10.780219780219801</v>
      </c>
      <c r="Q232">
        <v>4.5</v>
      </c>
      <c r="R232">
        <f t="shared" ca="1" si="37"/>
        <v>19.3</v>
      </c>
      <c r="S232">
        <f t="shared" ca="1" si="38"/>
        <v>0.24232003400489355</v>
      </c>
      <c r="T232">
        <f t="shared" ca="1" si="39"/>
        <v>19.542320034004895</v>
      </c>
      <c r="U232">
        <f t="shared" ca="1" si="40"/>
        <v>45.439845343583713</v>
      </c>
    </row>
    <row r="233" spans="1:21" x14ac:dyDescent="0.45">
      <c r="A233">
        <f t="shared" ca="1" si="32"/>
        <v>20</v>
      </c>
      <c r="B233">
        <v>0.35</v>
      </c>
      <c r="C233">
        <f t="shared" ca="1" si="33"/>
        <v>16.5</v>
      </c>
      <c r="D233">
        <v>36.15</v>
      </c>
      <c r="E233" s="3">
        <v>6352</v>
      </c>
      <c r="F233">
        <v>11.98</v>
      </c>
      <c r="G233">
        <v>11.34</v>
      </c>
      <c r="H233">
        <v>53.3</v>
      </c>
      <c r="I233">
        <v>12.98</v>
      </c>
      <c r="J233">
        <v>7.15</v>
      </c>
      <c r="K233">
        <f t="shared" ca="1" si="34"/>
        <v>0.22634160525866381</v>
      </c>
      <c r="M233">
        <f t="shared" ca="1" si="42"/>
        <v>25.757526961680156</v>
      </c>
      <c r="N233">
        <f t="shared" ca="1" si="35"/>
        <v>50.257526961680156</v>
      </c>
      <c r="O233">
        <f t="shared" ca="1" si="36"/>
        <v>19.698541887165383</v>
      </c>
      <c r="P233">
        <v>11.3</v>
      </c>
      <c r="Q233">
        <v>4.5</v>
      </c>
      <c r="R233">
        <f t="shared" ca="1" si="37"/>
        <v>19.2</v>
      </c>
      <c r="S233">
        <f t="shared" ca="1" si="38"/>
        <v>0.49854188716537962</v>
      </c>
      <c r="T233">
        <f t="shared" ca="1" si="39"/>
        <v>19.69854188716538</v>
      </c>
      <c r="U233">
        <f t="shared" ca="1" si="40"/>
        <v>50.257526961680156</v>
      </c>
    </row>
    <row r="234" spans="1:21" x14ac:dyDescent="0.45">
      <c r="A234">
        <f t="shared" ca="1" si="32"/>
        <v>16</v>
      </c>
      <c r="B234">
        <v>0.35</v>
      </c>
      <c r="C234">
        <f t="shared" ca="1" si="33"/>
        <v>15.6</v>
      </c>
      <c r="D234">
        <v>33.799999999999997</v>
      </c>
      <c r="E234" s="3">
        <v>7208</v>
      </c>
      <c r="F234" t="s">
        <v>24</v>
      </c>
      <c r="G234" t="s">
        <v>25</v>
      </c>
      <c r="H234">
        <v>63.3</v>
      </c>
      <c r="I234">
        <v>12.43</v>
      </c>
      <c r="J234">
        <v>7.32</v>
      </c>
      <c r="K234">
        <f t="shared" ca="1" si="34"/>
        <v>0.19023676635984499</v>
      </c>
      <c r="M234">
        <f t="shared" ca="1" si="42"/>
        <v>26.861263980560459</v>
      </c>
      <c r="N234">
        <f t="shared" ca="1" si="35"/>
        <v>47.361263980560459</v>
      </c>
      <c r="O234">
        <f t="shared" ca="1" si="36"/>
        <v>19.762986063551502</v>
      </c>
      <c r="P234">
        <v>14.301369863013701</v>
      </c>
      <c r="Q234">
        <v>4.5</v>
      </c>
      <c r="R234">
        <f t="shared" ca="1" si="37"/>
        <v>19.399999999999999</v>
      </c>
      <c r="S234">
        <f t="shared" ca="1" si="38"/>
        <v>0.36298606355150298</v>
      </c>
      <c r="T234">
        <f t="shared" ca="1" si="39"/>
        <v>19.762986063551502</v>
      </c>
      <c r="U234">
        <f t="shared" ca="1" si="40"/>
        <v>47.361263980560459</v>
      </c>
    </row>
    <row r="235" spans="1:21" x14ac:dyDescent="0.45">
      <c r="A235">
        <f t="shared" ca="1" si="32"/>
        <v>22</v>
      </c>
      <c r="B235">
        <v>0.35</v>
      </c>
      <c r="C235">
        <f t="shared" ca="1" si="33"/>
        <v>15</v>
      </c>
      <c r="D235">
        <v>619.94000000000005</v>
      </c>
      <c r="E235" s="3">
        <v>37.92</v>
      </c>
      <c r="F235">
        <v>35.33</v>
      </c>
      <c r="G235">
        <v>7284</v>
      </c>
      <c r="H235">
        <v>50.2</v>
      </c>
      <c r="I235">
        <v>11.8</v>
      </c>
      <c r="J235">
        <v>7.53</v>
      </c>
      <c r="K235">
        <f t="shared" ca="1" si="34"/>
        <v>0.21676477682484682</v>
      </c>
      <c r="M235">
        <f t="shared" ca="1" si="42"/>
        <v>19.698772386116509</v>
      </c>
      <c r="N235">
        <f t="shared" ca="1" si="35"/>
        <v>46.198772386116509</v>
      </c>
      <c r="O235">
        <f t="shared" ca="1" si="36"/>
        <v>19.481037125360171</v>
      </c>
      <c r="P235">
        <v>17.5178571428571</v>
      </c>
      <c r="Q235">
        <v>4.5</v>
      </c>
      <c r="R235">
        <f t="shared" ca="1" si="37"/>
        <v>19.399999999999999</v>
      </c>
      <c r="S235">
        <f t="shared" ca="1" si="38"/>
        <v>8.1037125360170936E-2</v>
      </c>
      <c r="T235">
        <f t="shared" ca="1" si="39"/>
        <v>19.481037125360171</v>
      </c>
      <c r="U235">
        <f t="shared" ca="1" si="40"/>
        <v>46.198772386116509</v>
      </c>
    </row>
    <row r="236" spans="1:21" x14ac:dyDescent="0.45">
      <c r="A236">
        <f t="shared" ca="1" si="32"/>
        <v>22</v>
      </c>
      <c r="B236">
        <v>0.35</v>
      </c>
      <c r="C236">
        <f t="shared" ca="1" si="33"/>
        <v>16</v>
      </c>
      <c r="D236">
        <v>33.42</v>
      </c>
      <c r="E236" s="3">
        <v>6616</v>
      </c>
      <c r="F236">
        <v>13.25</v>
      </c>
      <c r="G236">
        <v>9.3699999999999992</v>
      </c>
      <c r="H236">
        <v>65.89</v>
      </c>
      <c r="I236">
        <v>12.91</v>
      </c>
      <c r="J236">
        <v>7.24</v>
      </c>
      <c r="K236">
        <f t="shared" ca="1" si="34"/>
        <v>0.25607919395088569</v>
      </c>
      <c r="M236">
        <f t="shared" ca="1" si="42"/>
        <v>22.141587969413358</v>
      </c>
      <c r="N236">
        <f t="shared" ca="1" si="35"/>
        <v>48.641587969413358</v>
      </c>
      <c r="O236">
        <f t="shared" ca="1" si="36"/>
        <v>19.736197769769852</v>
      </c>
      <c r="P236">
        <v>14.0597014925373</v>
      </c>
      <c r="Q236">
        <v>4.5</v>
      </c>
      <c r="R236">
        <f t="shared" ca="1" si="37"/>
        <v>19.3</v>
      </c>
      <c r="S236">
        <f t="shared" ca="1" si="38"/>
        <v>0.43619776976985081</v>
      </c>
      <c r="T236">
        <f t="shared" ca="1" si="39"/>
        <v>19.736197769769852</v>
      </c>
      <c r="U236">
        <f t="shared" ca="1" si="40"/>
        <v>48.641587969413358</v>
      </c>
    </row>
    <row r="237" spans="1:21" x14ac:dyDescent="0.45">
      <c r="A237">
        <f t="shared" ca="1" si="32"/>
        <v>19</v>
      </c>
      <c r="B237">
        <v>0.35</v>
      </c>
      <c r="C237">
        <f t="shared" ca="1" si="33"/>
        <v>15</v>
      </c>
      <c r="D237">
        <v>31.44</v>
      </c>
      <c r="E237" s="3">
        <v>6385</v>
      </c>
      <c r="F237">
        <v>7.37</v>
      </c>
      <c r="G237">
        <v>6.93</v>
      </c>
      <c r="H237">
        <v>60.83</v>
      </c>
      <c r="I237">
        <v>13.18</v>
      </c>
      <c r="J237">
        <v>7.35</v>
      </c>
      <c r="K237">
        <f t="shared" ca="1" si="34"/>
        <v>0.26835731749553743</v>
      </c>
      <c r="M237">
        <f t="shared" ca="1" si="42"/>
        <v>21.7247662721064</v>
      </c>
      <c r="N237">
        <f t="shared" ca="1" si="35"/>
        <v>45.2247662721064</v>
      </c>
      <c r="O237">
        <f t="shared" ca="1" si="36"/>
        <v>19.900600360981841</v>
      </c>
      <c r="P237">
        <v>12.859459459459501</v>
      </c>
      <c r="Q237">
        <v>4.5</v>
      </c>
      <c r="R237">
        <f t="shared" ca="1" si="37"/>
        <v>19.2</v>
      </c>
      <c r="S237">
        <f t="shared" ca="1" si="38"/>
        <v>0.70060036098184186</v>
      </c>
      <c r="T237">
        <f t="shared" ca="1" si="39"/>
        <v>19.900600360981841</v>
      </c>
      <c r="U237">
        <f t="shared" ca="1" si="40"/>
        <v>45.2247662721064</v>
      </c>
    </row>
    <row r="238" spans="1:21" x14ac:dyDescent="0.45">
      <c r="A238">
        <f t="shared" ca="1" si="32"/>
        <v>19</v>
      </c>
      <c r="B238">
        <v>0.35</v>
      </c>
      <c r="C238">
        <f t="shared" ca="1" si="33"/>
        <v>14.7</v>
      </c>
      <c r="D238">
        <v>30.25</v>
      </c>
      <c r="E238" s="3">
        <v>6523</v>
      </c>
      <c r="F238">
        <v>5.88</v>
      </c>
      <c r="G238">
        <v>0.14000000000000001</v>
      </c>
      <c r="H238">
        <v>54.9</v>
      </c>
      <c r="I238">
        <v>13.2</v>
      </c>
      <c r="J238">
        <v>7.38</v>
      </c>
      <c r="K238">
        <f t="shared" ca="1" si="34"/>
        <v>0.26557454782668422</v>
      </c>
      <c r="M238">
        <f t="shared" ca="1" si="42"/>
        <v>21.914750670302077</v>
      </c>
      <c r="N238">
        <f t="shared" ca="1" si="35"/>
        <v>45.414750670302077</v>
      </c>
      <c r="O238">
        <f t="shared" ca="1" si="36"/>
        <v>19.421002801558114</v>
      </c>
      <c r="P238">
        <v>7.6176000000000004</v>
      </c>
      <c r="Q238">
        <v>4.5</v>
      </c>
      <c r="R238">
        <f t="shared" ca="1" si="37"/>
        <v>19.399999999999999</v>
      </c>
      <c r="S238">
        <f t="shared" ca="1" si="38"/>
        <v>2.100280155811729E-2</v>
      </c>
      <c r="T238">
        <f t="shared" ca="1" si="39"/>
        <v>19.421002801558117</v>
      </c>
      <c r="U238">
        <f t="shared" ca="1" si="40"/>
        <v>45.414750670302077</v>
      </c>
    </row>
    <row r="239" spans="1:21" x14ac:dyDescent="0.45">
      <c r="A239">
        <f t="shared" ca="1" si="32"/>
        <v>22</v>
      </c>
      <c r="B239">
        <v>0.35</v>
      </c>
      <c r="C239">
        <f t="shared" ca="1" si="33"/>
        <v>15.5</v>
      </c>
      <c r="D239">
        <v>42</v>
      </c>
      <c r="E239" s="3">
        <v>6325</v>
      </c>
      <c r="F239">
        <v>7.17</v>
      </c>
      <c r="G239">
        <v>6.9</v>
      </c>
      <c r="H239">
        <v>54.1</v>
      </c>
      <c r="I239">
        <v>12.6</v>
      </c>
      <c r="J239">
        <v>7.35</v>
      </c>
      <c r="K239">
        <f t="shared" ca="1" si="34"/>
        <v>0.23741902031576628</v>
      </c>
      <c r="M239">
        <f t="shared" ca="1" si="42"/>
        <v>22.112802895983322</v>
      </c>
      <c r="N239">
        <f t="shared" ca="1" si="35"/>
        <v>48.612802895983322</v>
      </c>
      <c r="O239">
        <f t="shared" ca="1" si="36"/>
        <v>19.130762774364573</v>
      </c>
      <c r="P239">
        <v>10.58</v>
      </c>
      <c r="Q239">
        <v>4.5</v>
      </c>
      <c r="R239">
        <f t="shared" ca="1" si="37"/>
        <v>19</v>
      </c>
      <c r="S239">
        <f t="shared" ca="1" si="38"/>
        <v>0.13076277436457384</v>
      </c>
      <c r="T239">
        <f t="shared" ca="1" si="39"/>
        <v>19.130762774364573</v>
      </c>
      <c r="U239">
        <f t="shared" ca="1" si="40"/>
        <v>48.612802895983322</v>
      </c>
    </row>
    <row r="240" spans="1:21" s="2" customFormat="1" x14ac:dyDescent="0.45">
      <c r="A240" s="2">
        <f t="shared" ca="1" si="32"/>
        <v>18</v>
      </c>
      <c r="B240" s="2">
        <v>0.35</v>
      </c>
      <c r="C240" s="2">
        <f t="shared" ca="1" si="33"/>
        <v>16</v>
      </c>
      <c r="D240" s="2">
        <v>39.9</v>
      </c>
      <c r="E240" s="4">
        <v>6671</v>
      </c>
      <c r="F240" s="2">
        <v>11.78</v>
      </c>
      <c r="G240" s="2">
        <v>11.14</v>
      </c>
      <c r="H240" s="2">
        <v>53</v>
      </c>
      <c r="I240" s="2">
        <v>12.45</v>
      </c>
      <c r="J240" s="2">
        <v>7.14</v>
      </c>
      <c r="K240" s="2">
        <f t="shared" ca="1" si="34"/>
        <v>0.19609189973073551</v>
      </c>
      <c r="M240" s="2">
        <f t="shared" ca="1" si="42"/>
        <v>27.079139971061785</v>
      </c>
      <c r="N240" s="2">
        <f t="shared" ca="1" si="35"/>
        <v>49.579139971061785</v>
      </c>
      <c r="O240" s="2">
        <f t="shared" ca="1" si="36"/>
        <v>19.362982104173856</v>
      </c>
      <c r="P240" s="2">
        <v>12.3506493506494</v>
      </c>
      <c r="Q240" s="2">
        <v>4.5</v>
      </c>
      <c r="R240" s="2">
        <f t="shared" ca="1" si="37"/>
        <v>19.100000000000001</v>
      </c>
      <c r="S240" s="2">
        <f t="shared" ca="1" si="38"/>
        <v>0.26298210417385404</v>
      </c>
      <c r="T240" s="2">
        <f t="shared" ca="1" si="39"/>
        <v>19.362982104173856</v>
      </c>
      <c r="U240" s="2">
        <f t="shared" ca="1" si="40"/>
        <v>49.579139971061785</v>
      </c>
    </row>
    <row r="241" spans="1:21" x14ac:dyDescent="0.45">
      <c r="A241">
        <f t="shared" ca="1" si="32"/>
        <v>20</v>
      </c>
      <c r="B241">
        <v>0.35</v>
      </c>
      <c r="C241">
        <f t="shared" ca="1" si="33"/>
        <v>14.9</v>
      </c>
      <c r="D241">
        <v>41.96</v>
      </c>
      <c r="E241" s="3">
        <v>6577</v>
      </c>
      <c r="F241">
        <v>9.8800000000000008</v>
      </c>
      <c r="G241">
        <v>11.87</v>
      </c>
      <c r="H241">
        <v>63.25</v>
      </c>
      <c r="I241">
        <v>11.87</v>
      </c>
      <c r="J241">
        <v>7.03</v>
      </c>
      <c r="K241">
        <f t="shared" ca="1" si="34"/>
        <v>0.25960330244425306</v>
      </c>
      <c r="M241">
        <f t="shared" ca="1" si="42"/>
        <v>18.643830623223046</v>
      </c>
      <c r="N241">
        <f t="shared" ca="1" si="35"/>
        <v>43.143830623223046</v>
      </c>
      <c r="O241">
        <f t="shared" ca="1" si="36"/>
        <v>20.721386744893866</v>
      </c>
      <c r="P241">
        <v>14.3727272727273</v>
      </c>
      <c r="Q241">
        <v>4.5</v>
      </c>
      <c r="R241">
        <f t="shared" ca="1" si="37"/>
        <v>19.899999999999999</v>
      </c>
      <c r="S241">
        <f t="shared" ca="1" si="38"/>
        <v>0.82138674489386598</v>
      </c>
      <c r="T241">
        <f t="shared" ca="1" si="39"/>
        <v>20.721386744893863</v>
      </c>
      <c r="U241">
        <f t="shared" ca="1" si="40"/>
        <v>43.143830623223046</v>
      </c>
    </row>
    <row r="242" spans="1:21" x14ac:dyDescent="0.45">
      <c r="A242">
        <f t="shared" ca="1" si="32"/>
        <v>21</v>
      </c>
      <c r="B242">
        <v>0.35</v>
      </c>
      <c r="C242">
        <f t="shared" ca="1" si="33"/>
        <v>15.5</v>
      </c>
      <c r="D242">
        <v>42.86</v>
      </c>
      <c r="E242" s="3">
        <v>6461</v>
      </c>
      <c r="F242">
        <v>13.07</v>
      </c>
      <c r="G242">
        <v>13.37</v>
      </c>
      <c r="H242">
        <v>52.8</v>
      </c>
      <c r="I242">
        <v>12.86</v>
      </c>
      <c r="J242">
        <v>7.17</v>
      </c>
      <c r="K242">
        <f t="shared" ca="1" si="34"/>
        <v>0.27422379427326554</v>
      </c>
      <c r="M242">
        <f t="shared" ca="1" si="42"/>
        <v>20.749475861784198</v>
      </c>
      <c r="N242">
        <f t="shared" ca="1" si="35"/>
        <v>46.249475861784198</v>
      </c>
      <c r="O242">
        <f t="shared" ca="1" si="36"/>
        <v>20.108335990212947</v>
      </c>
      <c r="P242">
        <v>13.895652173913</v>
      </c>
      <c r="Q242">
        <v>4.5</v>
      </c>
      <c r="R242">
        <f t="shared" ca="1" si="37"/>
        <v>19.2</v>
      </c>
      <c r="S242">
        <f t="shared" ca="1" si="38"/>
        <v>0.90833599021294398</v>
      </c>
      <c r="T242">
        <f t="shared" ca="1" si="39"/>
        <v>20.108335990212943</v>
      </c>
      <c r="U242">
        <f t="shared" ca="1" si="40"/>
        <v>46.249475861784198</v>
      </c>
    </row>
    <row r="243" spans="1:21" x14ac:dyDescent="0.45">
      <c r="A243">
        <f t="shared" ca="1" si="32"/>
        <v>20</v>
      </c>
      <c r="B243">
        <v>0.35</v>
      </c>
      <c r="C243">
        <f t="shared" ca="1" si="33"/>
        <v>15.1</v>
      </c>
      <c r="D243">
        <v>30.49</v>
      </c>
      <c r="E243" s="3">
        <v>6523</v>
      </c>
      <c r="F243">
        <v>15.44</v>
      </c>
      <c r="G243">
        <v>12.48</v>
      </c>
      <c r="H243">
        <v>61.25</v>
      </c>
      <c r="I243">
        <v>12.17</v>
      </c>
      <c r="J243">
        <v>7</v>
      </c>
      <c r="K243">
        <f t="shared" ca="1" si="34"/>
        <v>0.23222006845308837</v>
      </c>
      <c r="M243">
        <f t="shared" ca="1" si="42"/>
        <v>22.263364378623507</v>
      </c>
      <c r="N243">
        <f t="shared" ca="1" si="35"/>
        <v>46.763364378623507</v>
      </c>
      <c r="O243">
        <f t="shared" ca="1" si="36"/>
        <v>19.374140676973003</v>
      </c>
      <c r="P243">
        <v>8.73818181818182</v>
      </c>
      <c r="Q243">
        <v>4.5</v>
      </c>
      <c r="R243">
        <f t="shared" ca="1" si="37"/>
        <v>19</v>
      </c>
      <c r="S243">
        <f t="shared" ca="1" si="38"/>
        <v>0.37414067697300424</v>
      </c>
      <c r="T243">
        <f t="shared" ca="1" si="39"/>
        <v>19.374140676973003</v>
      </c>
      <c r="U243">
        <f t="shared" ca="1" si="40"/>
        <v>46.763364378623507</v>
      </c>
    </row>
    <row r="244" spans="1:21" s="2" customFormat="1" x14ac:dyDescent="0.45">
      <c r="A244" s="2">
        <f t="shared" ca="1" si="32"/>
        <v>22</v>
      </c>
      <c r="B244" s="2">
        <v>0.35</v>
      </c>
      <c r="C244" s="2">
        <f t="shared" ca="1" si="33"/>
        <v>15.5</v>
      </c>
      <c r="D244" s="2">
        <v>37.86</v>
      </c>
      <c r="E244" s="4">
        <v>7098</v>
      </c>
      <c r="F244" s="2">
        <v>12.12</v>
      </c>
      <c r="G244" s="2">
        <v>11.38</v>
      </c>
      <c r="H244" s="2">
        <v>52.3</v>
      </c>
      <c r="I244" s="2">
        <v>11.93</v>
      </c>
      <c r="J244" s="2">
        <v>7.26</v>
      </c>
      <c r="K244" s="2">
        <f t="shared" ca="1" si="34"/>
        <v>0.22671828165967309</v>
      </c>
      <c r="M244" s="2">
        <f t="shared" ca="1" si="42"/>
        <v>20.598250682801748</v>
      </c>
      <c r="N244" s="2">
        <f t="shared" ca="1" si="35"/>
        <v>47.098250682801748</v>
      </c>
      <c r="O244" s="2">
        <f t="shared" ca="1" si="36"/>
        <v>19.74595630447897</v>
      </c>
      <c r="P244" s="2">
        <v>14.005970149253701</v>
      </c>
      <c r="Q244" s="2">
        <v>4.5</v>
      </c>
      <c r="R244" s="2">
        <f t="shared" ca="1" si="37"/>
        <v>19</v>
      </c>
      <c r="S244" s="2">
        <f t="shared" ca="1" si="38"/>
        <v>0.74595630447896777</v>
      </c>
      <c r="T244" s="2">
        <f t="shared" ca="1" si="39"/>
        <v>19.745956304478966</v>
      </c>
      <c r="U244" s="2">
        <f t="shared" ca="1" si="40"/>
        <v>47.098250682801748</v>
      </c>
    </row>
    <row r="245" spans="1:21" x14ac:dyDescent="0.45">
      <c r="A245">
        <f t="shared" ca="1" si="32"/>
        <v>20</v>
      </c>
      <c r="B245">
        <v>0.35</v>
      </c>
      <c r="C245">
        <f t="shared" ca="1" si="33"/>
        <v>15.1</v>
      </c>
      <c r="D245">
        <v>31.54</v>
      </c>
      <c r="E245" s="3">
        <v>4152</v>
      </c>
      <c r="F245">
        <v>2.4700000000000002</v>
      </c>
      <c r="G245">
        <v>4.2</v>
      </c>
      <c r="H245">
        <v>50.3</v>
      </c>
      <c r="I245">
        <v>12.23</v>
      </c>
      <c r="J245">
        <v>7.4</v>
      </c>
      <c r="K245">
        <f t="shared" ca="1" si="34"/>
        <v>0.21999008591654204</v>
      </c>
      <c r="M245">
        <f t="shared" ca="1" si="42"/>
        <v>21.955534859113442</v>
      </c>
      <c r="N245">
        <f t="shared" ca="1" si="35"/>
        <v>46.455534859113442</v>
      </c>
      <c r="O245">
        <f t="shared" ca="1" si="36"/>
        <v>19.502520049497715</v>
      </c>
      <c r="P245">
        <v>12.8112676056338</v>
      </c>
      <c r="Q245">
        <v>4.5</v>
      </c>
      <c r="R245">
        <f t="shared" ca="1" si="37"/>
        <v>19.2</v>
      </c>
      <c r="S245">
        <f t="shared" ca="1" si="38"/>
        <v>0.30252004949771782</v>
      </c>
      <c r="T245">
        <f t="shared" ca="1" si="39"/>
        <v>19.502520049497718</v>
      </c>
      <c r="U245">
        <f t="shared" ca="1" si="40"/>
        <v>46.455534859113442</v>
      </c>
    </row>
    <row r="246" spans="1:21" x14ac:dyDescent="0.45">
      <c r="A246">
        <f t="shared" ca="1" si="32"/>
        <v>19</v>
      </c>
      <c r="B246">
        <v>0.35</v>
      </c>
      <c r="C246">
        <f t="shared" ca="1" si="33"/>
        <v>15</v>
      </c>
      <c r="D246">
        <v>33.57</v>
      </c>
      <c r="E246" s="3">
        <v>4462</v>
      </c>
      <c r="F246">
        <v>3.48</v>
      </c>
      <c r="G246">
        <v>8.43</v>
      </c>
      <c r="H246">
        <v>52</v>
      </c>
      <c r="I246">
        <v>11.95</v>
      </c>
      <c r="J246">
        <v>7.24</v>
      </c>
      <c r="K246">
        <f t="shared" ca="1" si="34"/>
        <v>0.20367934897294265</v>
      </c>
      <c r="M246">
        <f t="shared" ca="1" si="42"/>
        <v>23.124582947413529</v>
      </c>
      <c r="N246">
        <f t="shared" ca="1" si="35"/>
        <v>46.624582947413529</v>
      </c>
      <c r="O246">
        <f t="shared" ca="1" si="36"/>
        <v>19.303121724758011</v>
      </c>
      <c r="P246">
        <v>10.0659574468085</v>
      </c>
      <c r="Q246">
        <v>4.5</v>
      </c>
      <c r="R246">
        <f t="shared" ca="1" si="37"/>
        <v>19.2</v>
      </c>
      <c r="S246">
        <f t="shared" ca="1" si="38"/>
        <v>0.10312172475801029</v>
      </c>
      <c r="T246">
        <f t="shared" ca="1" si="39"/>
        <v>19.303121724758011</v>
      </c>
      <c r="U246">
        <f t="shared" ca="1" si="40"/>
        <v>46.624582947413529</v>
      </c>
    </row>
    <row r="247" spans="1:21" x14ac:dyDescent="0.45">
      <c r="A247">
        <f t="shared" ca="1" si="32"/>
        <v>17</v>
      </c>
      <c r="B247">
        <v>0.35</v>
      </c>
      <c r="C247">
        <f t="shared" ca="1" si="33"/>
        <v>16.2</v>
      </c>
      <c r="D247">
        <v>35.44</v>
      </c>
      <c r="E247" s="3">
        <v>4751</v>
      </c>
      <c r="F247">
        <v>2.92</v>
      </c>
      <c r="G247">
        <v>6.74</v>
      </c>
      <c r="H247">
        <v>50.6</v>
      </c>
      <c r="I247">
        <v>11.72</v>
      </c>
      <c r="J247">
        <v>7.33</v>
      </c>
      <c r="K247">
        <f t="shared" ca="1" si="34"/>
        <v>0.157386322830148</v>
      </c>
      <c r="M247">
        <f t="shared" ca="1" si="42"/>
        <v>27.893148026196073</v>
      </c>
      <c r="N247">
        <f t="shared" ca="1" si="35"/>
        <v>49.393148026196073</v>
      </c>
      <c r="O247">
        <f t="shared" ca="1" si="36"/>
        <v>19.678842893036329</v>
      </c>
      <c r="P247">
        <v>11.1290322580645</v>
      </c>
      <c r="Q247">
        <v>4.5</v>
      </c>
      <c r="R247">
        <f t="shared" ca="1" si="37"/>
        <v>19.600000000000001</v>
      </c>
      <c r="S247">
        <f t="shared" ca="1" si="38"/>
        <v>7.8842893036328632E-2</v>
      </c>
      <c r="T247">
        <f t="shared" ca="1" si="39"/>
        <v>19.678842893036329</v>
      </c>
      <c r="U247">
        <f t="shared" ca="1" si="40"/>
        <v>49.393148026196073</v>
      </c>
    </row>
    <row r="248" spans="1:21" x14ac:dyDescent="0.45">
      <c r="A248">
        <f t="shared" ca="1" si="32"/>
        <v>17</v>
      </c>
      <c r="B248">
        <v>0.35</v>
      </c>
      <c r="C248">
        <f t="shared" ca="1" si="33"/>
        <v>15.3</v>
      </c>
      <c r="D248">
        <v>33.159999999999997</v>
      </c>
      <c r="E248" s="3">
        <v>4581</v>
      </c>
      <c r="F248">
        <v>7.24</v>
      </c>
      <c r="G248">
        <v>6.92</v>
      </c>
      <c r="H248">
        <v>54.8</v>
      </c>
      <c r="I248">
        <v>11.47</v>
      </c>
      <c r="J248">
        <v>7.4</v>
      </c>
      <c r="K248">
        <f t="shared" ca="1" si="34"/>
        <v>0.16727894442856045</v>
      </c>
      <c r="M248">
        <f t="shared" ca="1" si="42"/>
        <v>24.330617424108439</v>
      </c>
      <c r="N248">
        <f t="shared" ca="1" si="35"/>
        <v>45.830617424108439</v>
      </c>
      <c r="O248">
        <f t="shared" ca="1" si="36"/>
        <v>20.030277827265344</v>
      </c>
      <c r="P248">
        <v>15.84</v>
      </c>
      <c r="Q248">
        <v>4.5</v>
      </c>
      <c r="R248">
        <f t="shared" ca="1" si="37"/>
        <v>19.600000000000001</v>
      </c>
      <c r="S248">
        <f t="shared" ca="1" si="38"/>
        <v>0.43027782726534136</v>
      </c>
      <c r="T248">
        <f t="shared" ca="1" si="39"/>
        <v>20.030277827265344</v>
      </c>
      <c r="U248">
        <f t="shared" ca="1" si="40"/>
        <v>45.830617424108439</v>
      </c>
    </row>
    <row r="249" spans="1:21" x14ac:dyDescent="0.45">
      <c r="A249">
        <f t="shared" ca="1" si="32"/>
        <v>20</v>
      </c>
      <c r="B249">
        <v>0.35</v>
      </c>
      <c r="C249">
        <f t="shared" ca="1" si="33"/>
        <v>16.5</v>
      </c>
      <c r="D249">
        <v>36.44</v>
      </c>
      <c r="E249" s="3">
        <v>4857</v>
      </c>
      <c r="F249">
        <v>0.36</v>
      </c>
      <c r="G249">
        <v>7.08</v>
      </c>
      <c r="H249">
        <v>54</v>
      </c>
      <c r="I249">
        <v>12.32</v>
      </c>
      <c r="J249">
        <v>7.41</v>
      </c>
      <c r="K249">
        <f t="shared" si="34"/>
        <v>0.12275</v>
      </c>
      <c r="M249">
        <v>40</v>
      </c>
      <c r="N249">
        <f t="shared" ca="1" si="35"/>
        <v>51.714872498382441</v>
      </c>
      <c r="O249">
        <f t="shared" ca="1" si="36"/>
        <v>19.143429194976079</v>
      </c>
      <c r="P249">
        <v>16.0746268656716</v>
      </c>
      <c r="Q249">
        <v>4.5</v>
      </c>
      <c r="R249">
        <f t="shared" ca="1" si="37"/>
        <v>19.100000000000001</v>
      </c>
      <c r="S249">
        <f t="shared" ca="1" si="38"/>
        <v>4.342919497607689E-2</v>
      </c>
      <c r="T249">
        <f t="shared" ca="1" si="39"/>
        <v>19.143429194976079</v>
      </c>
      <c r="U249">
        <f t="shared" ca="1" si="40"/>
        <v>51.714872498382441</v>
      </c>
    </row>
    <row r="250" spans="1:21" x14ac:dyDescent="0.45">
      <c r="A250">
        <f t="shared" ca="1" si="32"/>
        <v>18</v>
      </c>
      <c r="B250">
        <v>0.36</v>
      </c>
      <c r="C250">
        <f t="shared" ca="1" si="33"/>
        <v>16.5</v>
      </c>
      <c r="D250">
        <v>40.130000000000003</v>
      </c>
      <c r="E250" s="3">
        <v>6522</v>
      </c>
      <c r="F250">
        <v>6.37</v>
      </c>
      <c r="G250">
        <v>0.14000000000000001</v>
      </c>
      <c r="H250">
        <v>61.3</v>
      </c>
      <c r="I250">
        <v>12.9</v>
      </c>
      <c r="J250">
        <v>7.28</v>
      </c>
      <c r="K250">
        <f t="shared" ca="1" si="34"/>
        <v>0.21247303159032319</v>
      </c>
      <c r="M250">
        <f t="shared" ref="M250:M260" ca="1" si="43">N250-A250-Q250</f>
        <v>26.450415650095877</v>
      </c>
      <c r="N250">
        <f t="shared" ca="1" si="35"/>
        <v>48.950415650095877</v>
      </c>
      <c r="O250">
        <f t="shared" ca="1" si="36"/>
        <v>20.22454736802753</v>
      </c>
      <c r="P250">
        <v>7.8545454545454598</v>
      </c>
      <c r="Q250">
        <v>4.5</v>
      </c>
      <c r="R250">
        <f t="shared" ca="1" si="37"/>
        <v>19.899999999999999</v>
      </c>
      <c r="S250">
        <f t="shared" ca="1" si="38"/>
        <v>0.32454736802752648</v>
      </c>
      <c r="T250">
        <f t="shared" ca="1" si="39"/>
        <v>20.224547368027526</v>
      </c>
      <c r="U250">
        <f t="shared" ca="1" si="40"/>
        <v>48.950415650095877</v>
      </c>
    </row>
    <row r="251" spans="1:21" s="2" customFormat="1" x14ac:dyDescent="0.45">
      <c r="A251" s="2">
        <f t="shared" ca="1" si="32"/>
        <v>18</v>
      </c>
      <c r="B251" s="2">
        <v>0.36</v>
      </c>
      <c r="C251" s="2">
        <f t="shared" ca="1" si="33"/>
        <v>14.5</v>
      </c>
      <c r="D251" s="2">
        <v>36.369999999999997</v>
      </c>
      <c r="E251" s="4">
        <v>6444</v>
      </c>
      <c r="F251" s="2">
        <v>11.11</v>
      </c>
      <c r="G251" s="2">
        <v>11.16</v>
      </c>
      <c r="H251" s="2">
        <v>59</v>
      </c>
      <c r="I251" s="2">
        <v>12.12</v>
      </c>
      <c r="J251" s="2">
        <v>7.34</v>
      </c>
      <c r="K251" s="2">
        <f t="shared" ca="1" si="34"/>
        <v>0.23093861107089983</v>
      </c>
      <c r="M251" s="2">
        <f t="shared" ca="1" si="43"/>
        <v>20.698141284536021</v>
      </c>
      <c r="N251" s="2">
        <f t="shared" ca="1" si="35"/>
        <v>43.198141284536021</v>
      </c>
      <c r="O251" s="2">
        <f t="shared" ca="1" si="36"/>
        <v>20.139755418399005</v>
      </c>
      <c r="P251" s="2">
        <v>10.862068965517199</v>
      </c>
      <c r="Q251" s="2">
        <v>4.5</v>
      </c>
      <c r="R251" s="2">
        <f t="shared" ca="1" si="37"/>
        <v>19.399999999999999</v>
      </c>
      <c r="S251" s="2">
        <f t="shared" ca="1" si="38"/>
        <v>0.73975541839900349</v>
      </c>
      <c r="T251" s="2">
        <f t="shared" ca="1" si="39"/>
        <v>20.139755418399002</v>
      </c>
      <c r="U251" s="2">
        <f t="shared" ca="1" si="40"/>
        <v>43.198141284536021</v>
      </c>
    </row>
    <row r="252" spans="1:21" x14ac:dyDescent="0.45">
      <c r="A252">
        <f t="shared" ca="1" si="32"/>
        <v>19</v>
      </c>
      <c r="B252">
        <v>0.36</v>
      </c>
      <c r="C252">
        <f t="shared" ca="1" si="33"/>
        <v>16.5</v>
      </c>
      <c r="D252">
        <v>38.049999999999997</v>
      </c>
      <c r="E252" s="3">
        <v>6547</v>
      </c>
      <c r="F252">
        <v>8.3800000000000008</v>
      </c>
      <c r="G252">
        <v>5.51</v>
      </c>
      <c r="H252">
        <v>54.6</v>
      </c>
      <c r="I252">
        <v>12.22</v>
      </c>
      <c r="J252">
        <v>7.38</v>
      </c>
      <c r="K252">
        <f t="shared" ca="1" si="34"/>
        <v>0.20102055485837497</v>
      </c>
      <c r="M252">
        <f t="shared" ca="1" si="43"/>
        <v>24.077139790057423</v>
      </c>
      <c r="N252">
        <f t="shared" ca="1" si="35"/>
        <v>47.577139790057423</v>
      </c>
      <c r="O252">
        <f t="shared" ca="1" si="36"/>
        <v>20.808312655375055</v>
      </c>
      <c r="P252">
        <v>12.342857142857101</v>
      </c>
      <c r="Q252">
        <v>4.5</v>
      </c>
      <c r="R252">
        <f t="shared" ca="1" si="37"/>
        <v>19.899999999999999</v>
      </c>
      <c r="S252">
        <f t="shared" ca="1" si="38"/>
        <v>0.90831265537505457</v>
      </c>
      <c r="T252">
        <f t="shared" ca="1" si="39"/>
        <v>20.808312655375055</v>
      </c>
      <c r="U252">
        <f t="shared" ca="1" si="40"/>
        <v>47.577139790057423</v>
      </c>
    </row>
    <row r="253" spans="1:21" x14ac:dyDescent="0.45">
      <c r="A253">
        <f t="shared" ca="1" si="32"/>
        <v>19</v>
      </c>
      <c r="B253">
        <v>0.36</v>
      </c>
      <c r="C253">
        <f t="shared" ca="1" si="33"/>
        <v>16.2</v>
      </c>
      <c r="D253">
        <v>40.4</v>
      </c>
      <c r="E253" s="3">
        <v>6348</v>
      </c>
      <c r="H253">
        <v>51.6</v>
      </c>
      <c r="I253">
        <v>12.63</v>
      </c>
      <c r="J253">
        <v>7.2</v>
      </c>
      <c r="K253">
        <f t="shared" ca="1" si="34"/>
        <v>0.19975304067003358</v>
      </c>
      <c r="M253">
        <f t="shared" ca="1" si="43"/>
        <v>27.183566176445169</v>
      </c>
      <c r="N253">
        <f t="shared" ca="1" si="35"/>
        <v>50.683566176445169</v>
      </c>
      <c r="O253">
        <f t="shared" ca="1" si="36"/>
        <v>19.177813901574474</v>
      </c>
      <c r="P253">
        <v>13.0875</v>
      </c>
      <c r="Q253">
        <v>4.5</v>
      </c>
      <c r="R253">
        <f t="shared" ca="1" si="37"/>
        <v>19.100000000000001</v>
      </c>
      <c r="S253">
        <f t="shared" ca="1" si="38"/>
        <v>7.7813901574471989E-2</v>
      </c>
      <c r="T253">
        <f t="shared" ca="1" si="39"/>
        <v>19.177813901574474</v>
      </c>
      <c r="U253">
        <f t="shared" ca="1" si="40"/>
        <v>50.683566176445169</v>
      </c>
    </row>
    <row r="254" spans="1:21" x14ac:dyDescent="0.45">
      <c r="A254">
        <f t="shared" ca="1" si="32"/>
        <v>20</v>
      </c>
      <c r="B254">
        <v>0.36</v>
      </c>
      <c r="C254">
        <f t="shared" ca="1" si="33"/>
        <v>15.7</v>
      </c>
      <c r="D254">
        <v>13.45</v>
      </c>
      <c r="E254" s="3">
        <v>6821</v>
      </c>
      <c r="F254">
        <v>12.53</v>
      </c>
      <c r="G254">
        <v>7.26</v>
      </c>
      <c r="H254">
        <v>61.3</v>
      </c>
      <c r="I254">
        <v>12.53</v>
      </c>
      <c r="J254">
        <v>7.26</v>
      </c>
      <c r="K254">
        <f t="shared" ca="1" si="34"/>
        <v>0.23311778504016401</v>
      </c>
      <c r="M254">
        <f t="shared" ca="1" si="43"/>
        <v>22.606597772418041</v>
      </c>
      <c r="N254">
        <f t="shared" ca="1" si="35"/>
        <v>47.106597772418041</v>
      </c>
      <c r="O254">
        <f t="shared" ca="1" si="36"/>
        <v>19.997198790517661</v>
      </c>
      <c r="P254">
        <v>13.9868852459016</v>
      </c>
      <c r="Q254">
        <v>4.5</v>
      </c>
      <c r="R254">
        <f t="shared" ca="1" si="37"/>
        <v>19.2</v>
      </c>
      <c r="S254">
        <f t="shared" ca="1" si="38"/>
        <v>0.79719879051766185</v>
      </c>
      <c r="T254">
        <f t="shared" ca="1" si="39"/>
        <v>19.997198790517661</v>
      </c>
      <c r="U254">
        <f t="shared" ca="1" si="40"/>
        <v>47.106597772418041</v>
      </c>
    </row>
    <row r="255" spans="1:21" x14ac:dyDescent="0.45">
      <c r="A255">
        <f t="shared" ca="1" si="32"/>
        <v>17</v>
      </c>
      <c r="B255">
        <v>0.36</v>
      </c>
      <c r="C255">
        <f t="shared" ca="1" si="33"/>
        <v>16.3</v>
      </c>
      <c r="D255">
        <v>26.36</v>
      </c>
      <c r="E255" s="3">
        <v>6523</v>
      </c>
      <c r="F255">
        <v>13.62</v>
      </c>
      <c r="G255">
        <v>12.21</v>
      </c>
      <c r="H255">
        <v>60.1</v>
      </c>
      <c r="I255">
        <v>10.53</v>
      </c>
      <c r="J255">
        <v>7.46</v>
      </c>
      <c r="K255">
        <f t="shared" ca="1" si="34"/>
        <v>0.10947741262119638</v>
      </c>
      <c r="M255">
        <f t="shared" ca="1" si="43"/>
        <v>28.042314176920947</v>
      </c>
      <c r="N255">
        <f t="shared" ca="1" si="35"/>
        <v>49.542314176920947</v>
      </c>
      <c r="O255">
        <f t="shared" ca="1" si="36"/>
        <v>19.740700777671719</v>
      </c>
      <c r="P255">
        <v>17.588571428571399</v>
      </c>
      <c r="Q255">
        <v>4.5</v>
      </c>
      <c r="R255">
        <f t="shared" ca="1" si="37"/>
        <v>19.7</v>
      </c>
      <c r="S255">
        <f t="shared" ca="1" si="38"/>
        <v>4.070077767172009E-2</v>
      </c>
      <c r="T255">
        <f t="shared" ca="1" si="39"/>
        <v>19.740700777671719</v>
      </c>
      <c r="U255">
        <f t="shared" ca="1" si="40"/>
        <v>49.542314176920947</v>
      </c>
    </row>
    <row r="256" spans="1:21" x14ac:dyDescent="0.45">
      <c r="A256">
        <f t="shared" ca="1" si="32"/>
        <v>21</v>
      </c>
      <c r="B256">
        <v>0.36</v>
      </c>
      <c r="C256">
        <f t="shared" ca="1" si="33"/>
        <v>14.8</v>
      </c>
      <c r="D256">
        <v>33.93</v>
      </c>
      <c r="E256" s="3">
        <v>6123</v>
      </c>
      <c r="F256">
        <v>6.15</v>
      </c>
      <c r="G256">
        <v>8.39</v>
      </c>
      <c r="H256">
        <v>53.8</v>
      </c>
      <c r="I256">
        <v>12.17</v>
      </c>
      <c r="J256">
        <v>7.33</v>
      </c>
      <c r="K256">
        <f t="shared" ca="1" si="34"/>
        <v>0.23189964483190401</v>
      </c>
      <c r="M256">
        <f t="shared" ca="1" si="43"/>
        <v>20.871097079550715</v>
      </c>
      <c r="N256">
        <f t="shared" ca="1" si="35"/>
        <v>46.371097079550715</v>
      </c>
      <c r="O256">
        <f t="shared" ca="1" si="36"/>
        <v>19.149859630808713</v>
      </c>
      <c r="P256">
        <v>15.1809523809524</v>
      </c>
      <c r="Q256">
        <v>4.5</v>
      </c>
      <c r="R256">
        <f t="shared" ca="1" si="37"/>
        <v>19</v>
      </c>
      <c r="S256">
        <f t="shared" ca="1" si="38"/>
        <v>0.14985963080871478</v>
      </c>
      <c r="T256">
        <f t="shared" ca="1" si="39"/>
        <v>19.149859630808713</v>
      </c>
      <c r="U256">
        <f t="shared" ca="1" si="40"/>
        <v>46.371097079550715</v>
      </c>
    </row>
    <row r="257" spans="1:21" s="2" customFormat="1" x14ac:dyDescent="0.45">
      <c r="A257" s="2">
        <f t="shared" ca="1" si="32"/>
        <v>22</v>
      </c>
      <c r="B257" s="2">
        <v>0.36</v>
      </c>
      <c r="C257" s="2">
        <f t="shared" ca="1" si="33"/>
        <v>15.5</v>
      </c>
      <c r="D257" s="2">
        <v>40.35</v>
      </c>
      <c r="E257" s="4">
        <v>6519</v>
      </c>
      <c r="F257" s="2">
        <v>10.99</v>
      </c>
      <c r="G257" s="2">
        <v>10.78</v>
      </c>
      <c r="H257" s="2">
        <v>61</v>
      </c>
      <c r="I257" s="2">
        <v>12.64</v>
      </c>
      <c r="J257" s="2">
        <v>7.11</v>
      </c>
      <c r="K257" s="2">
        <f t="shared" ca="1" si="34"/>
        <v>0.28383513427623674</v>
      </c>
      <c r="M257" s="2">
        <f t="shared" ca="1" si="43"/>
        <v>19.483141204844785</v>
      </c>
      <c r="N257" s="2">
        <f t="shared" ca="1" si="35"/>
        <v>45.983141204844785</v>
      </c>
      <c r="O257" s="2">
        <f t="shared" ca="1" si="36"/>
        <v>20.224803604804954</v>
      </c>
      <c r="P257" s="2">
        <v>16.551724137931</v>
      </c>
      <c r="Q257" s="2">
        <v>4.5</v>
      </c>
      <c r="R257" s="2">
        <f t="shared" ca="1" si="37"/>
        <v>19.600000000000001</v>
      </c>
      <c r="S257" s="2">
        <f t="shared" ca="1" si="38"/>
        <v>0.62480360480495201</v>
      </c>
      <c r="T257" s="2">
        <f t="shared" ca="1" si="39"/>
        <v>20.224803604804954</v>
      </c>
      <c r="U257" s="2">
        <f t="shared" ca="1" si="40"/>
        <v>45.983141204844785</v>
      </c>
    </row>
    <row r="258" spans="1:21" x14ac:dyDescent="0.45">
      <c r="A258">
        <f t="shared" ca="1" si="32"/>
        <v>20</v>
      </c>
      <c r="B258">
        <v>0.36</v>
      </c>
      <c r="C258">
        <f t="shared" ca="1" si="33"/>
        <v>14.6</v>
      </c>
      <c r="D258">
        <v>40.65</v>
      </c>
      <c r="E258" s="3">
        <v>6478</v>
      </c>
      <c r="F258">
        <v>12.58</v>
      </c>
      <c r="G258">
        <v>12.71</v>
      </c>
      <c r="H258">
        <v>62.3</v>
      </c>
      <c r="I258">
        <v>12.32</v>
      </c>
      <c r="J258">
        <v>7.37</v>
      </c>
      <c r="K258">
        <f t="shared" ca="1" si="34"/>
        <v>0.24986686998988034</v>
      </c>
      <c r="M258">
        <f t="shared" ca="1" si="43"/>
        <v>19.810549514629436</v>
      </c>
      <c r="N258">
        <f t="shared" ca="1" si="35"/>
        <v>44.310549514629436</v>
      </c>
      <c r="O258">
        <f t="shared" ca="1" si="36"/>
        <v>19.769558482022038</v>
      </c>
      <c r="P258">
        <v>16.342372881355899</v>
      </c>
      <c r="Q258">
        <v>4.5</v>
      </c>
      <c r="R258">
        <f t="shared" ca="1" si="37"/>
        <v>19.5</v>
      </c>
      <c r="S258">
        <f t="shared" ca="1" si="38"/>
        <v>0.26955848202204125</v>
      </c>
      <c r="T258">
        <f t="shared" ca="1" si="39"/>
        <v>19.769558482022042</v>
      </c>
      <c r="U258">
        <f t="shared" ca="1" si="40"/>
        <v>44.310549514629436</v>
      </c>
    </row>
    <row r="259" spans="1:21" x14ac:dyDescent="0.45">
      <c r="A259">
        <f t="shared" ca="1" si="32"/>
        <v>22</v>
      </c>
      <c r="B259">
        <v>0.36</v>
      </c>
      <c r="C259">
        <f t="shared" ca="1" si="33"/>
        <v>15</v>
      </c>
      <c r="D259">
        <v>30.34</v>
      </c>
      <c r="E259" s="3">
        <v>4337</v>
      </c>
      <c r="F259">
        <v>9.6999999999999993</v>
      </c>
      <c r="G259">
        <v>8.5399999999999991</v>
      </c>
      <c r="H259">
        <v>70.900000000000006</v>
      </c>
      <c r="I259">
        <v>12.67</v>
      </c>
      <c r="J259">
        <v>7.2</v>
      </c>
      <c r="K259">
        <f t="shared" ca="1" si="34"/>
        <v>0.30199846818322063</v>
      </c>
      <c r="M259">
        <f t="shared" ca="1" si="43"/>
        <v>18.112674653307792</v>
      </c>
      <c r="N259">
        <f t="shared" ca="1" si="35"/>
        <v>44.612674653307792</v>
      </c>
      <c r="O259">
        <f t="shared" ca="1" si="36"/>
        <v>20.173639150623526</v>
      </c>
      <c r="P259">
        <v>10.9084337349398</v>
      </c>
      <c r="Q259">
        <v>4.5</v>
      </c>
      <c r="R259">
        <f t="shared" ca="1" si="37"/>
        <v>19.7</v>
      </c>
      <c r="S259">
        <f t="shared" ca="1" si="38"/>
        <v>0.47363915062352957</v>
      </c>
      <c r="T259">
        <f t="shared" ca="1" si="39"/>
        <v>20.173639150623529</v>
      </c>
      <c r="U259">
        <f t="shared" ca="1" si="40"/>
        <v>44.612674653307792</v>
      </c>
    </row>
    <row r="260" spans="1:21" x14ac:dyDescent="0.45">
      <c r="A260">
        <f t="shared" ref="A260:A315" ca="1" si="44">RANDBETWEEN(16,22)</f>
        <v>18</v>
      </c>
      <c r="B260">
        <v>0.36</v>
      </c>
      <c r="C260">
        <f t="shared" ref="C260:C315" ca="1" si="45">RANDBETWEEN(145,165)/10</f>
        <v>14.7</v>
      </c>
      <c r="D260">
        <v>30.34</v>
      </c>
      <c r="E260" s="3">
        <v>4337</v>
      </c>
      <c r="F260">
        <v>9.6999999999999993</v>
      </c>
      <c r="G260">
        <v>8.5399999999999991</v>
      </c>
      <c r="H260">
        <v>70.900000000000006</v>
      </c>
      <c r="I260">
        <v>12.67</v>
      </c>
      <c r="J260">
        <v>7.2</v>
      </c>
      <c r="K260">
        <f t="shared" ref="K260:K323" ca="1" si="46">(I260-J260)/M260</f>
        <v>0.23820608072436697</v>
      </c>
      <c r="M260">
        <f t="shared" ca="1" si="43"/>
        <v>22.963309682801281</v>
      </c>
      <c r="N260">
        <f t="shared" ref="N260:N315" ca="1" si="47">U260</f>
        <v>45.463309682801281</v>
      </c>
      <c r="O260">
        <f t="shared" ref="O260:O323" ca="1" si="48">C260/N260*60</f>
        <v>19.400259377369078</v>
      </c>
      <c r="P260">
        <v>10.9084337349398</v>
      </c>
      <c r="Q260">
        <v>4.5</v>
      </c>
      <c r="R260">
        <f t="shared" ref="R260:R315" ca="1" si="49">RANDBETWEEN(190,200)/10</f>
        <v>19.2</v>
      </c>
      <c r="S260">
        <f t="shared" ref="S260:S315" ca="1" si="50">RAND()</f>
        <v>0.20025937736907851</v>
      </c>
      <c r="T260">
        <f t="shared" ref="T260:T323" ca="1" si="51">R260+S260</f>
        <v>19.400259377369078</v>
      </c>
      <c r="U260">
        <f t="shared" ref="U260:U323" ca="1" si="52">C260*60/T260</f>
        <v>45.463309682801281</v>
      </c>
    </row>
    <row r="261" spans="1:21" x14ac:dyDescent="0.45">
      <c r="A261">
        <f t="shared" ca="1" si="44"/>
        <v>19</v>
      </c>
      <c r="B261">
        <v>0.36</v>
      </c>
      <c r="C261">
        <f t="shared" ca="1" si="45"/>
        <v>15.7</v>
      </c>
      <c r="D261">
        <v>35.71</v>
      </c>
      <c r="E261" s="3">
        <v>5602</v>
      </c>
      <c r="F261">
        <v>3.45</v>
      </c>
      <c r="G261">
        <v>4.2699999999999996</v>
      </c>
      <c r="H261">
        <v>52.5</v>
      </c>
      <c r="I261">
        <v>11.47</v>
      </c>
      <c r="J261">
        <v>7.39</v>
      </c>
      <c r="K261">
        <f t="shared" si="46"/>
        <v>0.10461538461538464</v>
      </c>
      <c r="M261">
        <v>39</v>
      </c>
      <c r="N261">
        <f t="shared" ca="1" si="47"/>
        <v>47.881099168051591</v>
      </c>
      <c r="O261">
        <f t="shared" ca="1" si="48"/>
        <v>19.673733819138064</v>
      </c>
      <c r="P261">
        <v>17.047058823529401</v>
      </c>
      <c r="Q261">
        <v>4.5</v>
      </c>
      <c r="R261">
        <f t="shared" ca="1" si="49"/>
        <v>19.100000000000001</v>
      </c>
      <c r="S261">
        <f t="shared" ca="1" si="50"/>
        <v>0.57373381913806287</v>
      </c>
      <c r="T261">
        <f t="shared" ca="1" si="51"/>
        <v>19.673733819138064</v>
      </c>
      <c r="U261">
        <f t="shared" ca="1" si="52"/>
        <v>47.881099168051591</v>
      </c>
    </row>
    <row r="262" spans="1:21" x14ac:dyDescent="0.45">
      <c r="A262">
        <f t="shared" ca="1" si="44"/>
        <v>16</v>
      </c>
      <c r="B262">
        <v>0.37</v>
      </c>
      <c r="C262">
        <f t="shared" ca="1" si="45"/>
        <v>15.8</v>
      </c>
      <c r="D262">
        <v>32.799999999999997</v>
      </c>
      <c r="E262" s="3">
        <v>6815</v>
      </c>
      <c r="F262">
        <v>6.1</v>
      </c>
      <c r="G262">
        <v>0.16</v>
      </c>
      <c r="H262">
        <v>62.6</v>
      </c>
      <c r="I262">
        <v>11.56</v>
      </c>
      <c r="J262">
        <v>7.33</v>
      </c>
      <c r="K262">
        <f t="shared" ca="1" si="46"/>
        <v>0.15533034945991514</v>
      </c>
      <c r="M262">
        <f t="shared" ref="M262:M293" ca="1" si="53">N262-A262-Q262</f>
        <v>27.232282774794136</v>
      </c>
      <c r="N262">
        <f t="shared" ca="1" si="47"/>
        <v>47.732282774794136</v>
      </c>
      <c r="O262">
        <f t="shared" ca="1" si="48"/>
        <v>19.860772309440186</v>
      </c>
      <c r="P262">
        <v>8.2216216216216207</v>
      </c>
      <c r="Q262">
        <v>4.5</v>
      </c>
      <c r="R262">
        <f t="shared" ca="1" si="49"/>
        <v>19.3</v>
      </c>
      <c r="S262">
        <f t="shared" ca="1" si="50"/>
        <v>0.56077230944018197</v>
      </c>
      <c r="T262">
        <f t="shared" ca="1" si="51"/>
        <v>19.860772309440183</v>
      </c>
      <c r="U262">
        <f t="shared" ca="1" si="52"/>
        <v>47.732282774794136</v>
      </c>
    </row>
    <row r="263" spans="1:21" x14ac:dyDescent="0.45">
      <c r="A263">
        <f t="shared" ca="1" si="44"/>
        <v>21</v>
      </c>
      <c r="B263">
        <v>0.37</v>
      </c>
      <c r="C263">
        <f t="shared" ca="1" si="45"/>
        <v>14.7</v>
      </c>
      <c r="D263">
        <v>46.78</v>
      </c>
      <c r="E263" s="3">
        <v>6638</v>
      </c>
      <c r="F263">
        <v>12.68</v>
      </c>
      <c r="G263">
        <v>12.4</v>
      </c>
      <c r="H263">
        <v>60.22</v>
      </c>
      <c r="I263">
        <v>12.52</v>
      </c>
      <c r="J263">
        <v>7.37</v>
      </c>
      <c r="K263">
        <f t="shared" ca="1" si="46"/>
        <v>0.27899050747598758</v>
      </c>
      <c r="M263">
        <f t="shared" ca="1" si="53"/>
        <v>18.45940941357388</v>
      </c>
      <c r="N263">
        <f t="shared" ca="1" si="47"/>
        <v>43.95940941357388</v>
      </c>
      <c r="O263">
        <f t="shared" ca="1" si="48"/>
        <v>20.063963819487849</v>
      </c>
      <c r="P263">
        <v>9.42</v>
      </c>
      <c r="Q263">
        <v>4.5</v>
      </c>
      <c r="R263">
        <f t="shared" ca="1" si="49"/>
        <v>19.100000000000001</v>
      </c>
      <c r="S263">
        <f t="shared" ca="1" si="50"/>
        <v>0.96396381948785248</v>
      </c>
      <c r="T263">
        <f t="shared" ca="1" si="51"/>
        <v>20.063963819487853</v>
      </c>
      <c r="U263">
        <f t="shared" ca="1" si="52"/>
        <v>43.95940941357388</v>
      </c>
    </row>
    <row r="264" spans="1:21" x14ac:dyDescent="0.45">
      <c r="A264">
        <f t="shared" ca="1" si="44"/>
        <v>16</v>
      </c>
      <c r="B264">
        <v>0.37</v>
      </c>
      <c r="C264">
        <f t="shared" ca="1" si="45"/>
        <v>16.5</v>
      </c>
      <c r="D264">
        <v>42.35</v>
      </c>
      <c r="E264" s="3">
        <v>6324</v>
      </c>
      <c r="F264">
        <v>12.19</v>
      </c>
      <c r="G264">
        <v>0.15</v>
      </c>
      <c r="H264">
        <v>60.21</v>
      </c>
      <c r="I264">
        <v>12.87</v>
      </c>
      <c r="J264">
        <v>7.35</v>
      </c>
      <c r="K264">
        <f t="shared" ca="1" si="46"/>
        <v>0.19203287917596548</v>
      </c>
      <c r="M264">
        <f t="shared" ca="1" si="53"/>
        <v>28.745077528842643</v>
      </c>
      <c r="N264">
        <f t="shared" ca="1" si="47"/>
        <v>49.245077528842643</v>
      </c>
      <c r="O264">
        <f t="shared" ca="1" si="48"/>
        <v>20.103532163598707</v>
      </c>
      <c r="P264">
        <v>10.2129032258065</v>
      </c>
      <c r="Q264">
        <v>4.5</v>
      </c>
      <c r="R264">
        <f t="shared" ca="1" si="49"/>
        <v>19.7</v>
      </c>
      <c r="S264">
        <f t="shared" ca="1" si="50"/>
        <v>0.4035321635987078</v>
      </c>
      <c r="T264">
        <f t="shared" ca="1" si="51"/>
        <v>20.103532163598707</v>
      </c>
      <c r="U264">
        <f t="shared" ca="1" si="52"/>
        <v>49.245077528842643</v>
      </c>
    </row>
    <row r="265" spans="1:21" x14ac:dyDescent="0.45">
      <c r="A265">
        <f t="shared" ca="1" si="44"/>
        <v>16</v>
      </c>
      <c r="B265">
        <v>0.37</v>
      </c>
      <c r="C265">
        <f t="shared" ca="1" si="45"/>
        <v>14.5</v>
      </c>
      <c r="D265">
        <v>34.6</v>
      </c>
      <c r="E265" s="3">
        <v>7007</v>
      </c>
      <c r="F265">
        <v>11.28</v>
      </c>
      <c r="G265">
        <v>8.6</v>
      </c>
      <c r="H265">
        <v>71.5</v>
      </c>
      <c r="I265">
        <v>12.36</v>
      </c>
      <c r="J265">
        <v>7.4</v>
      </c>
      <c r="K265">
        <f t="shared" ca="1" si="46"/>
        <v>0.23372787102509443</v>
      </c>
      <c r="M265">
        <f t="shared" ca="1" si="53"/>
        <v>21.221260341123219</v>
      </c>
      <c r="N265">
        <f t="shared" ca="1" si="47"/>
        <v>41.721260341123219</v>
      </c>
      <c r="O265">
        <f t="shared" ca="1" si="48"/>
        <v>20.852677816697469</v>
      </c>
      <c r="P265">
        <v>11.406185567010301</v>
      </c>
      <c r="Q265">
        <v>4.5</v>
      </c>
      <c r="R265">
        <f t="shared" ca="1" si="49"/>
        <v>19.899999999999999</v>
      </c>
      <c r="S265">
        <f t="shared" ca="1" si="50"/>
        <v>0.95267781669747131</v>
      </c>
      <c r="T265">
        <f t="shared" ca="1" si="51"/>
        <v>20.852677816697469</v>
      </c>
      <c r="U265">
        <f t="shared" ca="1" si="52"/>
        <v>41.721260341123219</v>
      </c>
    </row>
    <row r="266" spans="1:21" x14ac:dyDescent="0.45">
      <c r="A266">
        <f t="shared" ca="1" si="44"/>
        <v>18</v>
      </c>
      <c r="B266">
        <v>0.37</v>
      </c>
      <c r="C266">
        <f t="shared" ca="1" si="45"/>
        <v>15.3</v>
      </c>
      <c r="D266">
        <v>37.340000000000003</v>
      </c>
      <c r="E266" s="3">
        <v>6352</v>
      </c>
      <c r="F266">
        <v>6.63</v>
      </c>
      <c r="G266">
        <v>6.14</v>
      </c>
      <c r="H266">
        <v>59.68</v>
      </c>
      <c r="I266">
        <v>12.33</v>
      </c>
      <c r="J266">
        <v>7.47</v>
      </c>
      <c r="K266">
        <f t="shared" ca="1" si="46"/>
        <v>0.20604029325914877</v>
      </c>
      <c r="M266">
        <f t="shared" ca="1" si="53"/>
        <v>23.587619310400115</v>
      </c>
      <c r="N266">
        <f t="shared" ca="1" si="47"/>
        <v>46.087619310400115</v>
      </c>
      <c r="O266">
        <f t="shared" ca="1" si="48"/>
        <v>19.918581470161651</v>
      </c>
      <c r="P266">
        <v>13.0184210526316</v>
      </c>
      <c r="Q266">
        <v>4.5</v>
      </c>
      <c r="R266">
        <f t="shared" ca="1" si="49"/>
        <v>19.2</v>
      </c>
      <c r="S266">
        <f t="shared" ca="1" si="50"/>
        <v>0.71858147016165319</v>
      </c>
      <c r="T266">
        <f t="shared" ca="1" si="51"/>
        <v>19.918581470161651</v>
      </c>
      <c r="U266">
        <f t="shared" ca="1" si="52"/>
        <v>46.087619310400115</v>
      </c>
    </row>
    <row r="267" spans="1:21" x14ac:dyDescent="0.45">
      <c r="A267">
        <f t="shared" ca="1" si="44"/>
        <v>20</v>
      </c>
      <c r="B267">
        <v>0.37</v>
      </c>
      <c r="C267">
        <f t="shared" ca="1" si="45"/>
        <v>15.4</v>
      </c>
      <c r="D267">
        <v>36.17</v>
      </c>
      <c r="E267" s="3">
        <v>6443</v>
      </c>
      <c r="F267">
        <v>5.01</v>
      </c>
      <c r="G267">
        <v>4.3899999999999997</v>
      </c>
      <c r="H267">
        <v>53</v>
      </c>
      <c r="I267">
        <v>12.45</v>
      </c>
      <c r="J267">
        <v>7.43</v>
      </c>
      <c r="K267">
        <f t="shared" ca="1" si="46"/>
        <v>0.21746819400159331</v>
      </c>
      <c r="M267">
        <f t="shared" ca="1" si="53"/>
        <v>23.083835422678959</v>
      </c>
      <c r="N267">
        <f t="shared" ca="1" si="47"/>
        <v>47.583835422678959</v>
      </c>
      <c r="O267">
        <f t="shared" ca="1" si="48"/>
        <v>19.418359024493682</v>
      </c>
      <c r="P267">
        <v>14.8684931506849</v>
      </c>
      <c r="Q267">
        <v>4.5</v>
      </c>
      <c r="R267">
        <f t="shared" ca="1" si="49"/>
        <v>19.2</v>
      </c>
      <c r="S267">
        <f t="shared" ca="1" si="50"/>
        <v>0.21835902449368039</v>
      </c>
      <c r="T267">
        <f t="shared" ca="1" si="51"/>
        <v>19.418359024493679</v>
      </c>
      <c r="U267">
        <f t="shared" ca="1" si="52"/>
        <v>47.583835422678959</v>
      </c>
    </row>
    <row r="268" spans="1:21" x14ac:dyDescent="0.45">
      <c r="A268">
        <f t="shared" ca="1" si="44"/>
        <v>20</v>
      </c>
      <c r="B268">
        <v>0.37</v>
      </c>
      <c r="C268">
        <f t="shared" ca="1" si="45"/>
        <v>15.4</v>
      </c>
      <c r="D268">
        <v>45.77</v>
      </c>
      <c r="E268" s="3">
        <v>6328</v>
      </c>
      <c r="F268">
        <v>9.1</v>
      </c>
      <c r="G268">
        <v>9.31</v>
      </c>
      <c r="H268">
        <v>63.6</v>
      </c>
      <c r="I268">
        <v>11.94</v>
      </c>
      <c r="J268">
        <v>7.05</v>
      </c>
      <c r="K268">
        <f t="shared" ca="1" si="46"/>
        <v>0.22560239016571582</v>
      </c>
      <c r="M268">
        <f t="shared" ca="1" si="53"/>
        <v>21.675302271434532</v>
      </c>
      <c r="N268">
        <f t="shared" ca="1" si="47"/>
        <v>46.175302271434532</v>
      </c>
      <c r="O268">
        <f t="shared" ca="1" si="48"/>
        <v>20.010697376021618</v>
      </c>
      <c r="P268">
        <v>21.2842105263158</v>
      </c>
      <c r="Q268">
        <v>4.5</v>
      </c>
      <c r="R268">
        <f t="shared" ca="1" si="49"/>
        <v>19.2</v>
      </c>
      <c r="S268">
        <f t="shared" ca="1" si="50"/>
        <v>0.81069737602161951</v>
      </c>
      <c r="T268">
        <f t="shared" ca="1" si="51"/>
        <v>20.010697376021618</v>
      </c>
      <c r="U268">
        <f t="shared" ca="1" si="52"/>
        <v>46.175302271434532</v>
      </c>
    </row>
    <row r="269" spans="1:21" x14ac:dyDescent="0.45">
      <c r="A269">
        <f t="shared" ca="1" si="44"/>
        <v>22</v>
      </c>
      <c r="B269">
        <v>0.37</v>
      </c>
      <c r="C269">
        <f t="shared" ca="1" si="45"/>
        <v>15.5</v>
      </c>
      <c r="D269">
        <v>40.6</v>
      </c>
      <c r="E269" s="3">
        <v>6717</v>
      </c>
      <c r="F269">
        <v>12.06</v>
      </c>
      <c r="G269">
        <v>11.59</v>
      </c>
      <c r="H269">
        <v>50.7</v>
      </c>
      <c r="I269">
        <v>12.6</v>
      </c>
      <c r="J269">
        <v>7.14</v>
      </c>
      <c r="K269">
        <f t="shared" ca="1" si="46"/>
        <v>0.29119101766719818</v>
      </c>
      <c r="M269">
        <f t="shared" ca="1" si="53"/>
        <v>18.750578378898439</v>
      </c>
      <c r="N269">
        <f t="shared" ca="1" si="47"/>
        <v>45.250578378898439</v>
      </c>
      <c r="O269">
        <f t="shared" ca="1" si="48"/>
        <v>20.552223492323005</v>
      </c>
      <c r="P269">
        <v>13.714285714285699</v>
      </c>
      <c r="Q269">
        <v>4.5</v>
      </c>
      <c r="R269">
        <f t="shared" ca="1" si="49"/>
        <v>19.8</v>
      </c>
      <c r="S269">
        <f t="shared" ca="1" si="50"/>
        <v>0.75222349232300401</v>
      </c>
      <c r="T269">
        <f t="shared" ca="1" si="51"/>
        <v>20.552223492323005</v>
      </c>
      <c r="U269">
        <f t="shared" ca="1" si="52"/>
        <v>45.250578378898439</v>
      </c>
    </row>
    <row r="270" spans="1:21" x14ac:dyDescent="0.45">
      <c r="A270">
        <f t="shared" ca="1" si="44"/>
        <v>18</v>
      </c>
      <c r="B270">
        <v>0.37</v>
      </c>
      <c r="C270">
        <f t="shared" ca="1" si="45"/>
        <v>15.3</v>
      </c>
      <c r="D270">
        <v>41.6</v>
      </c>
      <c r="E270" s="3">
        <v>6519</v>
      </c>
      <c r="F270">
        <v>14.07</v>
      </c>
      <c r="G270">
        <v>13.44</v>
      </c>
      <c r="H270">
        <v>51.8</v>
      </c>
      <c r="I270">
        <v>12.46</v>
      </c>
      <c r="J270">
        <v>7.1</v>
      </c>
      <c r="K270">
        <f t="shared" ca="1" si="46"/>
        <v>0.23177596787696492</v>
      </c>
      <c r="M270">
        <f t="shared" ca="1" si="53"/>
        <v>23.125779817022632</v>
      </c>
      <c r="N270">
        <f t="shared" ca="1" si="47"/>
        <v>45.625779817022632</v>
      </c>
      <c r="O270">
        <f t="shared" ca="1" si="48"/>
        <v>20.120204053093275</v>
      </c>
      <c r="P270">
        <v>20.037500000000001</v>
      </c>
      <c r="Q270">
        <v>4.5</v>
      </c>
      <c r="R270">
        <f t="shared" ca="1" si="49"/>
        <v>19.2</v>
      </c>
      <c r="S270">
        <f t="shared" ca="1" si="50"/>
        <v>0.92020405309327191</v>
      </c>
      <c r="T270">
        <f t="shared" ca="1" si="51"/>
        <v>20.120204053093271</v>
      </c>
      <c r="U270">
        <f t="shared" ca="1" si="52"/>
        <v>45.625779817022632</v>
      </c>
    </row>
    <row r="271" spans="1:21" x14ac:dyDescent="0.45">
      <c r="A271">
        <f t="shared" ca="1" si="44"/>
        <v>21</v>
      </c>
      <c r="B271">
        <v>0.37</v>
      </c>
      <c r="C271">
        <f t="shared" ca="1" si="45"/>
        <v>16.3</v>
      </c>
      <c r="D271">
        <v>35.659999999999997</v>
      </c>
      <c r="E271" s="3">
        <v>6947</v>
      </c>
      <c r="F271">
        <v>5.95</v>
      </c>
      <c r="G271">
        <v>7.94</v>
      </c>
      <c r="H271">
        <v>60.1</v>
      </c>
      <c r="I271">
        <v>12.52</v>
      </c>
      <c r="J271">
        <v>7.45</v>
      </c>
      <c r="K271">
        <f t="shared" ca="1" si="46"/>
        <v>0.21146632731967965</v>
      </c>
      <c r="M271">
        <f t="shared" ca="1" si="53"/>
        <v>23.97544831019615</v>
      </c>
      <c r="N271">
        <f t="shared" ca="1" si="47"/>
        <v>49.47544831019615</v>
      </c>
      <c r="O271">
        <f t="shared" ca="1" si="48"/>
        <v>19.767380254307849</v>
      </c>
      <c r="P271">
        <v>12.323076923076901</v>
      </c>
      <c r="Q271">
        <v>4.5</v>
      </c>
      <c r="R271">
        <f t="shared" ca="1" si="49"/>
        <v>19.2</v>
      </c>
      <c r="S271">
        <f t="shared" ca="1" si="50"/>
        <v>0.567380254307848</v>
      </c>
      <c r="T271">
        <f t="shared" ca="1" si="51"/>
        <v>19.767380254307849</v>
      </c>
      <c r="U271">
        <f t="shared" ca="1" si="52"/>
        <v>49.47544831019615</v>
      </c>
    </row>
    <row r="272" spans="1:21" x14ac:dyDescent="0.45">
      <c r="A272">
        <f t="shared" ca="1" si="44"/>
        <v>21</v>
      </c>
      <c r="B272">
        <v>0.37</v>
      </c>
      <c r="C272">
        <f t="shared" ca="1" si="45"/>
        <v>16.3</v>
      </c>
      <c r="D272">
        <v>41.76</v>
      </c>
      <c r="E272" s="3">
        <v>6375</v>
      </c>
      <c r="F272">
        <v>13.67</v>
      </c>
      <c r="G272">
        <v>9.4600000000000009</v>
      </c>
      <c r="H272">
        <v>54.9</v>
      </c>
      <c r="I272">
        <v>12.3</v>
      </c>
      <c r="J272">
        <v>7.15</v>
      </c>
      <c r="K272">
        <f t="shared" ca="1" si="46"/>
        <v>0.227178847937579</v>
      </c>
      <c r="M272">
        <f t="shared" ca="1" si="53"/>
        <v>22.669364013215898</v>
      </c>
      <c r="N272">
        <f t="shared" ca="1" si="47"/>
        <v>48.169364013215898</v>
      </c>
      <c r="O272">
        <f t="shared" ca="1" si="48"/>
        <v>20.303361276093927</v>
      </c>
      <c r="P272">
        <v>13.2</v>
      </c>
      <c r="Q272">
        <v>4.5</v>
      </c>
      <c r="R272">
        <f t="shared" ca="1" si="49"/>
        <v>19.7</v>
      </c>
      <c r="S272">
        <f t="shared" ca="1" si="50"/>
        <v>0.60336127609392909</v>
      </c>
      <c r="T272">
        <f t="shared" ca="1" si="51"/>
        <v>20.303361276093927</v>
      </c>
      <c r="U272">
        <f t="shared" ca="1" si="52"/>
        <v>48.169364013215898</v>
      </c>
    </row>
    <row r="273" spans="1:21" x14ac:dyDescent="0.45">
      <c r="A273">
        <f t="shared" ca="1" si="44"/>
        <v>20</v>
      </c>
      <c r="B273">
        <v>0.37</v>
      </c>
      <c r="C273">
        <f t="shared" ca="1" si="45"/>
        <v>16.100000000000001</v>
      </c>
      <c r="D273">
        <v>43.16</v>
      </c>
      <c r="E273" s="3">
        <v>6949</v>
      </c>
      <c r="F273">
        <v>9.5399999999999991</v>
      </c>
      <c r="G273">
        <v>9.0299999999999994</v>
      </c>
      <c r="H273">
        <v>50.3</v>
      </c>
      <c r="I273">
        <v>12.54</v>
      </c>
      <c r="J273">
        <v>7.25</v>
      </c>
      <c r="K273">
        <f t="shared" ca="1" si="46"/>
        <v>0.20399413584435541</v>
      </c>
      <c r="M273">
        <f t="shared" ca="1" si="53"/>
        <v>25.932117990078858</v>
      </c>
      <c r="N273">
        <f t="shared" ca="1" si="47"/>
        <v>50.432117990078858</v>
      </c>
      <c r="O273">
        <f t="shared" ca="1" si="48"/>
        <v>19.154460262605554</v>
      </c>
      <c r="P273">
        <v>14.6238805970149</v>
      </c>
      <c r="Q273">
        <v>4.5</v>
      </c>
      <c r="R273">
        <f t="shared" ca="1" si="49"/>
        <v>19</v>
      </c>
      <c r="S273">
        <f t="shared" ca="1" si="50"/>
        <v>0.1544602626055529</v>
      </c>
      <c r="T273">
        <f t="shared" ca="1" si="51"/>
        <v>19.154460262605554</v>
      </c>
      <c r="U273">
        <f t="shared" ca="1" si="52"/>
        <v>50.432117990078858</v>
      </c>
    </row>
    <row r="274" spans="1:21" x14ac:dyDescent="0.45">
      <c r="A274">
        <f t="shared" ca="1" si="44"/>
        <v>17</v>
      </c>
      <c r="B274">
        <v>0.37</v>
      </c>
      <c r="C274">
        <f t="shared" ca="1" si="45"/>
        <v>15.9</v>
      </c>
      <c r="D274">
        <v>42.21</v>
      </c>
      <c r="E274" s="3">
        <v>6889</v>
      </c>
      <c r="F274">
        <v>12.87</v>
      </c>
      <c r="G274">
        <v>8.9</v>
      </c>
      <c r="H274">
        <v>51.4</v>
      </c>
      <c r="I274">
        <v>12.37</v>
      </c>
      <c r="J274">
        <v>7.3</v>
      </c>
      <c r="K274">
        <f t="shared" ca="1" si="46"/>
        <v>0.18412100122252067</v>
      </c>
      <c r="M274">
        <f t="shared" ca="1" si="53"/>
        <v>27.536239572544019</v>
      </c>
      <c r="N274">
        <f t="shared" ca="1" si="47"/>
        <v>49.036239572544019</v>
      </c>
      <c r="O274">
        <f t="shared" ca="1" si="48"/>
        <v>19.454999166252463</v>
      </c>
      <c r="P274">
        <v>14.3090909090909</v>
      </c>
      <c r="Q274">
        <v>4.5</v>
      </c>
      <c r="R274">
        <f t="shared" ca="1" si="49"/>
        <v>19.399999999999999</v>
      </c>
      <c r="S274">
        <f t="shared" ca="1" si="50"/>
        <v>5.4999166252465481E-2</v>
      </c>
      <c r="T274">
        <f t="shared" ca="1" si="51"/>
        <v>19.454999166252463</v>
      </c>
      <c r="U274">
        <f t="shared" ca="1" si="52"/>
        <v>49.036239572544019</v>
      </c>
    </row>
    <row r="275" spans="1:21" x14ac:dyDescent="0.45">
      <c r="A275">
        <f t="shared" ca="1" si="44"/>
        <v>16</v>
      </c>
      <c r="B275">
        <v>0.38</v>
      </c>
      <c r="C275">
        <f t="shared" ca="1" si="45"/>
        <v>16.3</v>
      </c>
      <c r="D275">
        <v>44.2</v>
      </c>
      <c r="E275" s="3">
        <v>6424</v>
      </c>
      <c r="F275">
        <v>7.16</v>
      </c>
      <c r="G275">
        <v>9.01</v>
      </c>
      <c r="H275">
        <v>60.1</v>
      </c>
      <c r="I275">
        <v>12.59</v>
      </c>
      <c r="J275">
        <v>7.37</v>
      </c>
      <c r="K275">
        <f t="shared" ca="1" si="46"/>
        <v>0.18124192172354728</v>
      </c>
      <c r="M275">
        <f t="shared" ca="1" si="53"/>
        <v>28.801283667485016</v>
      </c>
      <c r="N275">
        <f t="shared" ca="1" si="47"/>
        <v>49.301283667485016</v>
      </c>
      <c r="O275">
        <f t="shared" ca="1" si="48"/>
        <v>19.837211675788609</v>
      </c>
      <c r="P275">
        <v>8.0865671641790993</v>
      </c>
      <c r="Q275">
        <v>4.5</v>
      </c>
      <c r="R275">
        <f t="shared" ca="1" si="49"/>
        <v>19.100000000000001</v>
      </c>
      <c r="S275">
        <f t="shared" ca="1" si="50"/>
        <v>0.73721167578860658</v>
      </c>
      <c r="T275">
        <f t="shared" ca="1" si="51"/>
        <v>19.837211675788609</v>
      </c>
      <c r="U275">
        <f t="shared" ca="1" si="52"/>
        <v>49.301283667485016</v>
      </c>
    </row>
    <row r="276" spans="1:21" x14ac:dyDescent="0.45">
      <c r="A276">
        <f t="shared" ca="1" si="44"/>
        <v>17</v>
      </c>
      <c r="B276">
        <v>0.38</v>
      </c>
      <c r="C276">
        <f t="shared" ca="1" si="45"/>
        <v>16</v>
      </c>
      <c r="D276">
        <v>34.58</v>
      </c>
      <c r="E276" s="3">
        <v>6582</v>
      </c>
      <c r="F276">
        <v>3.65</v>
      </c>
      <c r="G276">
        <v>4.41</v>
      </c>
      <c r="H276">
        <v>63.2</v>
      </c>
      <c r="I276">
        <v>12.01</v>
      </c>
      <c r="J276">
        <v>7.42</v>
      </c>
      <c r="K276">
        <f t="shared" ca="1" si="46"/>
        <v>0.17023999647672208</v>
      </c>
      <c r="M276">
        <f t="shared" ca="1" si="53"/>
        <v>26.96193664822836</v>
      </c>
      <c r="N276">
        <f t="shared" ca="1" si="47"/>
        <v>48.46193664822836</v>
      </c>
      <c r="O276">
        <f t="shared" ca="1" si="48"/>
        <v>19.809361044903582</v>
      </c>
      <c r="P276">
        <v>9.8036697247706392</v>
      </c>
      <c r="Q276">
        <v>4.5</v>
      </c>
      <c r="R276">
        <f t="shared" ca="1" si="49"/>
        <v>19.7</v>
      </c>
      <c r="S276">
        <f t="shared" ca="1" si="50"/>
        <v>0.10936104490357912</v>
      </c>
      <c r="T276">
        <f t="shared" ca="1" si="51"/>
        <v>19.809361044903579</v>
      </c>
      <c r="U276">
        <f t="shared" ca="1" si="52"/>
        <v>48.46193664822836</v>
      </c>
    </row>
    <row r="277" spans="1:21" x14ac:dyDescent="0.45">
      <c r="A277">
        <f t="shared" ca="1" si="44"/>
        <v>19</v>
      </c>
      <c r="B277">
        <v>0.38</v>
      </c>
      <c r="C277">
        <f t="shared" ca="1" si="45"/>
        <v>16.3</v>
      </c>
      <c r="D277">
        <v>32.21</v>
      </c>
      <c r="E277" s="3">
        <v>6434</v>
      </c>
      <c r="F277">
        <v>9.9499999999999993</v>
      </c>
      <c r="G277">
        <v>6.5</v>
      </c>
      <c r="H277">
        <v>59.66</v>
      </c>
      <c r="I277">
        <v>12.3</v>
      </c>
      <c r="J277">
        <v>7.43</v>
      </c>
      <c r="K277">
        <f t="shared" ca="1" si="46"/>
        <v>0.19860119150512895</v>
      </c>
      <c r="M277">
        <f t="shared" ca="1" si="53"/>
        <v>24.521504443613729</v>
      </c>
      <c r="N277">
        <f t="shared" ca="1" si="47"/>
        <v>48.021504443613729</v>
      </c>
      <c r="O277">
        <f t="shared" ca="1" si="48"/>
        <v>20.365875899376618</v>
      </c>
      <c r="P277">
        <v>11.530188679245301</v>
      </c>
      <c r="Q277">
        <v>4.5</v>
      </c>
      <c r="R277">
        <f t="shared" ca="1" si="49"/>
        <v>19.399999999999999</v>
      </c>
      <c r="S277">
        <f t="shared" ca="1" si="50"/>
        <v>0.96587589937662144</v>
      </c>
      <c r="T277">
        <f t="shared" ca="1" si="51"/>
        <v>20.365875899376618</v>
      </c>
      <c r="U277">
        <f t="shared" ca="1" si="52"/>
        <v>48.021504443613729</v>
      </c>
    </row>
    <row r="278" spans="1:21" x14ac:dyDescent="0.45">
      <c r="A278">
        <f t="shared" ca="1" si="44"/>
        <v>22</v>
      </c>
      <c r="B278">
        <v>0.38</v>
      </c>
      <c r="C278">
        <f t="shared" ca="1" si="45"/>
        <v>15.1</v>
      </c>
      <c r="D278">
        <v>41.57</v>
      </c>
      <c r="E278" s="3">
        <v>6635</v>
      </c>
      <c r="F278">
        <v>12.61</v>
      </c>
      <c r="G278">
        <v>10.48</v>
      </c>
      <c r="H278">
        <v>51.7</v>
      </c>
      <c r="I278">
        <v>12.66</v>
      </c>
      <c r="J278">
        <v>7.06</v>
      </c>
      <c r="K278">
        <f t="shared" ca="1" si="46"/>
        <v>0.30410142946210467</v>
      </c>
      <c r="M278">
        <f t="shared" ca="1" si="53"/>
        <v>18.414908505709079</v>
      </c>
      <c r="N278">
        <f t="shared" ca="1" si="47"/>
        <v>44.914908505709079</v>
      </c>
      <c r="O278">
        <f t="shared" ca="1" si="48"/>
        <v>20.171476023041201</v>
      </c>
      <c r="P278">
        <v>16.5</v>
      </c>
      <c r="Q278">
        <v>4.5</v>
      </c>
      <c r="R278">
        <f t="shared" ca="1" si="49"/>
        <v>19.8</v>
      </c>
      <c r="S278">
        <f t="shared" ca="1" si="50"/>
        <v>0.37147602304119864</v>
      </c>
      <c r="T278">
        <f t="shared" ca="1" si="51"/>
        <v>20.171476023041201</v>
      </c>
      <c r="U278">
        <f t="shared" ca="1" si="52"/>
        <v>44.914908505709079</v>
      </c>
    </row>
    <row r="279" spans="1:21" x14ac:dyDescent="0.45">
      <c r="A279">
        <f t="shared" ca="1" si="44"/>
        <v>16</v>
      </c>
      <c r="B279">
        <v>0.38</v>
      </c>
      <c r="C279">
        <f t="shared" ca="1" si="45"/>
        <v>14.8</v>
      </c>
      <c r="D279">
        <v>40.67</v>
      </c>
      <c r="E279" s="3">
        <v>6208</v>
      </c>
      <c r="F279">
        <v>7.87</v>
      </c>
      <c r="G279">
        <v>9.01</v>
      </c>
      <c r="H279">
        <v>52.6</v>
      </c>
      <c r="I279">
        <v>12.35</v>
      </c>
      <c r="J279">
        <v>7.29</v>
      </c>
      <c r="K279">
        <f t="shared" ca="1" si="46"/>
        <v>0.21119083783613168</v>
      </c>
      <c r="M279">
        <f t="shared" ca="1" si="53"/>
        <v>23.959372725847992</v>
      </c>
      <c r="N279">
        <f t="shared" ca="1" si="47"/>
        <v>44.459372725847992</v>
      </c>
      <c r="O279">
        <f t="shared" ca="1" si="48"/>
        <v>19.973291244474318</v>
      </c>
      <c r="P279">
        <v>13.7931818181818</v>
      </c>
      <c r="Q279">
        <v>4.5</v>
      </c>
      <c r="R279">
        <f t="shared" ca="1" si="49"/>
        <v>19.399999999999999</v>
      </c>
      <c r="S279">
        <f t="shared" ca="1" si="50"/>
        <v>0.57329124447431845</v>
      </c>
      <c r="T279">
        <f t="shared" ca="1" si="51"/>
        <v>19.973291244474318</v>
      </c>
      <c r="U279">
        <f t="shared" ca="1" si="52"/>
        <v>44.459372725847992</v>
      </c>
    </row>
    <row r="280" spans="1:21" x14ac:dyDescent="0.45">
      <c r="A280">
        <f t="shared" ca="1" si="44"/>
        <v>19</v>
      </c>
      <c r="B280">
        <v>0.38</v>
      </c>
      <c r="C280">
        <f t="shared" ca="1" si="45"/>
        <v>15.7</v>
      </c>
      <c r="D280">
        <v>37.22</v>
      </c>
      <c r="E280" s="3">
        <v>6298</v>
      </c>
      <c r="F280">
        <v>12.09</v>
      </c>
      <c r="G280">
        <v>9.5</v>
      </c>
      <c r="H280">
        <v>59</v>
      </c>
      <c r="I280">
        <v>12.35</v>
      </c>
      <c r="J280">
        <v>7.23</v>
      </c>
      <c r="K280">
        <f t="shared" ca="1" si="46"/>
        <v>0.22624604877783236</v>
      </c>
      <c r="M280">
        <f t="shared" ca="1" si="53"/>
        <v>22.630229467687649</v>
      </c>
      <c r="N280">
        <f t="shared" ca="1" si="47"/>
        <v>46.130229467687649</v>
      </c>
      <c r="O280">
        <f t="shared" ca="1" si="48"/>
        <v>20.42044903895032</v>
      </c>
      <c r="P280">
        <v>14.4537313432836</v>
      </c>
      <c r="Q280">
        <v>4.5</v>
      </c>
      <c r="R280">
        <f t="shared" ca="1" si="49"/>
        <v>19.899999999999999</v>
      </c>
      <c r="S280">
        <f t="shared" ca="1" si="50"/>
        <v>0.52044903895032057</v>
      </c>
      <c r="T280">
        <f t="shared" ca="1" si="51"/>
        <v>20.42044903895032</v>
      </c>
      <c r="U280">
        <f t="shared" ca="1" si="52"/>
        <v>46.130229467687649</v>
      </c>
    </row>
    <row r="281" spans="1:21" x14ac:dyDescent="0.45">
      <c r="A281">
        <f t="shared" ca="1" si="44"/>
        <v>20</v>
      </c>
      <c r="B281">
        <v>0.38</v>
      </c>
      <c r="C281">
        <f t="shared" ca="1" si="45"/>
        <v>16.5</v>
      </c>
      <c r="D281">
        <v>26.44</v>
      </c>
      <c r="E281" s="3">
        <v>6241</v>
      </c>
      <c r="F281">
        <v>7.54</v>
      </c>
      <c r="G281">
        <v>8.86</v>
      </c>
      <c r="H281">
        <v>52.2</v>
      </c>
      <c r="I281">
        <v>12.22</v>
      </c>
      <c r="J281">
        <v>7.29</v>
      </c>
      <c r="K281">
        <f t="shared" ca="1" si="46"/>
        <v>0.1976132590668096</v>
      </c>
      <c r="M281">
        <f t="shared" ca="1" si="53"/>
        <v>24.947718707140261</v>
      </c>
      <c r="N281">
        <f t="shared" ca="1" si="47"/>
        <v>49.447718707140261</v>
      </c>
      <c r="O281">
        <f t="shared" ca="1" si="48"/>
        <v>20.021146088930564</v>
      </c>
      <c r="P281">
        <v>5.1870967741935496</v>
      </c>
      <c r="Q281">
        <v>4.5</v>
      </c>
      <c r="R281">
        <f t="shared" ca="1" si="49"/>
        <v>19.5</v>
      </c>
      <c r="S281">
        <f t="shared" ca="1" si="50"/>
        <v>0.5211460889305638</v>
      </c>
      <c r="T281">
        <f t="shared" ca="1" si="51"/>
        <v>20.021146088930564</v>
      </c>
      <c r="U281">
        <f t="shared" ca="1" si="52"/>
        <v>49.447718707140261</v>
      </c>
    </row>
    <row r="282" spans="1:21" x14ac:dyDescent="0.45">
      <c r="A282">
        <f t="shared" ca="1" si="44"/>
        <v>16</v>
      </c>
      <c r="B282">
        <v>0.38</v>
      </c>
      <c r="C282">
        <f t="shared" ca="1" si="45"/>
        <v>16.399999999999999</v>
      </c>
      <c r="D282">
        <v>33.21</v>
      </c>
      <c r="E282" s="3">
        <v>4488</v>
      </c>
      <c r="F282">
        <v>2.4500000000000002</v>
      </c>
      <c r="G282">
        <v>6.05</v>
      </c>
      <c r="H282">
        <v>50.7</v>
      </c>
      <c r="I282">
        <v>11.7</v>
      </c>
      <c r="J282">
        <v>7.35</v>
      </c>
      <c r="K282">
        <f t="shared" ca="1" si="46"/>
        <v>0.15194976607030536</v>
      </c>
      <c r="M282">
        <f t="shared" ca="1" si="53"/>
        <v>28.627882177767262</v>
      </c>
      <c r="N282">
        <f t="shared" ca="1" si="47"/>
        <v>49.127882177767262</v>
      </c>
      <c r="O282">
        <f t="shared" ca="1" si="48"/>
        <v>20.029359222924274</v>
      </c>
      <c r="P282">
        <v>11.170370370370399</v>
      </c>
      <c r="Q282">
        <v>4.5</v>
      </c>
      <c r="R282">
        <f t="shared" ca="1" si="49"/>
        <v>19.8</v>
      </c>
      <c r="S282">
        <f t="shared" ca="1" si="50"/>
        <v>0.22935922292427513</v>
      </c>
      <c r="T282">
        <f t="shared" ca="1" si="51"/>
        <v>20.029359222924278</v>
      </c>
      <c r="U282">
        <f t="shared" ca="1" si="52"/>
        <v>49.127882177767262</v>
      </c>
    </row>
    <row r="283" spans="1:21" x14ac:dyDescent="0.45">
      <c r="A283">
        <f t="shared" ca="1" si="44"/>
        <v>17</v>
      </c>
      <c r="B283">
        <v>0.38</v>
      </c>
      <c r="C283">
        <f t="shared" ca="1" si="45"/>
        <v>14.5</v>
      </c>
      <c r="D283">
        <v>33.270000000000003</v>
      </c>
      <c r="E283" s="3">
        <v>4570</v>
      </c>
      <c r="F283">
        <v>7.17</v>
      </c>
      <c r="G283">
        <v>6.41</v>
      </c>
      <c r="H283">
        <v>52.3</v>
      </c>
      <c r="I283">
        <v>11.71</v>
      </c>
      <c r="J283">
        <v>7.4</v>
      </c>
      <c r="K283">
        <f t="shared" ca="1" si="46"/>
        <v>0.20287153412996176</v>
      </c>
      <c r="M283">
        <f t="shared" ca="1" si="53"/>
        <v>21.244971693460784</v>
      </c>
      <c r="N283">
        <f t="shared" ca="1" si="47"/>
        <v>42.744971693460784</v>
      </c>
      <c r="O283">
        <f t="shared" ca="1" si="48"/>
        <v>20.3532711692752</v>
      </c>
      <c r="P283">
        <v>13.5552631578947</v>
      </c>
      <c r="Q283">
        <v>4.5</v>
      </c>
      <c r="R283">
        <f t="shared" ca="1" si="49"/>
        <v>19.7</v>
      </c>
      <c r="S283">
        <f t="shared" ca="1" si="50"/>
        <v>0.6532711692752039</v>
      </c>
      <c r="T283">
        <f t="shared" ca="1" si="51"/>
        <v>20.353271169275203</v>
      </c>
      <c r="U283">
        <f t="shared" ca="1" si="52"/>
        <v>42.744971693460784</v>
      </c>
    </row>
    <row r="284" spans="1:21" x14ac:dyDescent="0.45">
      <c r="A284">
        <f t="shared" ca="1" si="44"/>
        <v>20</v>
      </c>
      <c r="B284">
        <v>0.39</v>
      </c>
      <c r="C284">
        <f t="shared" ca="1" si="45"/>
        <v>14.6</v>
      </c>
      <c r="D284">
        <v>33.67</v>
      </c>
      <c r="E284" s="3">
        <v>6318</v>
      </c>
      <c r="F284">
        <v>9.16</v>
      </c>
      <c r="G284">
        <v>6.78</v>
      </c>
      <c r="H284">
        <v>61.3</v>
      </c>
      <c r="I284">
        <v>12.3</v>
      </c>
      <c r="J284">
        <v>7.32</v>
      </c>
      <c r="K284">
        <f t="shared" ca="1" si="46"/>
        <v>0.23630066245696676</v>
      </c>
      <c r="M284">
        <f t="shared" ca="1" si="53"/>
        <v>21.074845699626081</v>
      </c>
      <c r="N284">
        <f t="shared" ca="1" si="47"/>
        <v>45.574845699626081</v>
      </c>
      <c r="O284">
        <f t="shared" ca="1" si="48"/>
        <v>19.221129255675947</v>
      </c>
      <c r="P284">
        <v>9.1954545454545507</v>
      </c>
      <c r="Q284">
        <v>4.5</v>
      </c>
      <c r="R284">
        <f t="shared" ca="1" si="49"/>
        <v>19</v>
      </c>
      <c r="S284">
        <f t="shared" ca="1" si="50"/>
        <v>0.22112925567594777</v>
      </c>
      <c r="T284">
        <f t="shared" ca="1" si="51"/>
        <v>19.221129255675947</v>
      </c>
      <c r="U284">
        <f t="shared" ca="1" si="52"/>
        <v>45.574845699626081</v>
      </c>
    </row>
    <row r="285" spans="1:21" x14ac:dyDescent="0.45">
      <c r="A285">
        <f t="shared" ca="1" si="44"/>
        <v>22</v>
      </c>
      <c r="B285">
        <v>0.39</v>
      </c>
      <c r="C285">
        <f t="shared" ca="1" si="45"/>
        <v>14.8</v>
      </c>
      <c r="D285">
        <v>465.31</v>
      </c>
      <c r="E285" s="3">
        <v>30.59</v>
      </c>
      <c r="F285">
        <v>30.3</v>
      </c>
      <c r="G285">
        <v>7554</v>
      </c>
      <c r="H285">
        <v>68</v>
      </c>
      <c r="I285">
        <v>12.37</v>
      </c>
      <c r="J285">
        <v>7.43</v>
      </c>
      <c r="K285">
        <f t="shared" ca="1" si="46"/>
        <v>0.26700839944336713</v>
      </c>
      <c r="M285">
        <f t="shared" ca="1" si="53"/>
        <v>18.501290634670767</v>
      </c>
      <c r="N285">
        <f t="shared" ca="1" si="47"/>
        <v>45.001290634670767</v>
      </c>
      <c r="O285">
        <f t="shared" ca="1" si="48"/>
        <v>19.73276738236147</v>
      </c>
      <c r="P285">
        <v>14.04</v>
      </c>
      <c r="Q285">
        <v>4.5</v>
      </c>
      <c r="R285">
        <f t="shared" ca="1" si="49"/>
        <v>19.399999999999999</v>
      </c>
      <c r="S285">
        <f t="shared" ca="1" si="50"/>
        <v>0.33276738236146941</v>
      </c>
      <c r="T285">
        <f t="shared" ca="1" si="51"/>
        <v>19.73276738236147</v>
      </c>
      <c r="U285">
        <f t="shared" ca="1" si="52"/>
        <v>45.001290634670767</v>
      </c>
    </row>
    <row r="286" spans="1:21" x14ac:dyDescent="0.45">
      <c r="A286">
        <f t="shared" ca="1" si="44"/>
        <v>22</v>
      </c>
      <c r="B286">
        <v>0.39</v>
      </c>
      <c r="C286">
        <f t="shared" ca="1" si="45"/>
        <v>14.6</v>
      </c>
      <c r="D286">
        <v>38</v>
      </c>
      <c r="E286" s="3">
        <v>6356</v>
      </c>
      <c r="H286">
        <v>52.8</v>
      </c>
      <c r="I286">
        <v>12.5</v>
      </c>
      <c r="J286">
        <v>7.4</v>
      </c>
      <c r="K286">
        <f t="shared" ca="1" si="46"/>
        <v>0.29554227040220143</v>
      </c>
      <c r="M286">
        <f t="shared" ca="1" si="53"/>
        <v>17.256414769567293</v>
      </c>
      <c r="N286">
        <f t="shared" ca="1" si="47"/>
        <v>43.756414769567293</v>
      </c>
      <c r="O286">
        <f t="shared" ca="1" si="48"/>
        <v>20.019921755775577</v>
      </c>
      <c r="P286">
        <v>15.241935483871</v>
      </c>
      <c r="Q286">
        <v>4.5</v>
      </c>
      <c r="R286">
        <f t="shared" ca="1" si="49"/>
        <v>19.5</v>
      </c>
      <c r="S286">
        <f t="shared" ca="1" si="50"/>
        <v>0.51992175577557731</v>
      </c>
      <c r="T286">
        <f t="shared" ca="1" si="51"/>
        <v>20.019921755775577</v>
      </c>
      <c r="U286">
        <f t="shared" ca="1" si="52"/>
        <v>43.756414769567293</v>
      </c>
    </row>
    <row r="287" spans="1:21" x14ac:dyDescent="0.45">
      <c r="A287">
        <f t="shared" ca="1" si="44"/>
        <v>16</v>
      </c>
      <c r="B287">
        <v>0.39</v>
      </c>
      <c r="C287">
        <f t="shared" ca="1" si="45"/>
        <v>15.7</v>
      </c>
      <c r="D287">
        <v>36.9</v>
      </c>
      <c r="E287" s="3">
        <v>6457</v>
      </c>
      <c r="F287">
        <v>11.61</v>
      </c>
      <c r="G287">
        <v>6.42</v>
      </c>
      <c r="H287">
        <v>51.5</v>
      </c>
      <c r="I287">
        <v>12.77</v>
      </c>
      <c r="J287">
        <v>7.26</v>
      </c>
      <c r="K287">
        <f t="shared" ca="1" si="46"/>
        <v>0.20310826940732082</v>
      </c>
      <c r="M287">
        <f t="shared" ca="1" si="53"/>
        <v>27.128388302841785</v>
      </c>
      <c r="N287">
        <f t="shared" ca="1" si="47"/>
        <v>47.628388302841785</v>
      </c>
      <c r="O287">
        <f t="shared" ca="1" si="48"/>
        <v>19.778120435450358</v>
      </c>
      <c r="P287">
        <v>13.808571428571399</v>
      </c>
      <c r="Q287">
        <v>4.5</v>
      </c>
      <c r="R287">
        <f t="shared" ca="1" si="49"/>
        <v>19.399999999999999</v>
      </c>
      <c r="S287">
        <f t="shared" ca="1" si="50"/>
        <v>0.37812043545036134</v>
      </c>
      <c r="T287">
        <f t="shared" ca="1" si="51"/>
        <v>19.778120435450361</v>
      </c>
      <c r="U287">
        <f t="shared" ca="1" si="52"/>
        <v>47.628388302841785</v>
      </c>
    </row>
    <row r="288" spans="1:21" x14ac:dyDescent="0.45">
      <c r="A288">
        <f t="shared" ca="1" si="44"/>
        <v>19</v>
      </c>
      <c r="B288">
        <v>0.39</v>
      </c>
      <c r="C288">
        <f t="shared" ca="1" si="45"/>
        <v>15.4</v>
      </c>
      <c r="D288">
        <v>37.450000000000003</v>
      </c>
      <c r="E288" s="3">
        <v>6103</v>
      </c>
      <c r="F288">
        <v>9.8699999999999992</v>
      </c>
      <c r="G288">
        <v>7.05</v>
      </c>
      <c r="H288">
        <v>72.3</v>
      </c>
      <c r="I288">
        <v>12.69</v>
      </c>
      <c r="J288">
        <v>7.2</v>
      </c>
      <c r="K288">
        <f t="shared" ca="1" si="46"/>
        <v>0.23919404505964484</v>
      </c>
      <c r="M288">
        <f t="shared" ca="1" si="53"/>
        <v>22.952076414072209</v>
      </c>
      <c r="N288">
        <f t="shared" ca="1" si="47"/>
        <v>46.452076414072209</v>
      </c>
      <c r="O288">
        <f t="shared" ca="1" si="48"/>
        <v>19.891468182466074</v>
      </c>
      <c r="P288">
        <v>6.1962616822429899</v>
      </c>
      <c r="Q288">
        <v>4.5</v>
      </c>
      <c r="R288">
        <f t="shared" ca="1" si="49"/>
        <v>19.5</v>
      </c>
      <c r="S288">
        <f t="shared" ca="1" si="50"/>
        <v>0.3914681824660714</v>
      </c>
      <c r="T288">
        <f t="shared" ca="1" si="51"/>
        <v>19.89146818246607</v>
      </c>
      <c r="U288">
        <f t="shared" ca="1" si="52"/>
        <v>46.452076414072209</v>
      </c>
    </row>
    <row r="289" spans="1:21" x14ac:dyDescent="0.45">
      <c r="A289">
        <f t="shared" ca="1" si="44"/>
        <v>16</v>
      </c>
      <c r="B289">
        <v>0.4</v>
      </c>
      <c r="C289">
        <f t="shared" ca="1" si="45"/>
        <v>15</v>
      </c>
      <c r="D289">
        <v>37.5</v>
      </c>
      <c r="E289" s="3">
        <v>6589</v>
      </c>
      <c r="F289">
        <v>10.56</v>
      </c>
      <c r="G289">
        <v>9.6</v>
      </c>
      <c r="H289">
        <v>65.3</v>
      </c>
      <c r="I289">
        <v>12.87</v>
      </c>
      <c r="J289">
        <v>7.25</v>
      </c>
      <c r="K289">
        <f t="shared" ca="1" si="46"/>
        <v>0.22115079693824524</v>
      </c>
      <c r="M289">
        <f t="shared" ca="1" si="53"/>
        <v>25.412524294765909</v>
      </c>
      <c r="N289">
        <f t="shared" ca="1" si="47"/>
        <v>45.912524294765909</v>
      </c>
      <c r="O289">
        <f t="shared" ca="1" si="48"/>
        <v>19.602494391766676</v>
      </c>
      <c r="P289">
        <v>4.2521739130434799</v>
      </c>
      <c r="Q289">
        <v>4.5</v>
      </c>
      <c r="R289">
        <f t="shared" ca="1" si="49"/>
        <v>19.399999999999999</v>
      </c>
      <c r="S289">
        <f t="shared" ca="1" si="50"/>
        <v>0.20249439176667849</v>
      </c>
      <c r="T289">
        <f t="shared" ca="1" si="51"/>
        <v>19.602494391766676</v>
      </c>
      <c r="U289">
        <f t="shared" ca="1" si="52"/>
        <v>45.912524294765909</v>
      </c>
    </row>
    <row r="290" spans="1:21" x14ac:dyDescent="0.45">
      <c r="A290">
        <f t="shared" ca="1" si="44"/>
        <v>17</v>
      </c>
      <c r="B290">
        <v>0.4</v>
      </c>
      <c r="C290">
        <f t="shared" ca="1" si="45"/>
        <v>15.5</v>
      </c>
      <c r="D290">
        <v>28.91</v>
      </c>
      <c r="E290" s="3">
        <v>6080</v>
      </c>
      <c r="F290">
        <v>6.27</v>
      </c>
      <c r="G290">
        <v>5.73</v>
      </c>
      <c r="H290">
        <v>52.1</v>
      </c>
      <c r="I290">
        <v>12.4</v>
      </c>
      <c r="J290">
        <v>7.4</v>
      </c>
      <c r="K290">
        <f t="shared" ca="1" si="46"/>
        <v>0.20440804806623394</v>
      </c>
      <c r="M290">
        <f t="shared" ca="1" si="53"/>
        <v>24.460876405315801</v>
      </c>
      <c r="N290">
        <f t="shared" ca="1" si="47"/>
        <v>45.960876405315801</v>
      </c>
      <c r="O290">
        <f t="shared" ca="1" si="48"/>
        <v>20.234601094169669</v>
      </c>
      <c r="P290">
        <v>10.166972477064199</v>
      </c>
      <c r="Q290">
        <v>4.5</v>
      </c>
      <c r="R290">
        <f t="shared" ca="1" si="49"/>
        <v>19.5</v>
      </c>
      <c r="S290">
        <f t="shared" ca="1" si="50"/>
        <v>0.73460109416967068</v>
      </c>
      <c r="T290">
        <f t="shared" ca="1" si="51"/>
        <v>20.234601094169669</v>
      </c>
      <c r="U290">
        <f t="shared" ca="1" si="52"/>
        <v>45.960876405315801</v>
      </c>
    </row>
    <row r="291" spans="1:21" x14ac:dyDescent="0.45">
      <c r="A291">
        <f t="shared" ca="1" si="44"/>
        <v>18</v>
      </c>
      <c r="B291">
        <v>0.4</v>
      </c>
      <c r="C291">
        <f t="shared" ca="1" si="45"/>
        <v>16.2</v>
      </c>
      <c r="D291">
        <v>33.92</v>
      </c>
      <c r="E291" s="3">
        <v>7341</v>
      </c>
      <c r="F291">
        <v>8.25</v>
      </c>
      <c r="G291">
        <v>5.52</v>
      </c>
      <c r="H291">
        <v>57.5</v>
      </c>
      <c r="I291">
        <v>12.46</v>
      </c>
      <c r="J291">
        <v>7.4</v>
      </c>
      <c r="K291">
        <f t="shared" ca="1" si="46"/>
        <v>0.19307741199248621</v>
      </c>
      <c r="M291">
        <f t="shared" ca="1" si="53"/>
        <v>26.207104952271244</v>
      </c>
      <c r="N291">
        <f t="shared" ca="1" si="47"/>
        <v>48.707104952271244</v>
      </c>
      <c r="O291">
        <f t="shared" ca="1" si="48"/>
        <v>19.956020809540536</v>
      </c>
      <c r="P291">
        <v>11.2775510204082</v>
      </c>
      <c r="Q291">
        <v>4.5</v>
      </c>
      <c r="R291">
        <f t="shared" ca="1" si="49"/>
        <v>19.899999999999999</v>
      </c>
      <c r="S291">
        <f t="shared" ca="1" si="50"/>
        <v>5.6020809540542893E-2</v>
      </c>
      <c r="T291">
        <f t="shared" ca="1" si="51"/>
        <v>19.95602080954054</v>
      </c>
      <c r="U291">
        <f t="shared" ca="1" si="52"/>
        <v>48.707104952271244</v>
      </c>
    </row>
    <row r="292" spans="1:21" x14ac:dyDescent="0.45">
      <c r="A292">
        <f t="shared" ca="1" si="44"/>
        <v>17</v>
      </c>
      <c r="B292">
        <v>0.4</v>
      </c>
      <c r="C292">
        <f t="shared" ca="1" si="45"/>
        <v>15.6</v>
      </c>
      <c r="D292">
        <v>34.840000000000003</v>
      </c>
      <c r="E292" s="3">
        <v>6466</v>
      </c>
      <c r="F292">
        <v>7.95</v>
      </c>
      <c r="G292">
        <v>6.34</v>
      </c>
      <c r="H292">
        <v>61.5</v>
      </c>
      <c r="I292">
        <v>11.42</v>
      </c>
      <c r="J292">
        <v>7.34</v>
      </c>
      <c r="K292">
        <f t="shared" ca="1" si="46"/>
        <v>0.164108348024332</v>
      </c>
      <c r="M292">
        <f t="shared" ca="1" si="53"/>
        <v>24.861623732846709</v>
      </c>
      <c r="N292">
        <f t="shared" ca="1" si="47"/>
        <v>46.361623732846709</v>
      </c>
      <c r="O292">
        <f t="shared" ca="1" si="48"/>
        <v>20.189111697070569</v>
      </c>
      <c r="P292">
        <v>12.5294117647059</v>
      </c>
      <c r="Q292">
        <v>4.5</v>
      </c>
      <c r="R292">
        <f t="shared" ca="1" si="49"/>
        <v>19.5</v>
      </c>
      <c r="S292">
        <f t="shared" ca="1" si="50"/>
        <v>0.68911169707056807</v>
      </c>
      <c r="T292">
        <f t="shared" ca="1" si="51"/>
        <v>20.189111697070569</v>
      </c>
      <c r="U292">
        <f t="shared" ca="1" si="52"/>
        <v>46.361623732846709</v>
      </c>
    </row>
    <row r="293" spans="1:21" x14ac:dyDescent="0.45">
      <c r="A293">
        <f t="shared" ca="1" si="44"/>
        <v>21</v>
      </c>
      <c r="B293">
        <v>0.4</v>
      </c>
      <c r="C293">
        <f t="shared" ca="1" si="45"/>
        <v>14.8</v>
      </c>
      <c r="D293">
        <v>25.69</v>
      </c>
      <c r="E293" s="3">
        <v>6164</v>
      </c>
      <c r="F293">
        <v>15.27</v>
      </c>
      <c r="G293">
        <v>9.61</v>
      </c>
      <c r="H293">
        <v>57.3</v>
      </c>
      <c r="I293">
        <v>12.3</v>
      </c>
      <c r="J293">
        <v>7.19</v>
      </c>
      <c r="K293">
        <f t="shared" ca="1" si="46"/>
        <v>0.26184967149512312</v>
      </c>
      <c r="M293">
        <f t="shared" ca="1" si="53"/>
        <v>19.515013980436379</v>
      </c>
      <c r="N293">
        <f t="shared" ca="1" si="47"/>
        <v>45.015013980436379</v>
      </c>
      <c r="O293">
        <f t="shared" ca="1" si="48"/>
        <v>19.72675162082426</v>
      </c>
      <c r="P293">
        <v>13.0305882352941</v>
      </c>
      <c r="Q293">
        <v>4.5</v>
      </c>
      <c r="R293">
        <f t="shared" ca="1" si="49"/>
        <v>19.5</v>
      </c>
      <c r="S293">
        <f t="shared" ca="1" si="50"/>
        <v>0.22675162082425881</v>
      </c>
      <c r="T293">
        <f t="shared" ca="1" si="51"/>
        <v>19.72675162082426</v>
      </c>
      <c r="U293">
        <f t="shared" ca="1" si="52"/>
        <v>45.015013980436379</v>
      </c>
    </row>
    <row r="294" spans="1:21" x14ac:dyDescent="0.45">
      <c r="A294">
        <f t="shared" ca="1" si="44"/>
        <v>16</v>
      </c>
      <c r="B294">
        <v>0.4</v>
      </c>
      <c r="C294">
        <f t="shared" ca="1" si="45"/>
        <v>16.3</v>
      </c>
      <c r="E294" s="3">
        <v>6506</v>
      </c>
      <c r="F294">
        <v>7.92</v>
      </c>
      <c r="G294">
        <v>6.7</v>
      </c>
      <c r="H294">
        <v>62.8</v>
      </c>
      <c r="I294">
        <v>13.21</v>
      </c>
      <c r="J294">
        <v>7.35</v>
      </c>
      <c r="K294">
        <f t="shared" ca="1" si="46"/>
        <v>0.21348897973216979</v>
      </c>
      <c r="M294">
        <f t="shared" ref="M294:M325" ca="1" si="54">N294-A294-Q294</f>
        <v>27.448723617263987</v>
      </c>
      <c r="N294">
        <f t="shared" ca="1" si="47"/>
        <v>47.948723617263987</v>
      </c>
      <c r="O294">
        <f t="shared" ca="1" si="48"/>
        <v>20.396789032521195</v>
      </c>
      <c r="P294">
        <v>15.138461538461501</v>
      </c>
      <c r="Q294">
        <v>4.5</v>
      </c>
      <c r="R294">
        <f t="shared" ca="1" si="49"/>
        <v>19.5</v>
      </c>
      <c r="S294">
        <f t="shared" ca="1" si="50"/>
        <v>0.89678903252119557</v>
      </c>
      <c r="T294">
        <f t="shared" ca="1" si="51"/>
        <v>20.396789032521195</v>
      </c>
      <c r="U294">
        <f t="shared" ca="1" si="52"/>
        <v>47.948723617263987</v>
      </c>
    </row>
    <row r="295" spans="1:21" x14ac:dyDescent="0.45">
      <c r="A295">
        <f t="shared" ca="1" si="44"/>
        <v>20</v>
      </c>
      <c r="B295">
        <v>0.4</v>
      </c>
      <c r="C295">
        <f t="shared" ca="1" si="45"/>
        <v>15.4</v>
      </c>
      <c r="D295">
        <v>41.4</v>
      </c>
      <c r="E295" s="3">
        <v>6255</v>
      </c>
      <c r="F295">
        <v>12.92</v>
      </c>
      <c r="G295">
        <v>12.94</v>
      </c>
      <c r="H295">
        <v>51.7</v>
      </c>
      <c r="I295">
        <v>12.73</v>
      </c>
      <c r="J295">
        <v>7.23</v>
      </c>
      <c r="K295">
        <f t="shared" ca="1" si="46"/>
        <v>0.26039678939541905</v>
      </c>
      <c r="M295">
        <f t="shared" ca="1" si="54"/>
        <v>21.121612185656069</v>
      </c>
      <c r="N295">
        <f t="shared" ca="1" si="47"/>
        <v>45.621612185656069</v>
      </c>
      <c r="O295">
        <f t="shared" ca="1" si="48"/>
        <v>20.253558691433433</v>
      </c>
      <c r="P295">
        <v>13.6885714285714</v>
      </c>
      <c r="Q295">
        <v>4.5</v>
      </c>
      <c r="R295">
        <f t="shared" ca="1" si="49"/>
        <v>19.600000000000001</v>
      </c>
      <c r="S295">
        <f t="shared" ca="1" si="50"/>
        <v>0.65355869143343615</v>
      </c>
      <c r="T295">
        <f t="shared" ca="1" si="51"/>
        <v>20.253558691433437</v>
      </c>
      <c r="U295">
        <f t="shared" ca="1" si="52"/>
        <v>45.621612185656069</v>
      </c>
    </row>
    <row r="296" spans="1:21" x14ac:dyDescent="0.45">
      <c r="A296">
        <f t="shared" ca="1" si="44"/>
        <v>16</v>
      </c>
      <c r="B296">
        <v>0.41</v>
      </c>
      <c r="C296">
        <f t="shared" ca="1" si="45"/>
        <v>15.8</v>
      </c>
      <c r="D296">
        <v>35.21</v>
      </c>
      <c r="E296" s="3">
        <v>6627</v>
      </c>
      <c r="F296">
        <v>10.56</v>
      </c>
      <c r="G296">
        <v>5.94</v>
      </c>
      <c r="H296">
        <v>64.5</v>
      </c>
      <c r="I296">
        <v>12.05</v>
      </c>
      <c r="J296">
        <v>7.4</v>
      </c>
      <c r="K296">
        <f t="shared" ca="1" si="46"/>
        <v>0.16988311127717096</v>
      </c>
      <c r="M296">
        <f t="shared" ca="1" si="54"/>
        <v>27.371761472000259</v>
      </c>
      <c r="N296">
        <f t="shared" ca="1" si="47"/>
        <v>47.871761472000259</v>
      </c>
      <c r="O296">
        <f t="shared" ca="1" si="48"/>
        <v>19.802906156993537</v>
      </c>
      <c r="P296">
        <v>8.3958620689655206</v>
      </c>
      <c r="Q296">
        <v>4.5</v>
      </c>
      <c r="R296">
        <f t="shared" ca="1" si="49"/>
        <v>19.399999999999999</v>
      </c>
      <c r="S296">
        <f t="shared" ca="1" si="50"/>
        <v>0.40290615699354126</v>
      </c>
      <c r="T296">
        <f t="shared" ca="1" si="51"/>
        <v>19.80290615699354</v>
      </c>
      <c r="U296">
        <f t="shared" ca="1" si="52"/>
        <v>47.871761472000259</v>
      </c>
    </row>
    <row r="297" spans="1:21" x14ac:dyDescent="0.45">
      <c r="A297">
        <f t="shared" ca="1" si="44"/>
        <v>16</v>
      </c>
      <c r="B297">
        <v>0.41</v>
      </c>
      <c r="C297">
        <f t="shared" ca="1" si="45"/>
        <v>16.3</v>
      </c>
      <c r="D297">
        <v>46.48</v>
      </c>
      <c r="E297" s="3">
        <v>6214</v>
      </c>
      <c r="F297">
        <v>9</v>
      </c>
      <c r="G297">
        <v>9.36</v>
      </c>
      <c r="H297">
        <v>50.7</v>
      </c>
      <c r="I297">
        <v>12.63</v>
      </c>
      <c r="J297">
        <v>7.2</v>
      </c>
      <c r="K297">
        <f t="shared" ca="1" si="46"/>
        <v>0.19093617631787779</v>
      </c>
      <c r="M297">
        <f t="shared" ca="1" si="54"/>
        <v>28.438822357895816</v>
      </c>
      <c r="N297">
        <f t="shared" ca="1" si="47"/>
        <v>48.938822357895816</v>
      </c>
      <c r="O297">
        <f t="shared" ca="1" si="48"/>
        <v>19.984134330976786</v>
      </c>
      <c r="P297">
        <v>5.4993865030674796</v>
      </c>
      <c r="Q297">
        <v>4.5</v>
      </c>
      <c r="R297">
        <f t="shared" ca="1" si="49"/>
        <v>19.600000000000001</v>
      </c>
      <c r="S297">
        <f t="shared" ca="1" si="50"/>
        <v>0.38413433097678107</v>
      </c>
      <c r="T297">
        <f t="shared" ca="1" si="51"/>
        <v>19.984134330976783</v>
      </c>
      <c r="U297">
        <f t="shared" ca="1" si="52"/>
        <v>48.938822357895816</v>
      </c>
    </row>
    <row r="298" spans="1:21" x14ac:dyDescent="0.45">
      <c r="A298">
        <f t="shared" ca="1" si="44"/>
        <v>22</v>
      </c>
      <c r="B298">
        <v>0.41</v>
      </c>
      <c r="C298">
        <f t="shared" ca="1" si="45"/>
        <v>15</v>
      </c>
      <c r="D298">
        <v>44.13</v>
      </c>
      <c r="E298" s="3">
        <v>6042</v>
      </c>
      <c r="F298">
        <v>15.08</v>
      </c>
      <c r="G298">
        <v>9.48</v>
      </c>
      <c r="H298">
        <v>49.5</v>
      </c>
      <c r="I298">
        <v>13.18</v>
      </c>
      <c r="J298">
        <v>7.04</v>
      </c>
      <c r="K298">
        <f t="shared" ca="1" si="46"/>
        <v>0.34076342127798526</v>
      </c>
      <c r="M298">
        <f t="shared" ca="1" si="54"/>
        <v>18.018365870881311</v>
      </c>
      <c r="N298">
        <f t="shared" ca="1" si="47"/>
        <v>44.518365870881311</v>
      </c>
      <c r="O298">
        <f t="shared" ca="1" si="48"/>
        <v>20.216375475468077</v>
      </c>
      <c r="P298">
        <v>9.702</v>
      </c>
      <c r="Q298">
        <v>4.5</v>
      </c>
      <c r="R298">
        <f t="shared" ca="1" si="49"/>
        <v>19.7</v>
      </c>
      <c r="S298">
        <f t="shared" ca="1" si="50"/>
        <v>0.51637547546807894</v>
      </c>
      <c r="T298">
        <f t="shared" ca="1" si="51"/>
        <v>20.216375475468077</v>
      </c>
      <c r="U298">
        <f t="shared" ca="1" si="52"/>
        <v>44.518365870881311</v>
      </c>
    </row>
    <row r="299" spans="1:21" x14ac:dyDescent="0.45">
      <c r="A299">
        <f t="shared" ca="1" si="44"/>
        <v>16</v>
      </c>
      <c r="B299">
        <v>0.41</v>
      </c>
      <c r="C299">
        <f t="shared" ca="1" si="45"/>
        <v>14.5</v>
      </c>
      <c r="D299">
        <v>33.119999999999997</v>
      </c>
      <c r="E299" s="3">
        <v>6417</v>
      </c>
      <c r="F299">
        <v>8.6</v>
      </c>
      <c r="G299">
        <v>8.26</v>
      </c>
      <c r="H299">
        <v>63.8</v>
      </c>
      <c r="I299">
        <v>12.59</v>
      </c>
      <c r="J299">
        <v>7.12</v>
      </c>
      <c r="K299">
        <f t="shared" ca="1" si="46"/>
        <v>0.22723620390885224</v>
      </c>
      <c r="M299">
        <f t="shared" ca="1" si="54"/>
        <v>24.07186841668107</v>
      </c>
      <c r="N299">
        <f t="shared" ca="1" si="47"/>
        <v>44.57186841668107</v>
      </c>
      <c r="O299">
        <f t="shared" ca="1" si="48"/>
        <v>19.519038149058197</v>
      </c>
      <c r="P299">
        <v>7.2092307692307704</v>
      </c>
      <c r="Q299">
        <v>4.5</v>
      </c>
      <c r="R299">
        <f t="shared" ca="1" si="49"/>
        <v>19.399999999999999</v>
      </c>
      <c r="S299">
        <f t="shared" ca="1" si="50"/>
        <v>0.11903814905819976</v>
      </c>
      <c r="T299">
        <f t="shared" ca="1" si="51"/>
        <v>19.519038149058197</v>
      </c>
      <c r="U299">
        <f t="shared" ca="1" si="52"/>
        <v>44.57186841668107</v>
      </c>
    </row>
    <row r="300" spans="1:21" x14ac:dyDescent="0.45">
      <c r="A300">
        <f t="shared" ca="1" si="44"/>
        <v>21</v>
      </c>
      <c r="B300">
        <v>0.41</v>
      </c>
      <c r="C300">
        <f t="shared" ca="1" si="45"/>
        <v>15.4</v>
      </c>
      <c r="D300">
        <v>33.69</v>
      </c>
      <c r="E300" s="3">
        <v>5780</v>
      </c>
      <c r="F300">
        <v>9.01</v>
      </c>
      <c r="G300">
        <v>7.02</v>
      </c>
      <c r="H300">
        <v>50.9</v>
      </c>
      <c r="I300">
        <v>12.46</v>
      </c>
      <c r="J300">
        <v>7.1</v>
      </c>
      <c r="K300">
        <f t="shared" ca="1" si="46"/>
        <v>0.28540862173254927</v>
      </c>
      <c r="M300">
        <f t="shared" ca="1" si="54"/>
        <v>18.780091391292132</v>
      </c>
      <c r="N300">
        <f t="shared" ca="1" si="47"/>
        <v>44.280091391292132</v>
      </c>
      <c r="O300">
        <f t="shared" ca="1" si="48"/>
        <v>20.867165603495309</v>
      </c>
      <c r="P300">
        <v>8.3781818181818206</v>
      </c>
      <c r="Q300">
        <v>4.5</v>
      </c>
      <c r="R300">
        <f t="shared" ca="1" si="49"/>
        <v>20</v>
      </c>
      <c r="S300">
        <f t="shared" ca="1" si="50"/>
        <v>0.86716560349531113</v>
      </c>
      <c r="T300">
        <f t="shared" ca="1" si="51"/>
        <v>20.867165603495312</v>
      </c>
      <c r="U300">
        <f t="shared" ca="1" si="52"/>
        <v>44.280091391292132</v>
      </c>
    </row>
    <row r="301" spans="1:21" x14ac:dyDescent="0.45">
      <c r="A301">
        <f t="shared" ca="1" si="44"/>
        <v>22</v>
      </c>
      <c r="B301">
        <v>0.42</v>
      </c>
      <c r="C301">
        <f t="shared" ca="1" si="45"/>
        <v>15</v>
      </c>
      <c r="D301">
        <v>19.55</v>
      </c>
      <c r="E301" s="3">
        <v>6500</v>
      </c>
      <c r="F301">
        <v>12.06</v>
      </c>
      <c r="G301">
        <v>0.16</v>
      </c>
      <c r="H301">
        <v>65.3</v>
      </c>
      <c r="I301">
        <v>11.03</v>
      </c>
      <c r="J301">
        <v>7.28</v>
      </c>
      <c r="K301">
        <f t="shared" ca="1" si="46"/>
        <v>0.19522369103408815</v>
      </c>
      <c r="M301">
        <f t="shared" ca="1" si="54"/>
        <v>19.208734248064232</v>
      </c>
      <c r="N301">
        <f t="shared" ca="1" si="47"/>
        <v>45.708734248064232</v>
      </c>
      <c r="O301">
        <f t="shared" ca="1" si="48"/>
        <v>19.689891107367846</v>
      </c>
      <c r="P301">
        <v>5.5701030927835102</v>
      </c>
      <c r="Q301">
        <v>4.5</v>
      </c>
      <c r="R301">
        <f t="shared" ca="1" si="49"/>
        <v>19.3</v>
      </c>
      <c r="S301">
        <f t="shared" ca="1" si="50"/>
        <v>0.3898911073678436</v>
      </c>
      <c r="T301">
        <f t="shared" ca="1" si="51"/>
        <v>19.689891107367846</v>
      </c>
      <c r="U301">
        <f t="shared" ca="1" si="52"/>
        <v>45.708734248064232</v>
      </c>
    </row>
    <row r="302" spans="1:21" x14ac:dyDescent="0.45">
      <c r="A302">
        <f t="shared" ca="1" si="44"/>
        <v>22</v>
      </c>
      <c r="B302">
        <v>0.42</v>
      </c>
      <c r="C302">
        <f t="shared" ca="1" si="45"/>
        <v>16.5</v>
      </c>
      <c r="D302">
        <v>33.700000000000003</v>
      </c>
      <c r="E302" s="3">
        <v>6423</v>
      </c>
      <c r="F302">
        <v>4.7300000000000004</v>
      </c>
      <c r="G302">
        <v>5.44</v>
      </c>
      <c r="H302">
        <v>60.21</v>
      </c>
      <c r="I302">
        <v>12.34</v>
      </c>
      <c r="J302">
        <v>7.4</v>
      </c>
      <c r="K302">
        <f t="shared" ca="1" si="46"/>
        <v>0.2298406377384892</v>
      </c>
      <c r="M302">
        <f t="shared" ca="1" si="54"/>
        <v>21.493153032496764</v>
      </c>
      <c r="N302">
        <f t="shared" ca="1" si="47"/>
        <v>47.993153032496764</v>
      </c>
      <c r="O302">
        <f t="shared" ca="1" si="48"/>
        <v>20.627942476079006</v>
      </c>
      <c r="P302">
        <v>9.1131147540983601</v>
      </c>
      <c r="Q302">
        <v>4.5</v>
      </c>
      <c r="R302">
        <f t="shared" ca="1" si="49"/>
        <v>19.899999999999999</v>
      </c>
      <c r="S302">
        <f t="shared" ca="1" si="50"/>
        <v>0.72794247607900708</v>
      </c>
      <c r="T302">
        <f t="shared" ca="1" si="51"/>
        <v>20.627942476079006</v>
      </c>
      <c r="U302">
        <f t="shared" ca="1" si="52"/>
        <v>47.993153032496764</v>
      </c>
    </row>
    <row r="303" spans="1:21" x14ac:dyDescent="0.45">
      <c r="A303">
        <f t="shared" ca="1" si="44"/>
        <v>19</v>
      </c>
      <c r="B303">
        <v>0.42</v>
      </c>
      <c r="C303">
        <f t="shared" ca="1" si="45"/>
        <v>14.7</v>
      </c>
      <c r="D303">
        <v>39</v>
      </c>
      <c r="E303" s="3">
        <v>7546</v>
      </c>
      <c r="H303">
        <v>52</v>
      </c>
      <c r="I303">
        <v>12.48</v>
      </c>
      <c r="J303">
        <v>7.3</v>
      </c>
      <c r="K303">
        <f t="shared" ca="1" si="46"/>
        <v>0.25049505928734245</v>
      </c>
      <c r="M303">
        <f t="shared" ca="1" si="54"/>
        <v>20.679050575836037</v>
      </c>
      <c r="N303">
        <f t="shared" ca="1" si="47"/>
        <v>44.179050575836037</v>
      </c>
      <c r="O303">
        <f t="shared" ca="1" si="48"/>
        <v>19.9642135470067</v>
      </c>
      <c r="P303">
        <v>17.695890410958899</v>
      </c>
      <c r="Q303">
        <v>4.5</v>
      </c>
      <c r="R303">
        <f t="shared" ca="1" si="49"/>
        <v>19.899999999999999</v>
      </c>
      <c r="S303">
        <f t="shared" ca="1" si="50"/>
        <v>6.42135470067009E-2</v>
      </c>
      <c r="T303">
        <f t="shared" ca="1" si="51"/>
        <v>19.9642135470067</v>
      </c>
      <c r="U303">
        <f t="shared" ca="1" si="52"/>
        <v>44.179050575836037</v>
      </c>
    </row>
    <row r="304" spans="1:21" x14ac:dyDescent="0.45">
      <c r="A304">
        <f t="shared" ca="1" si="44"/>
        <v>17</v>
      </c>
      <c r="B304">
        <v>0.42</v>
      </c>
      <c r="C304">
        <f t="shared" ca="1" si="45"/>
        <v>16.3</v>
      </c>
      <c r="D304">
        <v>33.6</v>
      </c>
      <c r="E304" s="3">
        <v>6154</v>
      </c>
      <c r="F304">
        <v>9.8000000000000007</v>
      </c>
      <c r="G304">
        <v>9.98</v>
      </c>
      <c r="H304">
        <v>52.6</v>
      </c>
      <c r="I304">
        <v>12.17</v>
      </c>
      <c r="J304">
        <v>7.2</v>
      </c>
      <c r="K304">
        <f t="shared" ca="1" si="46"/>
        <v>0.17847827146253911</v>
      </c>
      <c r="M304">
        <f t="shared" ca="1" si="54"/>
        <v>27.846526970893237</v>
      </c>
      <c r="N304">
        <f t="shared" ca="1" si="47"/>
        <v>49.346526970893237</v>
      </c>
      <c r="O304">
        <f t="shared" ca="1" si="48"/>
        <v>19.81902395232126</v>
      </c>
      <c r="P304">
        <v>8.2951456310679603</v>
      </c>
      <c r="Q304">
        <v>4.5</v>
      </c>
      <c r="R304">
        <f t="shared" ca="1" si="49"/>
        <v>19.600000000000001</v>
      </c>
      <c r="S304">
        <f t="shared" ca="1" si="50"/>
        <v>0.21902395232125427</v>
      </c>
      <c r="T304">
        <f t="shared" ca="1" si="51"/>
        <v>19.819023952321256</v>
      </c>
      <c r="U304">
        <f t="shared" ca="1" si="52"/>
        <v>49.346526970893237</v>
      </c>
    </row>
    <row r="305" spans="1:21" x14ac:dyDescent="0.45">
      <c r="A305">
        <f t="shared" ca="1" si="44"/>
        <v>17</v>
      </c>
      <c r="B305">
        <v>0.43</v>
      </c>
      <c r="C305">
        <f t="shared" ca="1" si="45"/>
        <v>16.399999999999999</v>
      </c>
      <c r="D305">
        <v>41</v>
      </c>
      <c r="E305" s="3">
        <v>6355</v>
      </c>
      <c r="F305">
        <v>11.67</v>
      </c>
      <c r="G305">
        <v>10.24</v>
      </c>
      <c r="H305">
        <v>51.1</v>
      </c>
      <c r="I305">
        <v>12.73</v>
      </c>
      <c r="J305">
        <v>7.21</v>
      </c>
      <c r="K305">
        <f t="shared" ca="1" si="46"/>
        <v>0.19389420957771905</v>
      </c>
      <c r="M305">
        <f t="shared" ca="1" si="54"/>
        <v>28.469132791649493</v>
      </c>
      <c r="N305">
        <f t="shared" ca="1" si="47"/>
        <v>49.969132791649493</v>
      </c>
      <c r="O305">
        <f t="shared" ca="1" si="48"/>
        <v>19.692156838159885</v>
      </c>
      <c r="P305">
        <v>15.082191780821899</v>
      </c>
      <c r="Q305">
        <v>4.5</v>
      </c>
      <c r="R305">
        <f t="shared" ca="1" si="49"/>
        <v>19.399999999999999</v>
      </c>
      <c r="S305">
        <f t="shared" ca="1" si="50"/>
        <v>0.29215683815988835</v>
      </c>
      <c r="T305">
        <f t="shared" ca="1" si="51"/>
        <v>19.692156838159885</v>
      </c>
      <c r="U305">
        <f t="shared" ca="1" si="52"/>
        <v>49.969132791649493</v>
      </c>
    </row>
    <row r="306" spans="1:21" x14ac:dyDescent="0.45">
      <c r="A306">
        <f t="shared" ca="1" si="44"/>
        <v>20</v>
      </c>
      <c r="B306">
        <v>0.44</v>
      </c>
      <c r="C306">
        <f t="shared" ca="1" si="45"/>
        <v>15.7</v>
      </c>
      <c r="D306">
        <v>34.67</v>
      </c>
      <c r="E306" s="3">
        <v>6326</v>
      </c>
      <c r="F306">
        <v>8.4600000000000009</v>
      </c>
      <c r="G306">
        <v>5.88</v>
      </c>
      <c r="H306">
        <v>60.25</v>
      </c>
      <c r="I306">
        <v>12.21</v>
      </c>
      <c r="J306">
        <v>7.3</v>
      </c>
      <c r="K306">
        <f t="shared" ca="1" si="46"/>
        <v>0.22065350308838683</v>
      </c>
      <c r="M306">
        <f t="shared" ca="1" si="54"/>
        <v>22.252082705585735</v>
      </c>
      <c r="N306">
        <f t="shared" ca="1" si="47"/>
        <v>46.752082705585735</v>
      </c>
      <c r="O306">
        <f t="shared" ca="1" si="48"/>
        <v>20.148834992701918</v>
      </c>
      <c r="P306">
        <v>9.5179487179487197</v>
      </c>
      <c r="Q306">
        <v>4.5</v>
      </c>
      <c r="R306">
        <f t="shared" ca="1" si="49"/>
        <v>19.600000000000001</v>
      </c>
      <c r="S306">
        <f t="shared" ca="1" si="50"/>
        <v>0.54883499270191749</v>
      </c>
      <c r="T306">
        <f t="shared" ca="1" si="51"/>
        <v>20.148834992701918</v>
      </c>
      <c r="U306">
        <f t="shared" ca="1" si="52"/>
        <v>46.752082705585735</v>
      </c>
    </row>
    <row r="307" spans="1:21" x14ac:dyDescent="0.45">
      <c r="A307">
        <f t="shared" ca="1" si="44"/>
        <v>18</v>
      </c>
      <c r="B307">
        <v>0.44</v>
      </c>
      <c r="C307">
        <f t="shared" ca="1" si="45"/>
        <v>15</v>
      </c>
      <c r="D307">
        <v>35.729999999999997</v>
      </c>
      <c r="E307" s="3">
        <v>6623</v>
      </c>
      <c r="F307">
        <v>9.57</v>
      </c>
      <c r="G307">
        <v>6.09</v>
      </c>
      <c r="H307" t="s">
        <v>23</v>
      </c>
      <c r="I307">
        <v>11.33</v>
      </c>
      <c r="J307">
        <v>7.4</v>
      </c>
      <c r="K307">
        <f t="shared" ca="1" si="46"/>
        <v>0.18790220636649443</v>
      </c>
      <c r="M307">
        <f t="shared" ca="1" si="54"/>
        <v>20.915134931064721</v>
      </c>
      <c r="N307">
        <f t="shared" ca="1" si="47"/>
        <v>43.415134931064721</v>
      </c>
      <c r="O307">
        <f t="shared" ca="1" si="48"/>
        <v>20.730097958443181</v>
      </c>
      <c r="P307">
        <v>11.09375</v>
      </c>
      <c r="Q307">
        <v>4.5</v>
      </c>
      <c r="R307">
        <f t="shared" ca="1" si="49"/>
        <v>20</v>
      </c>
      <c r="S307">
        <f t="shared" ca="1" si="50"/>
        <v>0.7300979584431817</v>
      </c>
      <c r="T307">
        <f t="shared" ca="1" si="51"/>
        <v>20.730097958443181</v>
      </c>
      <c r="U307">
        <f t="shared" ca="1" si="52"/>
        <v>43.415134931064721</v>
      </c>
    </row>
    <row r="308" spans="1:21" x14ac:dyDescent="0.45">
      <c r="A308">
        <f t="shared" ca="1" si="44"/>
        <v>16</v>
      </c>
      <c r="B308">
        <v>0.45</v>
      </c>
      <c r="C308">
        <f t="shared" ca="1" si="45"/>
        <v>16.100000000000001</v>
      </c>
      <c r="D308">
        <v>41.64</v>
      </c>
      <c r="E308" s="3">
        <v>6318</v>
      </c>
      <c r="F308">
        <v>9.49</v>
      </c>
      <c r="G308">
        <v>7.47</v>
      </c>
      <c r="H308">
        <v>56.4</v>
      </c>
      <c r="I308">
        <v>13.3</v>
      </c>
      <c r="J308">
        <v>7.3</v>
      </c>
      <c r="K308">
        <f t="shared" ca="1" si="46"/>
        <v>0.21976490599849441</v>
      </c>
      <c r="M308">
        <f t="shared" ca="1" si="54"/>
        <v>27.301902333947289</v>
      </c>
      <c r="N308">
        <f t="shared" ca="1" si="47"/>
        <v>47.801902333947289</v>
      </c>
      <c r="O308">
        <f t="shared" ca="1" si="48"/>
        <v>20.208400771405696</v>
      </c>
      <c r="P308">
        <v>10.663043478260899</v>
      </c>
      <c r="Q308">
        <v>4.5</v>
      </c>
      <c r="R308">
        <f t="shared" ca="1" si="49"/>
        <v>19.5</v>
      </c>
      <c r="S308">
        <f t="shared" ca="1" si="50"/>
        <v>0.70840077140569468</v>
      </c>
      <c r="T308">
        <f t="shared" ca="1" si="51"/>
        <v>20.208400771405696</v>
      </c>
      <c r="U308">
        <f t="shared" ca="1" si="52"/>
        <v>47.801902333947289</v>
      </c>
    </row>
    <row r="309" spans="1:21" x14ac:dyDescent="0.45">
      <c r="A309">
        <f t="shared" ca="1" si="44"/>
        <v>19</v>
      </c>
      <c r="B309">
        <v>0.46</v>
      </c>
      <c r="C309">
        <f t="shared" ca="1" si="45"/>
        <v>16.399999999999999</v>
      </c>
      <c r="D309">
        <v>46.78</v>
      </c>
      <c r="E309" s="3">
        <v>6518</v>
      </c>
      <c r="F309">
        <v>11.4</v>
      </c>
      <c r="G309">
        <v>8.19</v>
      </c>
      <c r="H309">
        <v>71.900000000000006</v>
      </c>
      <c r="I309">
        <v>12.31</v>
      </c>
      <c r="J309">
        <v>7.3</v>
      </c>
      <c r="K309">
        <f t="shared" ca="1" si="46"/>
        <v>0.20231294668627728</v>
      </c>
      <c r="M309">
        <f t="shared" ca="1" si="54"/>
        <v>24.763615389226224</v>
      </c>
      <c r="N309">
        <f t="shared" ca="1" si="47"/>
        <v>48.263615389226224</v>
      </c>
      <c r="O309">
        <f t="shared" ca="1" si="48"/>
        <v>20.388029203043416</v>
      </c>
      <c r="P309">
        <v>8.7861386138613895</v>
      </c>
      <c r="Q309">
        <v>4.5</v>
      </c>
      <c r="R309">
        <f t="shared" ca="1" si="49"/>
        <v>19.8</v>
      </c>
      <c r="S309">
        <f t="shared" ca="1" si="50"/>
        <v>0.58802920304341644</v>
      </c>
      <c r="T309">
        <f t="shared" ca="1" si="51"/>
        <v>20.388029203043416</v>
      </c>
      <c r="U309">
        <f t="shared" ca="1" si="52"/>
        <v>48.263615389226224</v>
      </c>
    </row>
    <row r="310" spans="1:21" x14ac:dyDescent="0.45">
      <c r="A310">
        <f t="shared" ca="1" si="44"/>
        <v>19</v>
      </c>
      <c r="B310">
        <v>0.46</v>
      </c>
      <c r="C310">
        <f t="shared" ca="1" si="45"/>
        <v>14.5</v>
      </c>
      <c r="D310">
        <v>34.04</v>
      </c>
      <c r="E310" s="3">
        <v>6284</v>
      </c>
      <c r="F310">
        <v>12.71</v>
      </c>
      <c r="G310">
        <v>13.24</v>
      </c>
      <c r="H310">
        <v>67.099999999999994</v>
      </c>
      <c r="I310">
        <v>12.68</v>
      </c>
      <c r="J310">
        <v>7.4</v>
      </c>
      <c r="K310">
        <f t="shared" ca="1" si="46"/>
        <v>0.26213956988559795</v>
      </c>
      <c r="M310">
        <f t="shared" ca="1" si="54"/>
        <v>20.141941952160366</v>
      </c>
      <c r="N310">
        <f t="shared" ca="1" si="47"/>
        <v>43.641941952160366</v>
      </c>
      <c r="O310">
        <f t="shared" ca="1" si="48"/>
        <v>19.934951587481617</v>
      </c>
      <c r="P310">
        <v>9.7874999999999996</v>
      </c>
      <c r="Q310">
        <v>4.5</v>
      </c>
      <c r="R310">
        <f t="shared" ca="1" si="49"/>
        <v>19.3</v>
      </c>
      <c r="S310">
        <f t="shared" ca="1" si="50"/>
        <v>0.63495158748161828</v>
      </c>
      <c r="T310">
        <f t="shared" ca="1" si="51"/>
        <v>19.934951587481621</v>
      </c>
      <c r="U310">
        <f t="shared" ca="1" si="52"/>
        <v>43.641941952160366</v>
      </c>
    </row>
    <row r="311" spans="1:21" x14ac:dyDescent="0.45">
      <c r="A311">
        <f t="shared" ca="1" si="44"/>
        <v>19</v>
      </c>
      <c r="B311">
        <v>0.46</v>
      </c>
      <c r="C311">
        <f t="shared" ca="1" si="45"/>
        <v>16</v>
      </c>
      <c r="D311">
        <v>38.020000000000003</v>
      </c>
      <c r="E311" s="3">
        <v>5358</v>
      </c>
      <c r="F311">
        <v>9.07</v>
      </c>
      <c r="G311">
        <v>6.34</v>
      </c>
      <c r="H311">
        <v>72.400000000000006</v>
      </c>
      <c r="I311">
        <v>12.35</v>
      </c>
      <c r="J311">
        <v>7.4</v>
      </c>
      <c r="K311">
        <f t="shared" ca="1" si="46"/>
        <v>0.20461711567644777</v>
      </c>
      <c r="M311">
        <f t="shared" ca="1" si="54"/>
        <v>24.191524661246916</v>
      </c>
      <c r="N311">
        <f t="shared" ca="1" si="47"/>
        <v>47.691524661246916</v>
      </c>
      <c r="O311">
        <f t="shared" ca="1" si="48"/>
        <v>20.129362749857208</v>
      </c>
      <c r="P311">
        <v>8.5761467889908296</v>
      </c>
      <c r="Q311">
        <v>4.5</v>
      </c>
      <c r="R311">
        <f t="shared" ca="1" si="49"/>
        <v>19.399999999999999</v>
      </c>
      <c r="S311">
        <f t="shared" ca="1" si="50"/>
        <v>0.72936274985720806</v>
      </c>
      <c r="T311">
        <f t="shared" ca="1" si="51"/>
        <v>20.129362749857208</v>
      </c>
      <c r="U311">
        <f t="shared" ca="1" si="52"/>
        <v>47.691524661246916</v>
      </c>
    </row>
    <row r="312" spans="1:21" x14ac:dyDescent="0.45">
      <c r="A312">
        <f t="shared" ca="1" si="44"/>
        <v>17</v>
      </c>
      <c r="B312">
        <v>0.47</v>
      </c>
      <c r="C312">
        <f t="shared" ca="1" si="45"/>
        <v>16.399999999999999</v>
      </c>
      <c r="D312">
        <v>35.950000000000003</v>
      </c>
      <c r="E312" s="3">
        <v>6482</v>
      </c>
      <c r="F312">
        <v>7.92</v>
      </c>
      <c r="G312">
        <v>8.57</v>
      </c>
      <c r="H312">
        <v>61.2</v>
      </c>
      <c r="I312">
        <v>12.43</v>
      </c>
      <c r="J312">
        <v>7.32</v>
      </c>
      <c r="K312">
        <f t="shared" ca="1" si="46"/>
        <v>0.17471259932285968</v>
      </c>
      <c r="M312">
        <f t="shared" ca="1" si="54"/>
        <v>29.248033741155602</v>
      </c>
      <c r="N312">
        <f t="shared" ca="1" si="47"/>
        <v>50.748033741155602</v>
      </c>
      <c r="O312">
        <f t="shared" ca="1" si="48"/>
        <v>19.38991380471942</v>
      </c>
      <c r="P312">
        <v>7.8100840336134496</v>
      </c>
      <c r="Q312">
        <v>4.5</v>
      </c>
      <c r="R312">
        <f t="shared" ca="1" si="49"/>
        <v>19.100000000000001</v>
      </c>
      <c r="S312">
        <f t="shared" ca="1" si="50"/>
        <v>0.28991380471941941</v>
      </c>
      <c r="T312">
        <f t="shared" ca="1" si="51"/>
        <v>19.38991380471942</v>
      </c>
      <c r="U312">
        <f t="shared" ca="1" si="52"/>
        <v>50.748033741155602</v>
      </c>
    </row>
    <row r="313" spans="1:21" x14ac:dyDescent="0.45">
      <c r="A313">
        <f t="shared" ca="1" si="44"/>
        <v>19</v>
      </c>
      <c r="B313">
        <v>0.47</v>
      </c>
      <c r="C313">
        <f t="shared" ca="1" si="45"/>
        <v>16.2</v>
      </c>
      <c r="D313">
        <v>38.67</v>
      </c>
      <c r="E313" s="3">
        <v>6984</v>
      </c>
      <c r="F313">
        <v>8.58</v>
      </c>
      <c r="G313">
        <v>7.12</v>
      </c>
      <c r="H313">
        <v>63.2</v>
      </c>
      <c r="I313">
        <v>12.1</v>
      </c>
      <c r="J313">
        <v>7.2</v>
      </c>
      <c r="K313">
        <f t="shared" ca="1" si="46"/>
        <v>0.18818508640392068</v>
      </c>
      <c r="M313">
        <f t="shared" ca="1" si="54"/>
        <v>26.038195128186906</v>
      </c>
      <c r="N313">
        <f t="shared" ca="1" si="47"/>
        <v>49.538195128186906</v>
      </c>
      <c r="O313">
        <f t="shared" ca="1" si="48"/>
        <v>19.621223532363583</v>
      </c>
      <c r="P313">
        <v>11.3052631578947</v>
      </c>
      <c r="Q313">
        <v>4.5</v>
      </c>
      <c r="R313">
        <f t="shared" ca="1" si="49"/>
        <v>19.399999999999999</v>
      </c>
      <c r="S313">
        <f t="shared" ca="1" si="50"/>
        <v>0.2212235323635845</v>
      </c>
      <c r="T313">
        <f t="shared" ca="1" si="51"/>
        <v>19.621223532363583</v>
      </c>
      <c r="U313">
        <f t="shared" ca="1" si="52"/>
        <v>49.538195128186906</v>
      </c>
    </row>
    <row r="314" spans="1:21" x14ac:dyDescent="0.45">
      <c r="A314">
        <f t="shared" ca="1" si="44"/>
        <v>17</v>
      </c>
      <c r="B314">
        <v>0.49</v>
      </c>
      <c r="C314">
        <f t="shared" ca="1" si="45"/>
        <v>16.399999999999999</v>
      </c>
      <c r="D314">
        <v>33.21</v>
      </c>
      <c r="E314" s="3">
        <v>6545</v>
      </c>
      <c r="F314">
        <v>10.6</v>
      </c>
      <c r="G314">
        <v>8.8699999999999992</v>
      </c>
      <c r="H314">
        <v>64.2</v>
      </c>
      <c r="I314">
        <v>11.4</v>
      </c>
      <c r="J314">
        <v>7.3</v>
      </c>
      <c r="K314">
        <f t="shared" ca="1" si="46"/>
        <v>0.14821603267500225</v>
      </c>
      <c r="M314">
        <f t="shared" ca="1" si="54"/>
        <v>27.662324554255164</v>
      </c>
      <c r="N314">
        <f t="shared" ca="1" si="47"/>
        <v>49.162324554255164</v>
      </c>
      <c r="O314">
        <f t="shared" ca="1" si="48"/>
        <v>20.015326958636081</v>
      </c>
      <c r="P314">
        <v>8.0582278481012608</v>
      </c>
      <c r="Q314">
        <v>4.5</v>
      </c>
      <c r="R314">
        <f t="shared" ca="1" si="49"/>
        <v>19.600000000000001</v>
      </c>
      <c r="S314">
        <f t="shared" ca="1" si="50"/>
        <v>0.41532695863607894</v>
      </c>
      <c r="T314">
        <f t="shared" ca="1" si="51"/>
        <v>20.015326958636081</v>
      </c>
      <c r="U314">
        <f t="shared" ca="1" si="52"/>
        <v>49.162324554255164</v>
      </c>
    </row>
    <row r="315" spans="1:21" x14ac:dyDescent="0.45">
      <c r="A315">
        <f t="shared" ca="1" si="44"/>
        <v>19</v>
      </c>
      <c r="B315">
        <v>0.5</v>
      </c>
      <c r="C315">
        <f t="shared" ca="1" si="45"/>
        <v>16</v>
      </c>
      <c r="D315">
        <v>34.96</v>
      </c>
      <c r="E315" s="3">
        <v>6455</v>
      </c>
      <c r="F315">
        <v>3.38</v>
      </c>
      <c r="G315">
        <v>5.91</v>
      </c>
      <c r="H315">
        <v>59.9</v>
      </c>
      <c r="I315">
        <v>12.52</v>
      </c>
      <c r="J315">
        <v>7.42</v>
      </c>
      <c r="K315">
        <f t="shared" ca="1" si="46"/>
        <v>0.20691394353311943</v>
      </c>
      <c r="M315">
        <f t="shared" ca="1" si="54"/>
        <v>24.647928085057615</v>
      </c>
      <c r="N315">
        <f t="shared" ca="1" si="47"/>
        <v>48.147928085057615</v>
      </c>
      <c r="O315">
        <f t="shared" ca="1" si="48"/>
        <v>19.938552668436206</v>
      </c>
      <c r="P315">
        <v>7.1131578947368403</v>
      </c>
      <c r="Q315">
        <v>4.5</v>
      </c>
      <c r="R315">
        <f t="shared" ca="1" si="49"/>
        <v>19.100000000000001</v>
      </c>
      <c r="S315">
        <f t="shared" ca="1" si="50"/>
        <v>0.83855266843620346</v>
      </c>
      <c r="T315">
        <f t="shared" ca="1" si="51"/>
        <v>19.938552668436206</v>
      </c>
      <c r="U315">
        <f t="shared" ca="1" si="52"/>
        <v>48.147928085057615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9F1-6768-4D0A-8D3D-7663DF67917E}">
  <dimension ref="D1:H294"/>
  <sheetViews>
    <sheetView topLeftCell="A7" workbookViewId="0">
      <selection activeCell="D14" sqref="D14:H16"/>
    </sheetView>
  </sheetViews>
  <sheetFormatPr defaultRowHeight="14.25" x14ac:dyDescent="0.45"/>
  <cols>
    <col min="4" max="4" width="9.06640625" style="8"/>
    <col min="8" max="8" width="12" style="15" customWidth="1"/>
  </cols>
  <sheetData>
    <row r="1" spans="4:8" x14ac:dyDescent="0.45">
      <c r="D1" s="8" t="s">
        <v>1</v>
      </c>
      <c r="E1" t="s">
        <v>4</v>
      </c>
      <c r="F1" t="s">
        <v>5</v>
      </c>
      <c r="G1" t="s">
        <v>7</v>
      </c>
      <c r="H1" s="15" t="s">
        <v>26</v>
      </c>
    </row>
    <row r="2" spans="4:8" x14ac:dyDescent="0.45">
      <c r="D2" s="8">
        <v>0.28000000000000003</v>
      </c>
      <c r="E2">
        <v>6600</v>
      </c>
      <c r="F2">
        <v>11</v>
      </c>
      <c r="G2" s="12">
        <v>61.58</v>
      </c>
      <c r="H2" s="15">
        <v>0.20339124026412317</v>
      </c>
    </row>
    <row r="3" spans="4:8" x14ac:dyDescent="0.45">
      <c r="D3" s="8">
        <v>0.28000000000000003</v>
      </c>
      <c r="E3">
        <v>7400</v>
      </c>
      <c r="F3">
        <v>13</v>
      </c>
      <c r="G3" s="12">
        <v>52.7</v>
      </c>
      <c r="H3" s="15">
        <v>0.12599999999999997</v>
      </c>
    </row>
    <row r="4" spans="4:8" x14ac:dyDescent="0.45">
      <c r="D4" s="8">
        <v>0.28000000000000003</v>
      </c>
      <c r="E4">
        <v>7800</v>
      </c>
      <c r="F4">
        <v>13</v>
      </c>
      <c r="G4" s="12">
        <v>52.8</v>
      </c>
      <c r="H4" s="15">
        <v>9.4444444444444456E-2</v>
      </c>
    </row>
    <row r="5" spans="4:8" x14ac:dyDescent="0.45">
      <c r="D5" s="8">
        <v>0.28000000000000003</v>
      </c>
      <c r="E5">
        <v>7900</v>
      </c>
      <c r="F5">
        <v>12</v>
      </c>
      <c r="G5" s="12">
        <v>59.3</v>
      </c>
      <c r="H5" s="15">
        <v>8.8965517241379299E-2</v>
      </c>
    </row>
    <row r="6" spans="4:8" x14ac:dyDescent="0.45">
      <c r="D6" s="8">
        <v>0.28000000000000003</v>
      </c>
      <c r="E6">
        <v>7900</v>
      </c>
      <c r="F6">
        <v>12</v>
      </c>
      <c r="G6" s="12">
        <v>50.8</v>
      </c>
      <c r="H6" s="15">
        <v>7.5694444444444439E-2</v>
      </c>
    </row>
    <row r="7" spans="4:8" x14ac:dyDescent="0.45">
      <c r="D7" s="8">
        <v>0.28000000000000003</v>
      </c>
      <c r="E7">
        <v>8200</v>
      </c>
      <c r="F7">
        <v>12</v>
      </c>
      <c r="G7" s="12">
        <v>50.6</v>
      </c>
      <c r="H7" s="15">
        <v>8.7258064516129039E-2</v>
      </c>
    </row>
    <row r="8" spans="4:8" x14ac:dyDescent="0.45">
      <c r="D8" s="8">
        <v>0.28000000000000003</v>
      </c>
      <c r="E8">
        <v>9200</v>
      </c>
      <c r="F8">
        <v>7</v>
      </c>
      <c r="G8" s="12">
        <v>30</v>
      </c>
      <c r="H8" s="15">
        <v>9.6415094339622642E-2</v>
      </c>
    </row>
    <row r="9" spans="4:8" x14ac:dyDescent="0.45">
      <c r="D9" s="8">
        <v>0.28999999999999998</v>
      </c>
      <c r="E9">
        <v>4600</v>
      </c>
      <c r="F9">
        <v>6</v>
      </c>
      <c r="G9" s="12">
        <v>52</v>
      </c>
      <c r="H9" s="15">
        <v>0.17409859371842926</v>
      </c>
    </row>
    <row r="10" spans="4:8" x14ac:dyDescent="0.45">
      <c r="D10" s="8">
        <v>0.28999999999999998</v>
      </c>
      <c r="E10">
        <v>6300</v>
      </c>
      <c r="F10">
        <v>11</v>
      </c>
      <c r="G10" s="12">
        <v>62.1</v>
      </c>
      <c r="H10" s="15">
        <v>0.19288145055303219</v>
      </c>
    </row>
    <row r="11" spans="4:8" x14ac:dyDescent="0.45">
      <c r="D11" s="8">
        <v>0.28999999999999998</v>
      </c>
      <c r="E11">
        <v>6300</v>
      </c>
      <c r="F11">
        <v>11</v>
      </c>
      <c r="G11" s="12">
        <v>63.78</v>
      </c>
      <c r="H11" s="15">
        <v>0.27324709747521603</v>
      </c>
    </row>
    <row r="12" spans="4:8" x14ac:dyDescent="0.45">
      <c r="D12" s="8">
        <v>0.28999999999999998</v>
      </c>
      <c r="E12">
        <v>6300</v>
      </c>
      <c r="F12">
        <v>10</v>
      </c>
      <c r="G12" s="12">
        <v>62.8</v>
      </c>
      <c r="H12" s="15">
        <v>0.21499337711882005</v>
      </c>
    </row>
    <row r="13" spans="4:8" x14ac:dyDescent="0.45">
      <c r="D13" s="8">
        <v>0.28999999999999998</v>
      </c>
      <c r="E13">
        <v>6400</v>
      </c>
      <c r="F13">
        <v>11</v>
      </c>
      <c r="G13" s="12">
        <v>61.28</v>
      </c>
      <c r="H13" s="15">
        <v>0.29112997017741371</v>
      </c>
    </row>
    <row r="14" spans="4:8" x14ac:dyDescent="0.45">
      <c r="D14" s="8">
        <v>0.28999999999999998</v>
      </c>
      <c r="E14">
        <v>6500</v>
      </c>
      <c r="F14">
        <v>8</v>
      </c>
      <c r="G14" s="12">
        <v>61.3</v>
      </c>
      <c r="H14" s="15">
        <v>0.21682189124884074</v>
      </c>
    </row>
    <row r="15" spans="4:8" x14ac:dyDescent="0.45">
      <c r="D15" s="8">
        <v>0.28999999999999998</v>
      </c>
      <c r="E15">
        <v>6500</v>
      </c>
      <c r="F15">
        <v>12</v>
      </c>
      <c r="G15" s="12">
        <v>56.8</v>
      </c>
      <c r="H15" s="15">
        <v>0.22142403336410948</v>
      </c>
    </row>
    <row r="16" spans="4:8" x14ac:dyDescent="0.45">
      <c r="D16" s="8">
        <v>0.28999999999999998</v>
      </c>
      <c r="E16">
        <v>6500</v>
      </c>
      <c r="F16">
        <v>6</v>
      </c>
      <c r="G16" s="12">
        <v>58.9</v>
      </c>
      <c r="H16" s="15">
        <v>0.18576537825908587</v>
      </c>
    </row>
    <row r="17" spans="4:8" x14ac:dyDescent="0.45">
      <c r="D17" s="8">
        <v>0.28999999999999998</v>
      </c>
      <c r="E17">
        <v>6600</v>
      </c>
      <c r="F17">
        <v>13</v>
      </c>
      <c r="G17" s="12">
        <v>56.2</v>
      </c>
      <c r="H17" s="15">
        <v>0.2209978636121277</v>
      </c>
    </row>
    <row r="18" spans="4:8" x14ac:dyDescent="0.45">
      <c r="D18" s="8">
        <v>0.28999999999999998</v>
      </c>
      <c r="E18">
        <v>6600</v>
      </c>
      <c r="F18">
        <v>10</v>
      </c>
      <c r="G18" s="12">
        <v>56.3</v>
      </c>
      <c r="H18" s="15">
        <v>0.20304465080076375</v>
      </c>
    </row>
    <row r="19" spans="4:8" x14ac:dyDescent="0.45">
      <c r="D19" s="8">
        <v>0.28999999999999998</v>
      </c>
      <c r="E19">
        <v>6700</v>
      </c>
      <c r="F19">
        <v>10</v>
      </c>
      <c r="G19" s="12">
        <v>52.5</v>
      </c>
      <c r="H19" s="15">
        <v>0.14733447561766552</v>
      </c>
    </row>
    <row r="20" spans="4:8" x14ac:dyDescent="0.45">
      <c r="D20" s="8">
        <v>0.28999999999999998</v>
      </c>
      <c r="E20">
        <v>6900</v>
      </c>
      <c r="F20">
        <v>15</v>
      </c>
      <c r="G20" s="12">
        <v>57.7</v>
      </c>
      <c r="H20" s="15">
        <v>0.26736494018436174</v>
      </c>
    </row>
    <row r="21" spans="4:8" x14ac:dyDescent="0.45">
      <c r="D21" s="8">
        <v>0.28999999999999998</v>
      </c>
      <c r="E21">
        <v>7200</v>
      </c>
      <c r="F21">
        <v>13</v>
      </c>
      <c r="G21" s="12">
        <v>57.7</v>
      </c>
      <c r="H21" s="15">
        <v>0.14564102564102563</v>
      </c>
    </row>
    <row r="22" spans="4:8" x14ac:dyDescent="0.45">
      <c r="D22" s="8">
        <v>0.28999999999999998</v>
      </c>
      <c r="E22">
        <v>7300</v>
      </c>
      <c r="F22">
        <v>13</v>
      </c>
      <c r="G22" s="12">
        <v>51.2</v>
      </c>
      <c r="H22" s="15">
        <v>0.14789473684210525</v>
      </c>
    </row>
    <row r="23" spans="4:8" x14ac:dyDescent="0.45">
      <c r="D23" s="8">
        <v>0.28999999999999998</v>
      </c>
      <c r="E23">
        <v>7500</v>
      </c>
      <c r="F23">
        <v>13</v>
      </c>
      <c r="G23" s="12">
        <v>53.4</v>
      </c>
      <c r="H23" s="15">
        <v>0.11585365853658534</v>
      </c>
    </row>
    <row r="24" spans="4:8" x14ac:dyDescent="0.45">
      <c r="D24" s="11">
        <v>0.28999999999999998</v>
      </c>
      <c r="E24" s="5">
        <v>7500</v>
      </c>
      <c r="F24" s="5">
        <v>13</v>
      </c>
      <c r="G24" s="12">
        <v>56.5</v>
      </c>
      <c r="H24" s="16">
        <v>0.14499999999999999</v>
      </c>
    </row>
    <row r="25" spans="4:8" x14ac:dyDescent="0.45">
      <c r="D25" s="11">
        <v>0.28999999999999998</v>
      </c>
      <c r="E25" s="5">
        <v>7500</v>
      </c>
      <c r="F25" s="5">
        <v>12</v>
      </c>
      <c r="G25" s="12">
        <v>54.9</v>
      </c>
      <c r="H25" s="16">
        <v>0.15285714285714286</v>
      </c>
    </row>
    <row r="26" spans="4:8" x14ac:dyDescent="0.45">
      <c r="D26" s="8">
        <v>0.28999999999999998</v>
      </c>
      <c r="E26">
        <v>7600</v>
      </c>
      <c r="F26">
        <v>13</v>
      </c>
      <c r="G26" s="12">
        <v>52.6</v>
      </c>
      <c r="H26" s="15">
        <v>0.17343749999999997</v>
      </c>
    </row>
    <row r="27" spans="4:8" x14ac:dyDescent="0.45">
      <c r="D27" s="11">
        <v>0.28999999999999998</v>
      </c>
      <c r="E27" s="5">
        <v>7600</v>
      </c>
      <c r="F27" s="5">
        <v>13</v>
      </c>
      <c r="G27" s="12">
        <v>52.4</v>
      </c>
      <c r="H27" s="16">
        <v>0.12181818181818183</v>
      </c>
    </row>
    <row r="28" spans="4:8" x14ac:dyDescent="0.45">
      <c r="D28" s="8">
        <v>0.28999999999999998</v>
      </c>
      <c r="E28">
        <v>7800</v>
      </c>
      <c r="F28">
        <v>13</v>
      </c>
      <c r="G28" s="12">
        <v>49.9</v>
      </c>
      <c r="H28" s="15">
        <v>0.13243902439024391</v>
      </c>
    </row>
    <row r="29" spans="4:8" x14ac:dyDescent="0.45">
      <c r="D29" s="11">
        <v>0.28999999999999998</v>
      </c>
      <c r="E29" s="5">
        <v>7800</v>
      </c>
      <c r="F29" s="5">
        <v>13</v>
      </c>
      <c r="G29" s="12">
        <v>54.6</v>
      </c>
      <c r="H29" s="16">
        <v>0.11695652173913045</v>
      </c>
    </row>
    <row r="30" spans="4:8" x14ac:dyDescent="0.45">
      <c r="D30" s="8">
        <v>0.28999999999999998</v>
      </c>
      <c r="E30">
        <v>7900</v>
      </c>
      <c r="F30">
        <v>12</v>
      </c>
      <c r="G30" s="12">
        <v>52</v>
      </c>
      <c r="H30" s="15">
        <v>0.12088235294117648</v>
      </c>
    </row>
    <row r="31" spans="4:8" x14ac:dyDescent="0.45">
      <c r="D31" s="11">
        <v>0.28999999999999998</v>
      </c>
      <c r="E31" s="5">
        <v>7900</v>
      </c>
      <c r="F31" s="5">
        <v>12</v>
      </c>
      <c r="G31" s="12">
        <v>68.3</v>
      </c>
      <c r="H31" s="16">
        <v>9.6153846153846173E-2</v>
      </c>
    </row>
    <row r="32" spans="4:8" x14ac:dyDescent="0.45">
      <c r="D32" s="8">
        <v>0.28999999999999998</v>
      </c>
      <c r="E32">
        <v>8800</v>
      </c>
      <c r="F32">
        <v>13</v>
      </c>
      <c r="G32" s="12">
        <v>69.7</v>
      </c>
      <c r="H32" s="15">
        <v>0.17030303030303029</v>
      </c>
    </row>
    <row r="33" spans="4:8" x14ac:dyDescent="0.45">
      <c r="D33" s="8">
        <v>0.28999999999999998</v>
      </c>
      <c r="E33">
        <v>9200</v>
      </c>
      <c r="F33">
        <v>13</v>
      </c>
      <c r="G33" s="12">
        <v>72</v>
      </c>
      <c r="H33" s="15">
        <v>0.16558823529411767</v>
      </c>
    </row>
    <row r="34" spans="4:8" x14ac:dyDescent="0.45">
      <c r="D34" s="11">
        <v>0.28999999999999998</v>
      </c>
      <c r="E34" s="5">
        <v>9200</v>
      </c>
      <c r="F34" s="5">
        <v>9</v>
      </c>
      <c r="G34" s="12">
        <v>52</v>
      </c>
      <c r="H34" s="16">
        <v>6.01219512195122E-2</v>
      </c>
    </row>
    <row r="35" spans="4:8" x14ac:dyDescent="0.45">
      <c r="D35" s="8">
        <v>0.28999999999999998</v>
      </c>
      <c r="E35">
        <v>9400</v>
      </c>
      <c r="F35">
        <v>13</v>
      </c>
      <c r="G35" s="12">
        <v>52.6</v>
      </c>
      <c r="H35" s="15">
        <v>0.13459459459459458</v>
      </c>
    </row>
    <row r="36" spans="4:8" x14ac:dyDescent="0.45">
      <c r="D36" s="11">
        <v>0.28999999999999998</v>
      </c>
      <c r="E36" s="5">
        <v>9500</v>
      </c>
      <c r="F36" s="5">
        <v>13</v>
      </c>
      <c r="G36" s="12">
        <v>55</v>
      </c>
      <c r="H36" s="16">
        <v>0.13633333333333336</v>
      </c>
    </row>
    <row r="37" spans="4:8" x14ac:dyDescent="0.45">
      <c r="D37" s="8">
        <v>0.28999999999999998</v>
      </c>
      <c r="E37">
        <v>9900</v>
      </c>
      <c r="F37">
        <v>11</v>
      </c>
      <c r="G37" s="12">
        <v>51</v>
      </c>
      <c r="H37" s="15">
        <v>0.11581395348837208</v>
      </c>
    </row>
    <row r="38" spans="4:8" x14ac:dyDescent="0.45">
      <c r="D38" s="11">
        <v>0.3</v>
      </c>
      <c r="E38" s="5">
        <v>4300</v>
      </c>
      <c r="F38" s="5">
        <v>6</v>
      </c>
      <c r="G38" s="12">
        <v>56</v>
      </c>
      <c r="H38" s="16">
        <v>0.23815813440986114</v>
      </c>
    </row>
    <row r="39" spans="4:8" x14ac:dyDescent="0.45">
      <c r="D39" s="11">
        <v>0.3</v>
      </c>
      <c r="E39" s="5">
        <v>4500</v>
      </c>
      <c r="F39" s="5">
        <v>2</v>
      </c>
      <c r="G39" s="12">
        <v>54</v>
      </c>
      <c r="H39" s="16">
        <v>0.21926582971410882</v>
      </c>
    </row>
    <row r="40" spans="4:8" x14ac:dyDescent="0.45">
      <c r="D40" s="11">
        <v>0.3</v>
      </c>
      <c r="E40" s="5">
        <v>4500</v>
      </c>
      <c r="F40" s="5">
        <v>2</v>
      </c>
      <c r="G40" s="12">
        <v>52</v>
      </c>
      <c r="H40" s="16">
        <v>0.2361651537856316</v>
      </c>
    </row>
    <row r="41" spans="4:8" x14ac:dyDescent="0.45">
      <c r="D41" s="11">
        <v>0.3</v>
      </c>
      <c r="E41" s="5">
        <v>4600</v>
      </c>
      <c r="F41" s="5">
        <v>2</v>
      </c>
      <c r="G41" s="12">
        <v>54</v>
      </c>
      <c r="H41" s="16">
        <v>0.13157894736842107</v>
      </c>
    </row>
    <row r="42" spans="4:8" x14ac:dyDescent="0.45">
      <c r="D42" s="11">
        <v>0.3</v>
      </c>
      <c r="E42" s="5">
        <v>4900</v>
      </c>
      <c r="F42" s="5">
        <v>2</v>
      </c>
      <c r="G42" s="12">
        <v>51.2</v>
      </c>
      <c r="H42" s="16">
        <v>0.24116325959236887</v>
      </c>
    </row>
    <row r="43" spans="4:8" x14ac:dyDescent="0.45">
      <c r="D43" s="11">
        <v>0.3</v>
      </c>
      <c r="E43" s="5">
        <v>4900</v>
      </c>
      <c r="F43" s="5">
        <v>1</v>
      </c>
      <c r="G43" s="12">
        <v>55</v>
      </c>
      <c r="H43" s="16">
        <v>0.21250000000000002</v>
      </c>
    </row>
    <row r="44" spans="4:8" x14ac:dyDescent="0.45">
      <c r="D44" s="11">
        <v>0.3</v>
      </c>
      <c r="E44" s="5">
        <v>5400</v>
      </c>
      <c r="F44" s="5">
        <v>10</v>
      </c>
      <c r="G44" s="12">
        <v>50.6</v>
      </c>
      <c r="H44" s="16">
        <v>0.21179392348995843</v>
      </c>
    </row>
    <row r="45" spans="4:8" x14ac:dyDescent="0.45">
      <c r="D45" s="11">
        <v>0.3</v>
      </c>
      <c r="E45" s="6">
        <v>6300</v>
      </c>
      <c r="F45" s="6">
        <v>12</v>
      </c>
      <c r="G45" s="13">
        <v>60.31</v>
      </c>
      <c r="H45" s="17">
        <v>0.19393984282281487</v>
      </c>
    </row>
    <row r="46" spans="4:8" x14ac:dyDescent="0.45">
      <c r="D46" s="11">
        <v>0.3</v>
      </c>
      <c r="E46" s="5">
        <v>6300</v>
      </c>
      <c r="F46" s="5">
        <v>10</v>
      </c>
      <c r="G46" s="12">
        <v>62</v>
      </c>
      <c r="H46" s="16">
        <v>0.25780893135272492</v>
      </c>
    </row>
    <row r="47" spans="4:8" x14ac:dyDescent="0.45">
      <c r="D47" s="11">
        <v>0.3</v>
      </c>
      <c r="E47" s="5">
        <v>6300</v>
      </c>
      <c r="F47" s="5">
        <v>4</v>
      </c>
      <c r="G47" s="12">
        <v>60.52</v>
      </c>
      <c r="H47" s="16">
        <v>0.22703472392046117</v>
      </c>
    </row>
    <row r="48" spans="4:8" x14ac:dyDescent="0.45">
      <c r="D48" s="11">
        <v>0.3</v>
      </c>
      <c r="E48" s="5">
        <v>6300</v>
      </c>
      <c r="F48" s="5">
        <v>10</v>
      </c>
      <c r="G48" s="12">
        <v>52.1</v>
      </c>
      <c r="H48" s="16">
        <v>0.22969742465561599</v>
      </c>
    </row>
    <row r="49" spans="4:8" x14ac:dyDescent="0.45">
      <c r="D49" s="11">
        <v>0.3</v>
      </c>
      <c r="E49" s="5">
        <v>6400</v>
      </c>
      <c r="F49" s="5">
        <v>12</v>
      </c>
      <c r="G49" s="12">
        <v>60.58</v>
      </c>
      <c r="H49" s="16">
        <v>0.26856965568185298</v>
      </c>
    </row>
    <row r="50" spans="4:8" x14ac:dyDescent="0.45">
      <c r="D50" s="11">
        <v>0.3</v>
      </c>
      <c r="E50" s="5">
        <v>6500</v>
      </c>
      <c r="F50" s="5">
        <v>9</v>
      </c>
      <c r="G50" s="12">
        <v>62.5</v>
      </c>
      <c r="H50" s="16">
        <v>0.23576166262543125</v>
      </c>
    </row>
    <row r="51" spans="4:8" x14ac:dyDescent="0.45">
      <c r="D51" s="11">
        <v>0.3</v>
      </c>
      <c r="E51" s="5">
        <v>6500</v>
      </c>
      <c r="F51" s="5">
        <v>10</v>
      </c>
      <c r="G51" s="12">
        <v>61.3</v>
      </c>
      <c r="H51" s="16">
        <v>0.21040473631326603</v>
      </c>
    </row>
    <row r="52" spans="4:8" x14ac:dyDescent="0.45">
      <c r="D52" s="11">
        <v>0.3</v>
      </c>
      <c r="E52" s="5">
        <v>6500</v>
      </c>
      <c r="F52" s="5">
        <v>8</v>
      </c>
      <c r="G52" s="12">
        <v>64.3</v>
      </c>
      <c r="H52" s="16">
        <v>0.2101168024754328</v>
      </c>
    </row>
    <row r="53" spans="4:8" x14ac:dyDescent="0.45">
      <c r="D53" s="11">
        <v>0.3</v>
      </c>
      <c r="E53" s="5">
        <v>6500</v>
      </c>
      <c r="F53" s="5">
        <v>7</v>
      </c>
      <c r="G53" s="12">
        <v>61.3</v>
      </c>
      <c r="H53" s="16">
        <v>0.26529025337737444</v>
      </c>
    </row>
    <row r="54" spans="4:8" x14ac:dyDescent="0.45">
      <c r="D54" s="11">
        <v>0.3</v>
      </c>
      <c r="E54" s="5">
        <v>6500</v>
      </c>
      <c r="F54" s="5">
        <v>7</v>
      </c>
      <c r="G54" s="12">
        <v>62.5</v>
      </c>
      <c r="H54" s="16">
        <v>0.21466859026712273</v>
      </c>
    </row>
    <row r="55" spans="4:8" x14ac:dyDescent="0.45">
      <c r="D55" s="11">
        <v>0.3</v>
      </c>
      <c r="E55" s="5">
        <v>6500</v>
      </c>
      <c r="F55" s="5">
        <v>6</v>
      </c>
      <c r="G55" s="12">
        <v>52.68</v>
      </c>
      <c r="H55" s="16">
        <v>0.28044370316456763</v>
      </c>
    </row>
    <row r="56" spans="4:8" x14ac:dyDescent="0.45">
      <c r="D56" s="11">
        <v>0.3</v>
      </c>
      <c r="E56" s="5">
        <v>6500</v>
      </c>
      <c r="F56" s="5">
        <v>13</v>
      </c>
      <c r="G56" s="12">
        <v>60.21</v>
      </c>
      <c r="H56" s="16">
        <v>0.30460675563978684</v>
      </c>
    </row>
    <row r="57" spans="4:8" x14ac:dyDescent="0.45">
      <c r="D57" s="11">
        <v>0.3</v>
      </c>
      <c r="E57" s="5">
        <v>6500</v>
      </c>
      <c r="F57" s="5">
        <v>14</v>
      </c>
      <c r="G57" s="12">
        <v>60.14</v>
      </c>
      <c r="H57" s="16">
        <v>0.19592824068696693</v>
      </c>
    </row>
    <row r="58" spans="4:8" x14ac:dyDescent="0.45">
      <c r="D58" s="11">
        <v>0.3</v>
      </c>
      <c r="E58" s="5">
        <v>6600</v>
      </c>
      <c r="F58" s="5">
        <v>9</v>
      </c>
      <c r="G58" s="12">
        <v>55.3</v>
      </c>
      <c r="H58" s="16">
        <v>0.1792702591135136</v>
      </c>
    </row>
    <row r="59" spans="4:8" x14ac:dyDescent="0.45">
      <c r="D59" s="11">
        <v>0.3</v>
      </c>
      <c r="E59" s="5">
        <v>6600</v>
      </c>
      <c r="F59" s="5">
        <v>7</v>
      </c>
      <c r="G59" s="12">
        <v>50.9</v>
      </c>
      <c r="H59" s="16">
        <v>0.21909506638843021</v>
      </c>
    </row>
    <row r="60" spans="4:8" x14ac:dyDescent="0.45">
      <c r="D60" s="11">
        <v>0.3</v>
      </c>
      <c r="E60" s="5">
        <v>6600</v>
      </c>
      <c r="F60" s="5">
        <v>9</v>
      </c>
      <c r="G60" s="12">
        <v>53.5</v>
      </c>
      <c r="H60" s="16">
        <v>0.23335667526593973</v>
      </c>
    </row>
    <row r="61" spans="4:8" x14ac:dyDescent="0.45">
      <c r="D61" s="11">
        <v>0.3</v>
      </c>
      <c r="E61" s="5">
        <v>6600</v>
      </c>
      <c r="F61" s="5">
        <v>14</v>
      </c>
      <c r="G61" s="12">
        <v>55</v>
      </c>
      <c r="H61" s="16">
        <v>0.20698249462777765</v>
      </c>
    </row>
    <row r="62" spans="4:8" x14ac:dyDescent="0.45">
      <c r="D62" s="11">
        <v>0.3</v>
      </c>
      <c r="E62" s="5">
        <v>6900</v>
      </c>
      <c r="F62" s="5">
        <v>13</v>
      </c>
      <c r="G62" s="12">
        <v>53</v>
      </c>
      <c r="H62" s="16">
        <v>0.21913043478260874</v>
      </c>
    </row>
    <row r="63" spans="4:8" x14ac:dyDescent="0.45">
      <c r="D63" s="10">
        <v>0.3</v>
      </c>
      <c r="E63" s="6">
        <v>7000</v>
      </c>
      <c r="F63" s="6">
        <v>11</v>
      </c>
      <c r="G63" s="13">
        <v>52.6</v>
      </c>
      <c r="H63" s="17">
        <v>0.19190241143988032</v>
      </c>
    </row>
    <row r="64" spans="4:8" x14ac:dyDescent="0.45">
      <c r="D64" s="8">
        <v>0.3</v>
      </c>
      <c r="E64">
        <v>7200</v>
      </c>
      <c r="F64">
        <v>7</v>
      </c>
      <c r="G64" s="12">
        <v>52</v>
      </c>
      <c r="H64" s="15">
        <v>0.10844444444444444</v>
      </c>
    </row>
    <row r="65" spans="4:8" x14ac:dyDescent="0.45">
      <c r="D65" s="8">
        <v>0.3</v>
      </c>
      <c r="E65">
        <v>7300</v>
      </c>
      <c r="F65">
        <v>13</v>
      </c>
      <c r="G65" s="12">
        <v>54.4</v>
      </c>
      <c r="H65" s="15">
        <v>0.15281250000000002</v>
      </c>
    </row>
    <row r="66" spans="4:8" x14ac:dyDescent="0.45">
      <c r="D66" s="11">
        <v>0.3</v>
      </c>
      <c r="E66" s="5">
        <v>7600</v>
      </c>
      <c r="F66" s="5">
        <v>13</v>
      </c>
      <c r="G66" s="12">
        <v>53</v>
      </c>
      <c r="H66" s="16">
        <v>0.16666666666666669</v>
      </c>
    </row>
    <row r="67" spans="4:8" x14ac:dyDescent="0.45">
      <c r="D67" s="11">
        <v>0.3</v>
      </c>
      <c r="E67" s="5">
        <v>7600</v>
      </c>
      <c r="F67" s="5">
        <v>9</v>
      </c>
      <c r="G67" s="12">
        <v>51</v>
      </c>
      <c r="H67" s="16">
        <v>7.9838709677419337E-2</v>
      </c>
    </row>
    <row r="68" spans="4:8" x14ac:dyDescent="0.45">
      <c r="D68" s="8">
        <v>0.3</v>
      </c>
      <c r="E68">
        <v>7600</v>
      </c>
      <c r="F68">
        <v>13</v>
      </c>
      <c r="G68" s="12">
        <v>51.5</v>
      </c>
      <c r="H68" s="15">
        <v>0.13923076923076921</v>
      </c>
    </row>
    <row r="69" spans="4:8" x14ac:dyDescent="0.45">
      <c r="D69" s="11">
        <v>0.3</v>
      </c>
      <c r="E69" s="5">
        <v>7700</v>
      </c>
      <c r="F69" s="5">
        <v>13</v>
      </c>
      <c r="G69" s="12">
        <v>51.1</v>
      </c>
      <c r="H69" s="16">
        <v>0.17624999999999999</v>
      </c>
    </row>
    <row r="70" spans="4:8" x14ac:dyDescent="0.45">
      <c r="D70" s="11">
        <v>0.3</v>
      </c>
      <c r="E70" s="5">
        <v>7800</v>
      </c>
      <c r="F70" s="5">
        <v>13</v>
      </c>
      <c r="G70" s="12">
        <v>63.3</v>
      </c>
      <c r="H70" s="16">
        <v>0.2091666666666667</v>
      </c>
    </row>
    <row r="71" spans="4:8" x14ac:dyDescent="0.45">
      <c r="D71" s="8">
        <v>0.3</v>
      </c>
      <c r="E71">
        <v>7800</v>
      </c>
      <c r="F71">
        <v>13</v>
      </c>
      <c r="G71" s="12">
        <v>63.3</v>
      </c>
      <c r="H71" s="15">
        <v>0.2091666666666667</v>
      </c>
    </row>
    <row r="72" spans="4:8" x14ac:dyDescent="0.45">
      <c r="D72" s="8">
        <v>0.3</v>
      </c>
      <c r="E72">
        <v>8000</v>
      </c>
      <c r="F72">
        <v>13</v>
      </c>
      <c r="G72" s="12">
        <v>51.7</v>
      </c>
      <c r="H72" s="15">
        <v>0.14552631578947367</v>
      </c>
    </row>
    <row r="73" spans="4:8" x14ac:dyDescent="0.45">
      <c r="D73" s="10">
        <v>0.3</v>
      </c>
      <c r="E73" s="6">
        <v>8400</v>
      </c>
      <c r="F73" s="6">
        <v>11</v>
      </c>
      <c r="G73" s="13">
        <v>58.4</v>
      </c>
      <c r="H73" s="17">
        <v>0.13650000000000001</v>
      </c>
    </row>
    <row r="74" spans="4:8" x14ac:dyDescent="0.45">
      <c r="D74" s="8">
        <v>0.3</v>
      </c>
      <c r="E74">
        <v>8700</v>
      </c>
      <c r="F74">
        <v>13</v>
      </c>
      <c r="G74" s="12">
        <v>53</v>
      </c>
      <c r="H74" s="15">
        <v>0.2112</v>
      </c>
    </row>
    <row r="75" spans="4:8" x14ac:dyDescent="0.45">
      <c r="D75" s="11">
        <v>0.3</v>
      </c>
      <c r="E75" s="5">
        <v>8900</v>
      </c>
      <c r="F75" s="5">
        <v>12</v>
      </c>
      <c r="G75" s="12">
        <v>58.5</v>
      </c>
      <c r="H75" s="16">
        <v>0.25499999999999995</v>
      </c>
    </row>
    <row r="76" spans="4:8" x14ac:dyDescent="0.45">
      <c r="D76" s="11">
        <v>0.3</v>
      </c>
      <c r="E76" s="5">
        <v>8900</v>
      </c>
      <c r="F76" s="5">
        <v>9</v>
      </c>
      <c r="G76" s="12">
        <v>49.8</v>
      </c>
      <c r="H76" s="16">
        <v>0.13891891891891892</v>
      </c>
    </row>
    <row r="77" spans="4:8" x14ac:dyDescent="0.45">
      <c r="D77" s="8">
        <v>0.3</v>
      </c>
      <c r="E77">
        <v>8900</v>
      </c>
      <c r="F77">
        <v>11</v>
      </c>
      <c r="G77" s="12">
        <v>56</v>
      </c>
      <c r="H77" s="15">
        <v>9.1694915254237272E-2</v>
      </c>
    </row>
    <row r="78" spans="4:8" x14ac:dyDescent="0.45">
      <c r="D78" s="11">
        <v>0.3</v>
      </c>
      <c r="E78" s="5">
        <v>9300</v>
      </c>
      <c r="F78" s="5">
        <v>13</v>
      </c>
      <c r="G78" s="12">
        <v>63.2</v>
      </c>
      <c r="H78" s="16">
        <v>0.16228571428571431</v>
      </c>
    </row>
    <row r="79" spans="4:8" x14ac:dyDescent="0.45">
      <c r="D79" s="11">
        <v>0.3</v>
      </c>
      <c r="E79" s="5">
        <v>9600</v>
      </c>
      <c r="F79" s="5">
        <v>13</v>
      </c>
      <c r="G79" s="12">
        <v>50.4</v>
      </c>
      <c r="H79" s="16">
        <v>0.15593750000000001</v>
      </c>
    </row>
    <row r="80" spans="4:8" x14ac:dyDescent="0.45">
      <c r="D80" s="8">
        <v>0.31</v>
      </c>
      <c r="E80">
        <v>4600</v>
      </c>
      <c r="F80">
        <v>6</v>
      </c>
      <c r="G80" s="12">
        <v>52</v>
      </c>
      <c r="H80" s="15">
        <v>0.18825593438646931</v>
      </c>
    </row>
    <row r="81" spans="4:8" x14ac:dyDescent="0.45">
      <c r="D81" s="8">
        <v>0.31</v>
      </c>
      <c r="E81">
        <v>4600</v>
      </c>
      <c r="F81">
        <v>1</v>
      </c>
      <c r="G81" s="12">
        <v>54</v>
      </c>
      <c r="H81" s="15">
        <v>0.19824340406493562</v>
      </c>
    </row>
    <row r="82" spans="4:8" x14ac:dyDescent="0.45">
      <c r="D82" s="8">
        <v>0.31</v>
      </c>
      <c r="E82">
        <v>4700</v>
      </c>
      <c r="F82">
        <v>12</v>
      </c>
      <c r="G82" s="12">
        <v>50.6</v>
      </c>
      <c r="H82" s="15">
        <v>0.2959740057727725</v>
      </c>
    </row>
    <row r="83" spans="4:8" x14ac:dyDescent="0.45">
      <c r="D83" s="8">
        <v>0.31</v>
      </c>
      <c r="E83">
        <v>4700</v>
      </c>
      <c r="F83">
        <v>5</v>
      </c>
      <c r="G83" s="12">
        <v>51</v>
      </c>
      <c r="H83" s="15">
        <v>0.23173554371218855</v>
      </c>
    </row>
    <row r="84" spans="4:8" x14ac:dyDescent="0.45">
      <c r="D84" s="8">
        <v>0.31</v>
      </c>
      <c r="E84">
        <v>4700</v>
      </c>
      <c r="F84">
        <v>6</v>
      </c>
      <c r="G84" s="12">
        <v>52</v>
      </c>
      <c r="H84" s="15">
        <v>0.25132826987479934</v>
      </c>
    </row>
    <row r="85" spans="4:8" x14ac:dyDescent="0.45">
      <c r="D85" s="8">
        <v>0.31</v>
      </c>
      <c r="E85">
        <v>4700</v>
      </c>
      <c r="F85">
        <v>0</v>
      </c>
      <c r="G85" s="12">
        <v>53</v>
      </c>
      <c r="H85" s="15">
        <v>9.8431372549019611E-2</v>
      </c>
    </row>
    <row r="86" spans="4:8" x14ac:dyDescent="0.45">
      <c r="D86" s="8">
        <v>0.31</v>
      </c>
      <c r="E86">
        <v>4900</v>
      </c>
      <c r="F86">
        <v>12</v>
      </c>
      <c r="G86" s="12">
        <v>53</v>
      </c>
      <c r="H86" s="15">
        <v>0.26208200258958275</v>
      </c>
    </row>
    <row r="87" spans="4:8" x14ac:dyDescent="0.45">
      <c r="D87" s="8">
        <v>0.31</v>
      </c>
      <c r="E87">
        <v>5000</v>
      </c>
      <c r="F87">
        <v>8</v>
      </c>
      <c r="G87" s="12">
        <v>54</v>
      </c>
      <c r="H87" s="15">
        <v>0.21372763160965352</v>
      </c>
    </row>
    <row r="88" spans="4:8" x14ac:dyDescent="0.45">
      <c r="D88" s="8">
        <v>0.31</v>
      </c>
      <c r="E88">
        <v>5000</v>
      </c>
      <c r="F88">
        <v>1</v>
      </c>
      <c r="G88" s="12">
        <v>55</v>
      </c>
      <c r="H88" s="15">
        <v>0.16387096774193552</v>
      </c>
    </row>
    <row r="89" spans="4:8" x14ac:dyDescent="0.45">
      <c r="D89" s="8">
        <v>0.31</v>
      </c>
      <c r="E89">
        <v>5300</v>
      </c>
      <c r="F89">
        <v>4</v>
      </c>
      <c r="G89" s="12">
        <v>55.2</v>
      </c>
      <c r="H89" s="15">
        <v>0.21306756847307148</v>
      </c>
    </row>
    <row r="90" spans="4:8" x14ac:dyDescent="0.45">
      <c r="D90" s="8">
        <v>0.31</v>
      </c>
      <c r="E90">
        <v>5400</v>
      </c>
      <c r="F90">
        <v>3</v>
      </c>
      <c r="G90" s="12">
        <v>53.4</v>
      </c>
      <c r="H90" s="15">
        <v>6.1874999999999999E-2</v>
      </c>
    </row>
    <row r="91" spans="4:8" x14ac:dyDescent="0.45">
      <c r="D91" s="8">
        <v>0.31</v>
      </c>
      <c r="E91">
        <v>6200</v>
      </c>
      <c r="F91">
        <v>13</v>
      </c>
      <c r="G91" s="12">
        <v>59.3</v>
      </c>
      <c r="H91" s="15">
        <v>0.10764284032414159</v>
      </c>
    </row>
    <row r="92" spans="4:8" x14ac:dyDescent="0.45">
      <c r="D92" s="8">
        <v>0.31</v>
      </c>
      <c r="E92">
        <v>6200</v>
      </c>
      <c r="F92">
        <v>8</v>
      </c>
      <c r="G92" s="12">
        <v>60.84</v>
      </c>
      <c r="H92" s="15">
        <v>0.26120510560385862</v>
      </c>
    </row>
    <row r="93" spans="4:8" x14ac:dyDescent="0.45">
      <c r="D93" s="8">
        <v>0.31</v>
      </c>
      <c r="E93">
        <v>6200</v>
      </c>
      <c r="F93">
        <v>9</v>
      </c>
      <c r="G93" s="12">
        <v>59.4</v>
      </c>
      <c r="H93" s="15">
        <v>0.19179134728979616</v>
      </c>
    </row>
    <row r="94" spans="4:8" x14ac:dyDescent="0.45">
      <c r="D94" s="8">
        <v>0.31</v>
      </c>
      <c r="E94">
        <v>6400</v>
      </c>
      <c r="F94">
        <v>11</v>
      </c>
      <c r="G94" s="12">
        <v>62.5</v>
      </c>
      <c r="H94" s="15">
        <v>0.25996425128029571</v>
      </c>
    </row>
    <row r="95" spans="4:8" x14ac:dyDescent="0.45">
      <c r="D95" s="8">
        <v>0.31</v>
      </c>
      <c r="E95">
        <v>6400</v>
      </c>
      <c r="F95">
        <v>10</v>
      </c>
      <c r="G95" s="12">
        <v>59.6</v>
      </c>
      <c r="H95" s="15">
        <v>0.21173069029179847</v>
      </c>
    </row>
    <row r="96" spans="4:8" x14ac:dyDescent="0.45">
      <c r="D96" s="8">
        <v>0.31</v>
      </c>
      <c r="E96">
        <v>6400</v>
      </c>
      <c r="F96">
        <v>10</v>
      </c>
      <c r="G96" s="12">
        <v>62.8</v>
      </c>
      <c r="H96" s="15">
        <v>0.21545130549587047</v>
      </c>
    </row>
    <row r="97" spans="4:8" x14ac:dyDescent="0.45">
      <c r="D97" s="8">
        <v>0.31</v>
      </c>
      <c r="E97">
        <v>6400</v>
      </c>
      <c r="F97">
        <v>8</v>
      </c>
      <c r="G97" s="12">
        <v>60</v>
      </c>
      <c r="H97" s="15">
        <v>0.21797254222413143</v>
      </c>
    </row>
    <row r="98" spans="4:8" x14ac:dyDescent="0.45">
      <c r="D98" s="8">
        <v>0.31</v>
      </c>
      <c r="E98">
        <v>6400</v>
      </c>
      <c r="F98">
        <v>9</v>
      </c>
      <c r="G98" s="12">
        <v>56</v>
      </c>
      <c r="H98" s="15">
        <v>0.24459353401854547</v>
      </c>
    </row>
    <row r="99" spans="4:8" x14ac:dyDescent="0.45">
      <c r="D99" s="8">
        <v>0.31</v>
      </c>
      <c r="E99">
        <v>6500</v>
      </c>
      <c r="F99">
        <v>15</v>
      </c>
      <c r="G99" s="12">
        <v>60.1</v>
      </c>
      <c r="H99" s="15">
        <v>0.16765248945760594</v>
      </c>
    </row>
    <row r="100" spans="4:8" x14ac:dyDescent="0.45">
      <c r="D100" s="8">
        <v>0.31</v>
      </c>
      <c r="E100">
        <v>6500</v>
      </c>
      <c r="F100">
        <v>7</v>
      </c>
      <c r="G100" s="12">
        <v>60.22</v>
      </c>
      <c r="H100" s="15">
        <v>0.29329652703009285</v>
      </c>
    </row>
    <row r="101" spans="4:8" x14ac:dyDescent="0.45">
      <c r="D101" s="8">
        <v>0.31</v>
      </c>
      <c r="E101">
        <v>6500</v>
      </c>
      <c r="F101">
        <v>13</v>
      </c>
      <c r="G101" s="12">
        <v>58.24</v>
      </c>
      <c r="H101" s="15">
        <v>0.25182194304679983</v>
      </c>
    </row>
    <row r="102" spans="4:8" x14ac:dyDescent="0.45">
      <c r="D102" s="8">
        <v>0.31</v>
      </c>
      <c r="E102">
        <v>6500</v>
      </c>
      <c r="F102">
        <v>12</v>
      </c>
      <c r="G102" s="12">
        <v>52.9</v>
      </c>
      <c r="H102" s="15">
        <v>0.22420961876961357</v>
      </c>
    </row>
    <row r="103" spans="4:8" x14ac:dyDescent="0.45">
      <c r="D103" s="8">
        <v>0.31</v>
      </c>
      <c r="E103">
        <v>6600</v>
      </c>
      <c r="F103">
        <v>11</v>
      </c>
      <c r="G103" s="12">
        <v>53</v>
      </c>
      <c r="H103" s="15">
        <v>0.24386258479612552</v>
      </c>
    </row>
    <row r="104" spans="4:8" x14ac:dyDescent="0.45">
      <c r="D104" s="8">
        <v>0.31</v>
      </c>
      <c r="E104">
        <v>6600</v>
      </c>
      <c r="F104">
        <v>12</v>
      </c>
      <c r="G104" s="12">
        <v>53.8</v>
      </c>
      <c r="H104" s="15">
        <v>0.23754757580344438</v>
      </c>
    </row>
    <row r="105" spans="4:8" x14ac:dyDescent="0.45">
      <c r="D105" s="8">
        <v>0.31</v>
      </c>
      <c r="E105">
        <v>6600</v>
      </c>
      <c r="F105">
        <v>11</v>
      </c>
      <c r="G105" s="12">
        <v>54.9</v>
      </c>
      <c r="H105" s="15">
        <v>0.29474635547007288</v>
      </c>
    </row>
    <row r="106" spans="4:8" x14ac:dyDescent="0.45">
      <c r="D106" s="8">
        <v>0.31</v>
      </c>
      <c r="E106">
        <v>6600</v>
      </c>
      <c r="F106">
        <v>11</v>
      </c>
      <c r="G106" s="12">
        <v>51</v>
      </c>
      <c r="H106" s="15">
        <v>0.21328944477634737</v>
      </c>
    </row>
    <row r="107" spans="4:8" x14ac:dyDescent="0.45">
      <c r="D107" s="8">
        <v>0.31</v>
      </c>
      <c r="E107">
        <v>6700</v>
      </c>
      <c r="F107">
        <v>14</v>
      </c>
      <c r="G107" s="12">
        <v>53.6</v>
      </c>
      <c r="H107" s="15">
        <v>0.1691746580483301</v>
      </c>
    </row>
    <row r="108" spans="4:8" x14ac:dyDescent="0.45">
      <c r="D108" s="8">
        <v>0.31</v>
      </c>
      <c r="E108">
        <v>6700</v>
      </c>
      <c r="F108">
        <v>12</v>
      </c>
      <c r="G108" s="12">
        <v>60.25</v>
      </c>
      <c r="H108" s="15">
        <v>0.25307339042449667</v>
      </c>
    </row>
    <row r="109" spans="4:8" x14ac:dyDescent="0.45">
      <c r="D109" s="8">
        <v>0.31</v>
      </c>
      <c r="E109">
        <v>6800</v>
      </c>
      <c r="F109">
        <v>15</v>
      </c>
      <c r="G109" s="12">
        <v>60.23</v>
      </c>
      <c r="H109" s="15">
        <v>0.1963214006311724</v>
      </c>
    </row>
    <row r="110" spans="4:8" x14ac:dyDescent="0.45">
      <c r="D110" s="8">
        <v>0.31</v>
      </c>
      <c r="E110">
        <v>6800</v>
      </c>
      <c r="F110">
        <v>11</v>
      </c>
      <c r="G110" s="12">
        <v>54.6</v>
      </c>
      <c r="H110" s="15">
        <v>0.2805505249443937</v>
      </c>
    </row>
    <row r="111" spans="4:8" x14ac:dyDescent="0.45">
      <c r="D111" s="8">
        <v>0.31</v>
      </c>
      <c r="E111">
        <v>7200</v>
      </c>
      <c r="F111">
        <v>13</v>
      </c>
      <c r="G111" s="12">
        <v>50.8</v>
      </c>
      <c r="H111" s="15">
        <v>0.15166666666666667</v>
      </c>
    </row>
    <row r="112" spans="4:8" x14ac:dyDescent="0.45">
      <c r="D112" s="8">
        <v>0.31</v>
      </c>
      <c r="E112">
        <v>7200</v>
      </c>
      <c r="F112">
        <v>12</v>
      </c>
      <c r="G112" s="12">
        <v>53</v>
      </c>
      <c r="H112" s="15">
        <v>0.13594594594594592</v>
      </c>
    </row>
    <row r="113" spans="4:8" x14ac:dyDescent="0.45">
      <c r="D113" s="8">
        <v>0.31</v>
      </c>
      <c r="E113">
        <v>7300</v>
      </c>
      <c r="F113">
        <v>12</v>
      </c>
      <c r="G113" s="12">
        <v>50.4</v>
      </c>
      <c r="H113" s="15">
        <v>0.11142857142857143</v>
      </c>
    </row>
    <row r="114" spans="4:8" x14ac:dyDescent="0.45">
      <c r="D114" s="8">
        <v>0.31</v>
      </c>
      <c r="E114">
        <v>7300</v>
      </c>
      <c r="F114">
        <v>12</v>
      </c>
      <c r="G114" s="12">
        <v>51</v>
      </c>
      <c r="H114" s="15">
        <v>0.18759999999999999</v>
      </c>
    </row>
    <row r="115" spans="4:8" x14ac:dyDescent="0.45">
      <c r="D115" s="8">
        <v>0.31</v>
      </c>
      <c r="E115">
        <v>7400</v>
      </c>
      <c r="F115">
        <v>8</v>
      </c>
      <c r="G115" s="12">
        <v>61</v>
      </c>
      <c r="H115" s="15">
        <v>0.2116666666666667</v>
      </c>
    </row>
    <row r="116" spans="4:8" x14ac:dyDescent="0.45">
      <c r="D116" s="8">
        <v>0.31</v>
      </c>
      <c r="E116">
        <v>7500</v>
      </c>
      <c r="F116">
        <v>12</v>
      </c>
      <c r="G116" s="12">
        <v>53.5</v>
      </c>
      <c r="H116" s="15">
        <v>0.12699999999999997</v>
      </c>
    </row>
    <row r="117" spans="4:8" x14ac:dyDescent="0.45">
      <c r="D117" s="8">
        <v>0.31</v>
      </c>
      <c r="E117">
        <v>7500</v>
      </c>
      <c r="F117">
        <v>12</v>
      </c>
      <c r="G117" s="12">
        <v>53.5</v>
      </c>
      <c r="H117" s="15">
        <v>0.12699999999999997</v>
      </c>
    </row>
    <row r="118" spans="4:8" x14ac:dyDescent="0.45">
      <c r="D118" s="8">
        <v>0.31</v>
      </c>
      <c r="E118">
        <v>7500</v>
      </c>
      <c r="F118">
        <v>13</v>
      </c>
      <c r="G118" s="12">
        <v>56.3</v>
      </c>
      <c r="H118" s="15">
        <v>0.10063829787234044</v>
      </c>
    </row>
    <row r="119" spans="4:8" x14ac:dyDescent="0.45">
      <c r="D119" s="8">
        <v>0.31</v>
      </c>
      <c r="E119">
        <v>7600</v>
      </c>
      <c r="F119">
        <v>9</v>
      </c>
      <c r="G119" s="12">
        <v>66</v>
      </c>
      <c r="H119" s="15">
        <v>8.1562499999999996E-2</v>
      </c>
    </row>
    <row r="120" spans="4:8" x14ac:dyDescent="0.45">
      <c r="D120" s="8">
        <v>0.31</v>
      </c>
      <c r="E120">
        <v>7600</v>
      </c>
      <c r="F120">
        <v>13</v>
      </c>
      <c r="G120" s="12">
        <v>58</v>
      </c>
      <c r="H120" s="15">
        <v>0.14937500000000001</v>
      </c>
    </row>
    <row r="121" spans="4:8" x14ac:dyDescent="0.45">
      <c r="D121" s="8">
        <v>0.31</v>
      </c>
      <c r="E121">
        <v>7600</v>
      </c>
      <c r="F121">
        <v>13</v>
      </c>
      <c r="G121" s="12">
        <v>58</v>
      </c>
      <c r="H121" s="15">
        <v>0.14937500000000001</v>
      </c>
    </row>
    <row r="122" spans="4:8" x14ac:dyDescent="0.45">
      <c r="D122" s="8">
        <v>0.31</v>
      </c>
      <c r="E122">
        <v>7900</v>
      </c>
      <c r="F122">
        <v>10</v>
      </c>
      <c r="G122" s="12">
        <v>63</v>
      </c>
      <c r="H122" s="15">
        <v>0.13611111111111113</v>
      </c>
    </row>
    <row r="123" spans="4:8" x14ac:dyDescent="0.45">
      <c r="D123" s="8">
        <v>0.31</v>
      </c>
      <c r="E123">
        <v>8900</v>
      </c>
      <c r="F123">
        <v>13</v>
      </c>
      <c r="G123" s="12">
        <v>51.2</v>
      </c>
      <c r="H123" s="15">
        <v>0.15052631578947367</v>
      </c>
    </row>
    <row r="124" spans="4:8" x14ac:dyDescent="0.45">
      <c r="D124" s="8">
        <v>0.31</v>
      </c>
      <c r="E124">
        <v>9000</v>
      </c>
      <c r="F124">
        <v>8</v>
      </c>
      <c r="G124" s="12">
        <v>65</v>
      </c>
      <c r="H124" s="15">
        <v>0.10574468085106384</v>
      </c>
    </row>
    <row r="125" spans="4:8" x14ac:dyDescent="0.45">
      <c r="D125" s="8">
        <v>0.31</v>
      </c>
      <c r="E125">
        <v>9000</v>
      </c>
      <c r="F125">
        <v>11</v>
      </c>
      <c r="G125" s="12">
        <v>53.4</v>
      </c>
      <c r="H125" s="15">
        <v>0.13375000000000001</v>
      </c>
    </row>
    <row r="126" spans="4:8" x14ac:dyDescent="0.45">
      <c r="D126" s="8">
        <v>0.31</v>
      </c>
      <c r="E126">
        <v>9400</v>
      </c>
      <c r="F126">
        <v>7</v>
      </c>
      <c r="G126" s="12">
        <v>51</v>
      </c>
      <c r="H126" s="15">
        <v>7.859374999999999E-2</v>
      </c>
    </row>
    <row r="127" spans="4:8" x14ac:dyDescent="0.45">
      <c r="D127" s="8">
        <v>0.31</v>
      </c>
      <c r="E127">
        <v>9400</v>
      </c>
      <c r="F127">
        <v>12</v>
      </c>
      <c r="G127" s="12">
        <v>52</v>
      </c>
      <c r="H127" s="15">
        <v>0.15499999999999997</v>
      </c>
    </row>
    <row r="128" spans="4:8" x14ac:dyDescent="0.45">
      <c r="D128" s="8">
        <v>0.32</v>
      </c>
      <c r="E128">
        <v>4400</v>
      </c>
      <c r="F128">
        <v>5</v>
      </c>
      <c r="G128" s="12">
        <v>53.8</v>
      </c>
      <c r="H128" s="15">
        <v>0.19707630146245031</v>
      </c>
    </row>
    <row r="129" spans="4:8" x14ac:dyDescent="0.45">
      <c r="D129" s="8">
        <v>0.32</v>
      </c>
      <c r="E129">
        <v>4600</v>
      </c>
      <c r="F129">
        <v>2</v>
      </c>
      <c r="G129" s="12">
        <v>54.1</v>
      </c>
      <c r="H129" s="15">
        <v>0.14974070312532509</v>
      </c>
    </row>
    <row r="130" spans="4:8" x14ac:dyDescent="0.45">
      <c r="D130" s="8">
        <v>0.32</v>
      </c>
      <c r="E130">
        <v>4600</v>
      </c>
      <c r="F130">
        <v>6</v>
      </c>
      <c r="G130" s="12">
        <v>52</v>
      </c>
      <c r="H130" s="15">
        <v>0.23764032364839593</v>
      </c>
    </row>
    <row r="131" spans="4:8" x14ac:dyDescent="0.45">
      <c r="D131" s="8">
        <v>0.32</v>
      </c>
      <c r="E131">
        <v>4600</v>
      </c>
      <c r="F131">
        <v>11</v>
      </c>
      <c r="G131" s="12">
        <v>55.6</v>
      </c>
      <c r="H131" s="15">
        <v>6.7460317460317443E-2</v>
      </c>
    </row>
    <row r="132" spans="4:8" x14ac:dyDescent="0.45">
      <c r="D132" s="8">
        <v>0.32</v>
      </c>
      <c r="E132">
        <v>4700</v>
      </c>
      <c r="F132">
        <v>1</v>
      </c>
      <c r="G132" s="12">
        <v>56</v>
      </c>
      <c r="H132" s="15">
        <v>0.13756756756756755</v>
      </c>
    </row>
    <row r="133" spans="4:8" x14ac:dyDescent="0.45">
      <c r="D133" s="8">
        <v>0.32</v>
      </c>
      <c r="E133">
        <v>4800</v>
      </c>
      <c r="F133">
        <v>2</v>
      </c>
      <c r="G133" s="12">
        <v>57</v>
      </c>
      <c r="H133" s="15">
        <v>0.11744186046511626</v>
      </c>
    </row>
    <row r="134" spans="4:8" x14ac:dyDescent="0.45">
      <c r="D134" s="8">
        <v>0.32</v>
      </c>
      <c r="E134">
        <v>4800</v>
      </c>
      <c r="F134">
        <v>7</v>
      </c>
      <c r="G134" s="12">
        <v>56</v>
      </c>
      <c r="H134" s="15">
        <v>0.12820512820512822</v>
      </c>
    </row>
    <row r="135" spans="4:8" x14ac:dyDescent="0.45">
      <c r="D135" s="8">
        <v>0.32</v>
      </c>
      <c r="E135">
        <v>6400</v>
      </c>
      <c r="F135">
        <v>7</v>
      </c>
      <c r="G135" s="12">
        <v>59.68</v>
      </c>
      <c r="H135" s="15">
        <v>0.23959750420086826</v>
      </c>
    </row>
    <row r="136" spans="4:8" x14ac:dyDescent="0.45">
      <c r="D136" s="8">
        <v>0.32</v>
      </c>
      <c r="E136">
        <v>6400</v>
      </c>
      <c r="F136">
        <v>8</v>
      </c>
      <c r="G136" s="12">
        <v>61.54</v>
      </c>
      <c r="H136" s="15">
        <v>0.23627057748898353</v>
      </c>
    </row>
    <row r="137" spans="4:8" x14ac:dyDescent="0.45">
      <c r="D137" s="8">
        <v>0.32</v>
      </c>
      <c r="E137">
        <v>6400</v>
      </c>
      <c r="F137">
        <v>12</v>
      </c>
      <c r="G137" s="12">
        <v>53.4</v>
      </c>
      <c r="H137" s="15">
        <v>0.31779552170720005</v>
      </c>
    </row>
    <row r="138" spans="4:8" x14ac:dyDescent="0.45">
      <c r="D138" s="8">
        <v>0.32</v>
      </c>
      <c r="E138">
        <v>6400</v>
      </c>
      <c r="F138">
        <v>10</v>
      </c>
      <c r="G138" s="12">
        <v>54</v>
      </c>
      <c r="H138" s="15">
        <v>0.26365688710177548</v>
      </c>
    </row>
    <row r="139" spans="4:8" x14ac:dyDescent="0.45">
      <c r="D139" s="8">
        <v>0.32</v>
      </c>
      <c r="E139">
        <v>6400</v>
      </c>
      <c r="F139">
        <v>7</v>
      </c>
      <c r="G139" s="12">
        <v>65.400000000000006</v>
      </c>
      <c r="H139" s="15">
        <v>0.18112740305886965</v>
      </c>
    </row>
    <row r="140" spans="4:8" x14ac:dyDescent="0.45">
      <c r="D140" s="8">
        <v>0.32</v>
      </c>
      <c r="E140">
        <v>6500</v>
      </c>
      <c r="F140">
        <v>3</v>
      </c>
      <c r="G140" s="12">
        <v>61.52</v>
      </c>
      <c r="H140" s="15">
        <v>0.22283703862739893</v>
      </c>
    </row>
    <row r="141" spans="4:8" x14ac:dyDescent="0.45">
      <c r="D141" s="8">
        <v>0.32</v>
      </c>
      <c r="E141">
        <v>6500</v>
      </c>
      <c r="F141">
        <v>11</v>
      </c>
      <c r="G141" s="12">
        <v>58.2</v>
      </c>
      <c r="H141" s="15">
        <v>0.27431325271808171</v>
      </c>
    </row>
    <row r="142" spans="4:8" x14ac:dyDescent="0.45">
      <c r="D142" s="8">
        <v>0.32</v>
      </c>
      <c r="E142">
        <v>6500</v>
      </c>
      <c r="F142">
        <v>10</v>
      </c>
      <c r="G142" s="12">
        <v>63.8</v>
      </c>
      <c r="H142" s="15">
        <v>0.19501222045232036</v>
      </c>
    </row>
    <row r="143" spans="4:8" x14ac:dyDescent="0.45">
      <c r="D143" s="8">
        <v>0.32</v>
      </c>
      <c r="E143">
        <v>6500</v>
      </c>
      <c r="F143">
        <v>9</v>
      </c>
      <c r="G143" s="12">
        <v>61.2</v>
      </c>
      <c r="H143" s="15">
        <v>0.23943120547953586</v>
      </c>
    </row>
    <row r="144" spans="4:8" x14ac:dyDescent="0.45">
      <c r="D144" s="8">
        <v>0.32</v>
      </c>
      <c r="E144">
        <v>6500</v>
      </c>
      <c r="F144">
        <v>9</v>
      </c>
      <c r="G144" s="12">
        <v>55.1</v>
      </c>
      <c r="H144" s="15">
        <v>0.2567156565590859</v>
      </c>
    </row>
    <row r="145" spans="4:8" x14ac:dyDescent="0.45">
      <c r="D145" s="8">
        <v>0.32</v>
      </c>
      <c r="E145">
        <v>6500</v>
      </c>
      <c r="F145">
        <v>13</v>
      </c>
      <c r="G145" s="12">
        <v>65.209999999999994</v>
      </c>
      <c r="H145" s="15">
        <v>0.23606078883983433</v>
      </c>
    </row>
    <row r="146" spans="4:8" x14ac:dyDescent="0.45">
      <c r="D146" s="8">
        <v>0.32</v>
      </c>
      <c r="E146">
        <v>6500</v>
      </c>
      <c r="F146">
        <v>6</v>
      </c>
      <c r="G146" s="12">
        <v>50.6</v>
      </c>
      <c r="H146" s="15">
        <v>0.3116068274198126</v>
      </c>
    </row>
    <row r="147" spans="4:8" x14ac:dyDescent="0.45">
      <c r="D147" s="8">
        <v>0.32</v>
      </c>
      <c r="E147">
        <v>6600</v>
      </c>
      <c r="F147">
        <v>8</v>
      </c>
      <c r="G147" s="12">
        <v>61.6</v>
      </c>
      <c r="H147" s="15">
        <v>0.27783313607179561</v>
      </c>
    </row>
    <row r="148" spans="4:8" x14ac:dyDescent="0.45">
      <c r="D148" s="8">
        <v>0.32</v>
      </c>
      <c r="E148">
        <v>6600</v>
      </c>
      <c r="F148">
        <v>13</v>
      </c>
      <c r="G148" s="12">
        <v>52.7</v>
      </c>
      <c r="H148" s="15">
        <v>0.20602789391114404</v>
      </c>
    </row>
    <row r="149" spans="4:8" x14ac:dyDescent="0.45">
      <c r="D149" s="8">
        <v>0.32</v>
      </c>
      <c r="E149">
        <v>6600</v>
      </c>
      <c r="F149">
        <v>12</v>
      </c>
      <c r="G149" s="12">
        <v>53.8</v>
      </c>
      <c r="H149" s="15">
        <v>0.23324463546220034</v>
      </c>
    </row>
    <row r="150" spans="4:8" x14ac:dyDescent="0.45">
      <c r="D150" s="8">
        <v>0.32</v>
      </c>
      <c r="E150">
        <v>6800</v>
      </c>
      <c r="F150">
        <v>9</v>
      </c>
      <c r="G150" s="12">
        <v>72.400000000000006</v>
      </c>
      <c r="H150" s="15">
        <v>0.22699893779567593</v>
      </c>
    </row>
    <row r="151" spans="4:8" x14ac:dyDescent="0.45">
      <c r="D151" s="8">
        <v>0.32</v>
      </c>
      <c r="E151">
        <v>6900</v>
      </c>
      <c r="F151">
        <v>8</v>
      </c>
      <c r="G151" s="12">
        <v>63.1</v>
      </c>
      <c r="H151" s="15">
        <v>0.26677558077001123</v>
      </c>
    </row>
    <row r="152" spans="4:8" x14ac:dyDescent="0.45">
      <c r="D152" s="8">
        <v>0.32</v>
      </c>
      <c r="E152">
        <v>6900</v>
      </c>
      <c r="F152">
        <v>10</v>
      </c>
      <c r="G152" s="12">
        <v>55.3</v>
      </c>
      <c r="H152" s="15">
        <v>0.23395607983146102</v>
      </c>
    </row>
    <row r="153" spans="4:8" x14ac:dyDescent="0.45">
      <c r="D153" s="8">
        <v>0.32</v>
      </c>
      <c r="E153">
        <v>7200</v>
      </c>
      <c r="F153">
        <v>13</v>
      </c>
      <c r="G153" s="12">
        <v>52</v>
      </c>
      <c r="H153" s="15">
        <v>0.24777777777777782</v>
      </c>
    </row>
    <row r="154" spans="4:8" x14ac:dyDescent="0.45">
      <c r="D154" s="8">
        <v>0.32</v>
      </c>
      <c r="E154">
        <v>7200</v>
      </c>
      <c r="F154">
        <v>13</v>
      </c>
      <c r="G154" s="12">
        <v>52</v>
      </c>
      <c r="H154" s="15">
        <v>0.24777777777777782</v>
      </c>
    </row>
    <row r="155" spans="4:8" x14ac:dyDescent="0.45">
      <c r="D155" s="8">
        <v>0.32</v>
      </c>
      <c r="E155">
        <v>7500</v>
      </c>
      <c r="F155">
        <v>11</v>
      </c>
      <c r="G155" s="12">
        <v>57</v>
      </c>
      <c r="H155" s="15">
        <v>0.14222222222222219</v>
      </c>
    </row>
    <row r="156" spans="4:8" x14ac:dyDescent="0.45">
      <c r="D156" s="8">
        <v>0.32</v>
      </c>
      <c r="E156">
        <v>7500</v>
      </c>
      <c r="F156">
        <v>13</v>
      </c>
      <c r="G156" s="12">
        <v>58.3</v>
      </c>
      <c r="H156" s="15">
        <v>0.23045454545454547</v>
      </c>
    </row>
    <row r="157" spans="4:8" x14ac:dyDescent="0.45">
      <c r="D157" s="8">
        <v>0.32</v>
      </c>
      <c r="E157">
        <v>7500</v>
      </c>
      <c r="F157">
        <v>13</v>
      </c>
      <c r="G157" s="12">
        <v>58.3</v>
      </c>
      <c r="H157" s="15">
        <v>0.23045454545454547</v>
      </c>
    </row>
    <row r="158" spans="4:8" x14ac:dyDescent="0.45">
      <c r="D158" s="8">
        <v>0.32</v>
      </c>
      <c r="E158">
        <v>7800</v>
      </c>
      <c r="F158">
        <v>12</v>
      </c>
      <c r="G158" s="12">
        <v>54.6</v>
      </c>
      <c r="H158" s="15">
        <v>9.441860465116278E-2</v>
      </c>
    </row>
    <row r="159" spans="4:8" x14ac:dyDescent="0.45">
      <c r="D159" s="8">
        <v>0.32</v>
      </c>
      <c r="E159">
        <v>8300</v>
      </c>
      <c r="F159">
        <v>12</v>
      </c>
      <c r="G159" s="12">
        <v>54.2</v>
      </c>
      <c r="H159" s="15">
        <v>0.1275</v>
      </c>
    </row>
    <row r="160" spans="4:8" x14ac:dyDescent="0.45">
      <c r="D160" s="8">
        <v>0.32</v>
      </c>
      <c r="E160">
        <v>9300</v>
      </c>
      <c r="F160">
        <v>13</v>
      </c>
      <c r="G160" s="12">
        <v>51</v>
      </c>
      <c r="H160" s="15">
        <v>0.17200000000000004</v>
      </c>
    </row>
    <row r="161" spans="4:8" x14ac:dyDescent="0.45">
      <c r="D161" s="8">
        <v>0.33</v>
      </c>
      <c r="E161">
        <v>4200</v>
      </c>
      <c r="F161">
        <v>11</v>
      </c>
      <c r="G161" s="12">
        <v>58.7</v>
      </c>
      <c r="H161" s="15">
        <v>0.27048021062639283</v>
      </c>
    </row>
    <row r="162" spans="4:8" x14ac:dyDescent="0.45">
      <c r="D162" s="8">
        <v>0.33</v>
      </c>
      <c r="E162">
        <v>4200</v>
      </c>
      <c r="F162">
        <v>11</v>
      </c>
      <c r="G162" s="12">
        <v>58.7</v>
      </c>
      <c r="H162" s="15">
        <v>0.20148353788090087</v>
      </c>
    </row>
    <row r="163" spans="4:8" x14ac:dyDescent="0.45">
      <c r="D163" s="8">
        <v>0.33</v>
      </c>
      <c r="E163">
        <v>4600</v>
      </c>
      <c r="F163">
        <v>1</v>
      </c>
      <c r="G163" s="12">
        <v>54.9</v>
      </c>
      <c r="H163" s="15">
        <v>0.19664567984726455</v>
      </c>
    </row>
    <row r="164" spans="4:8" x14ac:dyDescent="0.45">
      <c r="D164" s="8">
        <v>0.33</v>
      </c>
      <c r="E164">
        <v>4600</v>
      </c>
      <c r="F164">
        <v>4</v>
      </c>
      <c r="G164" s="12">
        <v>50.81</v>
      </c>
      <c r="H164" s="15">
        <v>0.22738906461947886</v>
      </c>
    </row>
    <row r="165" spans="4:8" x14ac:dyDescent="0.45">
      <c r="D165" s="8">
        <v>0.33</v>
      </c>
      <c r="E165">
        <v>4600</v>
      </c>
      <c r="F165">
        <v>4</v>
      </c>
      <c r="G165" s="12">
        <v>54</v>
      </c>
      <c r="H165" s="15">
        <v>0.19887970669654612</v>
      </c>
    </row>
    <row r="166" spans="4:8" x14ac:dyDescent="0.45">
      <c r="D166" s="8">
        <v>0.33</v>
      </c>
      <c r="E166">
        <v>4700</v>
      </c>
      <c r="F166">
        <v>6</v>
      </c>
      <c r="G166" s="12">
        <v>70.8</v>
      </c>
      <c r="H166" s="15">
        <v>0.2174956277134806</v>
      </c>
    </row>
    <row r="167" spans="4:8" x14ac:dyDescent="0.45">
      <c r="D167" s="8">
        <v>0.33</v>
      </c>
      <c r="E167">
        <v>4700</v>
      </c>
      <c r="F167">
        <v>2</v>
      </c>
      <c r="G167" s="12">
        <v>54</v>
      </c>
      <c r="H167" s="15">
        <v>0.21123915662655429</v>
      </c>
    </row>
    <row r="168" spans="4:8" x14ac:dyDescent="0.45">
      <c r="D168" s="8">
        <v>0.33</v>
      </c>
      <c r="E168">
        <v>4700</v>
      </c>
      <c r="F168">
        <v>6</v>
      </c>
      <c r="G168" s="12">
        <v>70.8</v>
      </c>
      <c r="H168" s="15">
        <v>0.29074832662793343</v>
      </c>
    </row>
    <row r="169" spans="4:8" x14ac:dyDescent="0.45">
      <c r="D169" s="8">
        <v>0.33</v>
      </c>
      <c r="E169">
        <v>6100</v>
      </c>
      <c r="F169">
        <v>13</v>
      </c>
      <c r="G169" s="12">
        <v>70.8</v>
      </c>
      <c r="H169" s="15">
        <v>0.26108965103804832</v>
      </c>
    </row>
    <row r="170" spans="4:8" x14ac:dyDescent="0.45">
      <c r="D170" s="8">
        <v>0.33</v>
      </c>
      <c r="E170">
        <v>6300</v>
      </c>
      <c r="F170">
        <v>9</v>
      </c>
      <c r="G170" s="12">
        <v>61.5</v>
      </c>
      <c r="H170" s="15">
        <v>0.23097034886316811</v>
      </c>
    </row>
    <row r="171" spans="4:8" x14ac:dyDescent="0.45">
      <c r="D171" s="8">
        <v>0.33</v>
      </c>
      <c r="E171">
        <v>6300</v>
      </c>
      <c r="F171">
        <v>9</v>
      </c>
      <c r="G171" s="12">
        <v>62.45</v>
      </c>
      <c r="H171" s="15">
        <v>0.28537497507917958</v>
      </c>
    </row>
    <row r="172" spans="4:8" x14ac:dyDescent="0.45">
      <c r="D172" s="8">
        <v>0.33</v>
      </c>
      <c r="E172">
        <v>6300</v>
      </c>
      <c r="F172">
        <v>13</v>
      </c>
      <c r="G172" s="12">
        <v>51.1</v>
      </c>
      <c r="H172" s="15">
        <v>0.23556988774614743</v>
      </c>
    </row>
    <row r="173" spans="4:8" x14ac:dyDescent="0.45">
      <c r="D173" s="8">
        <v>0.33</v>
      </c>
      <c r="E173">
        <v>6400</v>
      </c>
      <c r="F173">
        <v>12</v>
      </c>
      <c r="G173" s="12">
        <v>60.38</v>
      </c>
      <c r="H173" s="15">
        <v>0.18344293174709222</v>
      </c>
    </row>
    <row r="174" spans="4:8" x14ac:dyDescent="0.45">
      <c r="D174" s="8">
        <v>0.33</v>
      </c>
      <c r="E174">
        <v>6400</v>
      </c>
      <c r="F174">
        <v>10</v>
      </c>
      <c r="G174" s="12">
        <v>59.82</v>
      </c>
      <c r="H174" s="15">
        <v>0.25592827978036187</v>
      </c>
    </row>
    <row r="175" spans="4:8" x14ac:dyDescent="0.45">
      <c r="D175" s="8">
        <v>0.33</v>
      </c>
      <c r="E175">
        <v>6400</v>
      </c>
      <c r="F175">
        <v>13</v>
      </c>
      <c r="G175" s="12">
        <v>52.8</v>
      </c>
      <c r="H175" s="15">
        <v>0.26526069967220828</v>
      </c>
    </row>
    <row r="176" spans="4:8" x14ac:dyDescent="0.45">
      <c r="D176" s="8">
        <v>0.33</v>
      </c>
      <c r="E176">
        <v>6500</v>
      </c>
      <c r="F176">
        <v>0</v>
      </c>
      <c r="G176" s="12">
        <v>52.4</v>
      </c>
      <c r="H176" s="15">
        <v>0.18154499524307147</v>
      </c>
    </row>
    <row r="177" spans="4:8" x14ac:dyDescent="0.45">
      <c r="D177" s="8">
        <v>0.33</v>
      </c>
      <c r="E177">
        <v>6500</v>
      </c>
      <c r="F177">
        <v>10</v>
      </c>
      <c r="G177" s="12">
        <v>50.6</v>
      </c>
      <c r="H177" s="15">
        <v>0.24103727618100815</v>
      </c>
    </row>
    <row r="178" spans="4:8" x14ac:dyDescent="0.45">
      <c r="D178" s="8">
        <v>0.33</v>
      </c>
      <c r="E178">
        <v>6500</v>
      </c>
      <c r="F178">
        <v>10</v>
      </c>
      <c r="G178" s="12">
        <v>62.5</v>
      </c>
      <c r="H178" s="15">
        <v>0.21906210894360739</v>
      </c>
    </row>
    <row r="179" spans="4:8" x14ac:dyDescent="0.45">
      <c r="D179" s="8">
        <v>0.33</v>
      </c>
      <c r="E179">
        <v>6500</v>
      </c>
      <c r="F179">
        <v>13</v>
      </c>
      <c r="G179" s="12">
        <v>60.58</v>
      </c>
      <c r="H179" s="15">
        <v>0.23671422013334992</v>
      </c>
    </row>
    <row r="180" spans="4:8" x14ac:dyDescent="0.45">
      <c r="D180" s="8">
        <v>0.33</v>
      </c>
      <c r="E180">
        <v>6500</v>
      </c>
      <c r="F180">
        <v>14</v>
      </c>
      <c r="G180" s="12">
        <v>52</v>
      </c>
      <c r="H180" s="15">
        <v>0.17712236350376195</v>
      </c>
    </row>
    <row r="181" spans="4:8" x14ac:dyDescent="0.45">
      <c r="D181" s="8">
        <v>0.33</v>
      </c>
      <c r="E181">
        <v>6600</v>
      </c>
      <c r="F181">
        <v>13</v>
      </c>
      <c r="G181" s="12">
        <v>60.59</v>
      </c>
      <c r="H181" s="15">
        <v>0.23303561552593544</v>
      </c>
    </row>
    <row r="182" spans="4:8" x14ac:dyDescent="0.45">
      <c r="D182" s="8">
        <v>0.33</v>
      </c>
      <c r="E182">
        <v>6700</v>
      </c>
      <c r="F182">
        <v>11</v>
      </c>
      <c r="G182" s="12">
        <v>53.3</v>
      </c>
      <c r="H182" s="15">
        <v>0.19778474081190503</v>
      </c>
    </row>
    <row r="183" spans="4:8" x14ac:dyDescent="0.45">
      <c r="D183" s="8">
        <v>0.33</v>
      </c>
      <c r="E183">
        <v>6700</v>
      </c>
      <c r="F183">
        <v>13</v>
      </c>
      <c r="G183" s="12">
        <v>62</v>
      </c>
      <c r="H183" s="15">
        <v>0.24736942956583333</v>
      </c>
    </row>
    <row r="184" spans="4:8" x14ac:dyDescent="0.45">
      <c r="D184" s="8">
        <v>0.33</v>
      </c>
      <c r="E184">
        <v>6800</v>
      </c>
      <c r="F184">
        <v>12</v>
      </c>
      <c r="G184" s="12">
        <v>52</v>
      </c>
      <c r="H184" s="15">
        <v>0.11808510638297874</v>
      </c>
    </row>
    <row r="185" spans="4:8" x14ac:dyDescent="0.45">
      <c r="D185" s="8">
        <v>0.33</v>
      </c>
      <c r="E185">
        <v>6900</v>
      </c>
      <c r="F185">
        <v>13</v>
      </c>
      <c r="G185" s="12">
        <v>54.3</v>
      </c>
      <c r="H185" s="15">
        <v>0.12051282051282051</v>
      </c>
    </row>
    <row r="186" spans="4:8" x14ac:dyDescent="0.45">
      <c r="D186" s="8">
        <v>0.33</v>
      </c>
      <c r="E186">
        <v>7400</v>
      </c>
      <c r="F186">
        <v>10</v>
      </c>
      <c r="G186" s="12">
        <v>51.4</v>
      </c>
      <c r="H186" s="15">
        <v>0.10999999999999999</v>
      </c>
    </row>
    <row r="187" spans="4:8" x14ac:dyDescent="0.45">
      <c r="D187" s="8">
        <v>0.33</v>
      </c>
      <c r="E187">
        <v>9200</v>
      </c>
      <c r="F187">
        <v>9</v>
      </c>
      <c r="G187" s="12">
        <v>55</v>
      </c>
      <c r="H187" s="15">
        <v>0.21080000000000002</v>
      </c>
    </row>
    <row r="188" spans="4:8" x14ac:dyDescent="0.45">
      <c r="D188" s="8">
        <v>0.34</v>
      </c>
      <c r="E188">
        <v>4200</v>
      </c>
      <c r="F188">
        <v>12</v>
      </c>
      <c r="G188" s="12">
        <v>50.1</v>
      </c>
      <c r="H188" s="15">
        <v>0.17715691453229304</v>
      </c>
    </row>
    <row r="189" spans="4:8" x14ac:dyDescent="0.45">
      <c r="D189" s="8">
        <v>0.34</v>
      </c>
      <c r="E189">
        <v>4300</v>
      </c>
      <c r="F189">
        <v>7</v>
      </c>
      <c r="G189" s="12">
        <v>57.3</v>
      </c>
      <c r="H189" s="15">
        <v>0.22597617339744897</v>
      </c>
    </row>
    <row r="190" spans="4:8" x14ac:dyDescent="0.45">
      <c r="D190" s="8">
        <v>0.34</v>
      </c>
      <c r="E190">
        <v>4300</v>
      </c>
      <c r="F190">
        <v>7</v>
      </c>
      <c r="G190" s="12">
        <v>57.3</v>
      </c>
      <c r="H190" s="15">
        <v>0.25442254632723527</v>
      </c>
    </row>
    <row r="191" spans="4:8" x14ac:dyDescent="0.45">
      <c r="D191" s="8">
        <v>0.34</v>
      </c>
      <c r="E191">
        <v>4300</v>
      </c>
      <c r="F191">
        <v>1</v>
      </c>
      <c r="G191" s="12">
        <v>53</v>
      </c>
      <c r="H191" s="15">
        <v>8.2549019607843138E-2</v>
      </c>
    </row>
    <row r="192" spans="4:8" x14ac:dyDescent="0.45">
      <c r="D192" s="8">
        <v>0.34</v>
      </c>
      <c r="E192">
        <v>4400</v>
      </c>
      <c r="F192">
        <v>7</v>
      </c>
      <c r="G192" s="12">
        <v>52.5</v>
      </c>
      <c r="H192" s="15">
        <v>0.22706377113761025</v>
      </c>
    </row>
    <row r="193" spans="4:8" x14ac:dyDescent="0.45">
      <c r="D193" s="8">
        <v>0.34</v>
      </c>
      <c r="E193">
        <v>4400</v>
      </c>
      <c r="F193">
        <v>7</v>
      </c>
      <c r="G193" s="12">
        <v>52.5</v>
      </c>
      <c r="H193" s="15">
        <v>0.28380558696080332</v>
      </c>
    </row>
    <row r="194" spans="4:8" x14ac:dyDescent="0.45">
      <c r="D194" s="8">
        <v>0.34</v>
      </c>
      <c r="E194">
        <v>4400</v>
      </c>
      <c r="F194">
        <v>11</v>
      </c>
      <c r="G194" s="12">
        <v>51</v>
      </c>
      <c r="H194" s="15">
        <v>0.19764384378539021</v>
      </c>
    </row>
    <row r="195" spans="4:8" x14ac:dyDescent="0.45">
      <c r="D195" s="8">
        <v>0.34</v>
      </c>
      <c r="E195">
        <v>4600</v>
      </c>
      <c r="F195">
        <v>7</v>
      </c>
      <c r="G195" s="12">
        <v>56</v>
      </c>
      <c r="H195" s="15">
        <v>0.14472222222222222</v>
      </c>
    </row>
    <row r="196" spans="4:8" x14ac:dyDescent="0.45">
      <c r="D196" s="8">
        <v>0.34</v>
      </c>
      <c r="E196">
        <v>4700</v>
      </c>
      <c r="F196">
        <v>9</v>
      </c>
      <c r="G196" s="12">
        <v>53.8</v>
      </c>
      <c r="H196" s="15">
        <v>0.19310273242983025</v>
      </c>
    </row>
    <row r="197" spans="4:8" x14ac:dyDescent="0.45">
      <c r="D197" s="8">
        <v>0.34</v>
      </c>
      <c r="E197">
        <v>4700</v>
      </c>
      <c r="F197">
        <v>2</v>
      </c>
      <c r="G197" s="12">
        <v>56</v>
      </c>
      <c r="H197" s="15">
        <v>8.2962962962962961E-2</v>
      </c>
    </row>
    <row r="198" spans="4:8" x14ac:dyDescent="0.45">
      <c r="D198" s="8">
        <v>0.34</v>
      </c>
      <c r="E198">
        <v>5200</v>
      </c>
      <c r="F198">
        <v>1</v>
      </c>
      <c r="G198" s="12">
        <v>50.7</v>
      </c>
      <c r="H198" s="15">
        <v>0.16437847427345886</v>
      </c>
    </row>
    <row r="199" spans="4:8" x14ac:dyDescent="0.45">
      <c r="D199" s="8">
        <v>0.34</v>
      </c>
      <c r="E199">
        <v>6300</v>
      </c>
      <c r="F199">
        <v>7</v>
      </c>
      <c r="G199" s="12">
        <v>60.2</v>
      </c>
      <c r="H199" s="15">
        <v>0.2620648434335035</v>
      </c>
    </row>
    <row r="200" spans="4:8" x14ac:dyDescent="0.45">
      <c r="D200" s="8">
        <v>0.34</v>
      </c>
      <c r="E200">
        <v>6400</v>
      </c>
      <c r="F200">
        <v>6</v>
      </c>
      <c r="G200" s="12">
        <v>60.1</v>
      </c>
      <c r="H200" s="15">
        <v>0.21282167002279564</v>
      </c>
    </row>
    <row r="201" spans="4:8" x14ac:dyDescent="0.45">
      <c r="D201" s="8">
        <v>0.34</v>
      </c>
      <c r="E201">
        <v>6400</v>
      </c>
      <c r="F201">
        <v>4</v>
      </c>
      <c r="G201" s="12">
        <v>64.28</v>
      </c>
      <c r="H201" s="15">
        <v>0.24467225332882694</v>
      </c>
    </row>
    <row r="202" spans="4:8" x14ac:dyDescent="0.45">
      <c r="D202" s="8">
        <v>0.34</v>
      </c>
      <c r="E202">
        <v>6400</v>
      </c>
      <c r="F202">
        <v>6</v>
      </c>
      <c r="G202" s="12">
        <v>52.5</v>
      </c>
      <c r="H202" s="15">
        <v>0.31865048330616252</v>
      </c>
    </row>
    <row r="203" spans="4:8" x14ac:dyDescent="0.45">
      <c r="D203" s="8">
        <v>0.34</v>
      </c>
      <c r="E203">
        <v>6400</v>
      </c>
      <c r="F203">
        <v>9</v>
      </c>
      <c r="G203" s="12">
        <v>50.7</v>
      </c>
      <c r="H203" s="15">
        <v>0.22982583769075551</v>
      </c>
    </row>
    <row r="204" spans="4:8" x14ac:dyDescent="0.45">
      <c r="D204" s="8">
        <v>0.34</v>
      </c>
      <c r="E204">
        <v>6500</v>
      </c>
      <c r="F204">
        <v>12</v>
      </c>
      <c r="G204" s="12">
        <v>58.3</v>
      </c>
      <c r="H204" s="15">
        <v>0.25128023838392116</v>
      </c>
    </row>
    <row r="205" spans="4:8" x14ac:dyDescent="0.45">
      <c r="D205" s="8">
        <v>0.34</v>
      </c>
      <c r="E205">
        <v>6500</v>
      </c>
      <c r="F205">
        <v>0</v>
      </c>
      <c r="G205" s="12">
        <v>62.5</v>
      </c>
      <c r="H205" s="15">
        <v>0.18749842370912684</v>
      </c>
    </row>
    <row r="206" spans="4:8" x14ac:dyDescent="0.45">
      <c r="D206" s="8">
        <v>0.34</v>
      </c>
      <c r="E206">
        <v>6500</v>
      </c>
      <c r="F206">
        <v>9</v>
      </c>
      <c r="G206" s="12">
        <v>61.5</v>
      </c>
      <c r="H206" s="15">
        <v>0.29074530529788856</v>
      </c>
    </row>
    <row r="207" spans="4:8" x14ac:dyDescent="0.45">
      <c r="D207" s="8">
        <v>0.34</v>
      </c>
      <c r="E207">
        <v>6500</v>
      </c>
      <c r="F207">
        <v>12</v>
      </c>
      <c r="G207" s="12">
        <v>52.1</v>
      </c>
      <c r="H207" s="15">
        <v>0.20099621001414439</v>
      </c>
    </row>
    <row r="208" spans="4:8" x14ac:dyDescent="0.45">
      <c r="D208" s="8">
        <v>0.34</v>
      </c>
      <c r="E208">
        <v>6500</v>
      </c>
      <c r="F208">
        <v>11</v>
      </c>
      <c r="G208" s="12">
        <v>54.9</v>
      </c>
      <c r="H208" s="15">
        <v>0.18263076374937526</v>
      </c>
    </row>
    <row r="209" spans="4:8" x14ac:dyDescent="0.45">
      <c r="D209" s="8">
        <v>0.34</v>
      </c>
      <c r="E209">
        <v>6500</v>
      </c>
      <c r="F209">
        <v>7</v>
      </c>
      <c r="G209" s="12">
        <v>63.74</v>
      </c>
      <c r="H209" s="15">
        <v>0.2399306491187482</v>
      </c>
    </row>
    <row r="210" spans="4:8" x14ac:dyDescent="0.45">
      <c r="D210" s="8">
        <v>0.34</v>
      </c>
      <c r="E210">
        <v>6500</v>
      </c>
      <c r="F210">
        <v>14</v>
      </c>
      <c r="G210" s="12">
        <v>60.58</v>
      </c>
      <c r="H210" s="15">
        <v>0.23017344284384517</v>
      </c>
    </row>
    <row r="211" spans="4:8" x14ac:dyDescent="0.45">
      <c r="D211" s="8">
        <v>0.34</v>
      </c>
      <c r="E211">
        <v>6500</v>
      </c>
      <c r="F211">
        <v>14</v>
      </c>
      <c r="G211" s="12">
        <v>53.2</v>
      </c>
      <c r="H211" s="15">
        <v>0.24630993523840181</v>
      </c>
    </row>
    <row r="212" spans="4:8" x14ac:dyDescent="0.45">
      <c r="D212" s="8">
        <v>0.34</v>
      </c>
      <c r="E212">
        <v>6600</v>
      </c>
      <c r="F212">
        <v>5</v>
      </c>
      <c r="G212" s="12">
        <v>60.2</v>
      </c>
      <c r="H212" s="15">
        <v>0.23355295301968218</v>
      </c>
    </row>
    <row r="213" spans="4:8" x14ac:dyDescent="0.45">
      <c r="D213" s="8">
        <v>0.34</v>
      </c>
      <c r="E213">
        <v>6600</v>
      </c>
      <c r="F213">
        <v>4</v>
      </c>
      <c r="G213" s="12">
        <v>58.24</v>
      </c>
      <c r="H213" s="15">
        <v>0.21309040123524076</v>
      </c>
    </row>
    <row r="214" spans="4:8" x14ac:dyDescent="0.45">
      <c r="D214" s="8">
        <v>0.34</v>
      </c>
      <c r="E214">
        <v>6700</v>
      </c>
      <c r="F214">
        <v>6</v>
      </c>
      <c r="G214" s="12">
        <v>53.3</v>
      </c>
      <c r="H214" s="15">
        <v>0.24904356433033717</v>
      </c>
    </row>
    <row r="215" spans="4:8" x14ac:dyDescent="0.45">
      <c r="D215" s="8">
        <v>0.34</v>
      </c>
      <c r="E215">
        <v>8700</v>
      </c>
      <c r="F215">
        <v>12</v>
      </c>
      <c r="G215" s="12">
        <v>73</v>
      </c>
      <c r="H215" s="15">
        <v>0.10460000000000001</v>
      </c>
    </row>
    <row r="216" spans="4:8" x14ac:dyDescent="0.45">
      <c r="D216" s="8">
        <v>0.35</v>
      </c>
      <c r="E216">
        <v>4200</v>
      </c>
      <c r="F216">
        <v>2</v>
      </c>
      <c r="G216" s="12">
        <v>50.3</v>
      </c>
      <c r="H216" s="15">
        <v>0.22160446576401291</v>
      </c>
    </row>
    <row r="217" spans="4:8" x14ac:dyDescent="0.45">
      <c r="D217" s="8">
        <v>0.35</v>
      </c>
      <c r="E217">
        <v>4500</v>
      </c>
      <c r="F217">
        <v>3</v>
      </c>
      <c r="G217" s="12">
        <v>52</v>
      </c>
      <c r="H217" s="15">
        <v>0.22740334134490617</v>
      </c>
    </row>
    <row r="218" spans="4:8" x14ac:dyDescent="0.45">
      <c r="D218" s="8">
        <v>0.35</v>
      </c>
      <c r="E218">
        <v>4600</v>
      </c>
      <c r="F218">
        <v>7</v>
      </c>
      <c r="G218" s="12">
        <v>54.8</v>
      </c>
      <c r="H218" s="15">
        <v>0.23297051185495676</v>
      </c>
    </row>
    <row r="219" spans="4:8" x14ac:dyDescent="0.45">
      <c r="D219" s="8">
        <v>0.35</v>
      </c>
      <c r="E219">
        <v>4800</v>
      </c>
      <c r="F219">
        <v>3</v>
      </c>
      <c r="G219" s="12">
        <v>50.6</v>
      </c>
      <c r="H219" s="15">
        <v>0.20668014487811689</v>
      </c>
    </row>
    <row r="220" spans="4:8" x14ac:dyDescent="0.45">
      <c r="D220" s="8">
        <v>0.35</v>
      </c>
      <c r="E220">
        <v>4900</v>
      </c>
      <c r="F220">
        <v>0</v>
      </c>
      <c r="G220" s="12">
        <v>54</v>
      </c>
      <c r="H220" s="15">
        <v>0.12275</v>
      </c>
    </row>
    <row r="221" spans="4:8" x14ac:dyDescent="0.45">
      <c r="D221" s="8">
        <v>0.35</v>
      </c>
      <c r="E221">
        <v>6300</v>
      </c>
      <c r="F221">
        <v>7</v>
      </c>
      <c r="G221" s="12">
        <v>54.1</v>
      </c>
      <c r="H221" s="15">
        <v>0.22303545403866154</v>
      </c>
    </row>
    <row r="222" spans="4:8" x14ac:dyDescent="0.45">
      <c r="D222" s="8">
        <v>0.35</v>
      </c>
      <c r="E222">
        <v>6400</v>
      </c>
      <c r="F222">
        <v>12</v>
      </c>
      <c r="G222" s="12">
        <v>53.3</v>
      </c>
      <c r="H222" s="15">
        <v>0.24429846517190754</v>
      </c>
    </row>
    <row r="223" spans="4:8" x14ac:dyDescent="0.45">
      <c r="D223" s="8">
        <v>0.35</v>
      </c>
      <c r="E223">
        <v>6400</v>
      </c>
      <c r="F223">
        <v>7</v>
      </c>
      <c r="G223" s="12">
        <v>60.83</v>
      </c>
      <c r="H223" s="15">
        <v>0.26478797230546913</v>
      </c>
    </row>
    <row r="224" spans="4:8" x14ac:dyDescent="0.45">
      <c r="D224" s="8">
        <v>0.35</v>
      </c>
      <c r="E224">
        <v>6500</v>
      </c>
      <c r="F224">
        <v>6</v>
      </c>
      <c r="G224" s="12">
        <v>54.9</v>
      </c>
      <c r="H224" s="15">
        <v>0.26996244091275967</v>
      </c>
    </row>
    <row r="225" spans="4:8" x14ac:dyDescent="0.45">
      <c r="D225" s="8">
        <v>0.35</v>
      </c>
      <c r="E225">
        <v>6500</v>
      </c>
      <c r="F225">
        <v>13</v>
      </c>
      <c r="G225" s="12">
        <v>52.8</v>
      </c>
      <c r="H225" s="15">
        <v>0.21919358695578015</v>
      </c>
    </row>
    <row r="226" spans="4:8" x14ac:dyDescent="0.45">
      <c r="D226" s="8">
        <v>0.35</v>
      </c>
      <c r="E226">
        <v>6500</v>
      </c>
      <c r="F226">
        <v>15</v>
      </c>
      <c r="G226" s="12">
        <v>61.25</v>
      </c>
      <c r="H226" s="15">
        <v>0.22039229818066874</v>
      </c>
    </row>
    <row r="227" spans="4:8" x14ac:dyDescent="0.45">
      <c r="D227" s="8">
        <v>0.35</v>
      </c>
      <c r="E227">
        <v>6600</v>
      </c>
      <c r="F227">
        <v>13</v>
      </c>
      <c r="G227" s="12">
        <v>65.89</v>
      </c>
      <c r="H227" s="15">
        <v>0.28457177776859177</v>
      </c>
    </row>
    <row r="228" spans="4:8" x14ac:dyDescent="0.45">
      <c r="D228" s="8">
        <v>0.35</v>
      </c>
      <c r="E228">
        <v>6600</v>
      </c>
      <c r="F228">
        <v>10</v>
      </c>
      <c r="G228" s="12">
        <v>63.25</v>
      </c>
      <c r="H228" s="15">
        <v>0.23410492973471644</v>
      </c>
    </row>
    <row r="229" spans="4:8" x14ac:dyDescent="0.45">
      <c r="D229" s="8">
        <v>0.35</v>
      </c>
      <c r="E229">
        <v>6700</v>
      </c>
      <c r="F229">
        <v>10</v>
      </c>
      <c r="G229" s="12">
        <v>61.2</v>
      </c>
      <c r="H229" s="15">
        <v>0.21175275679675357</v>
      </c>
    </row>
    <row r="230" spans="4:8" x14ac:dyDescent="0.45">
      <c r="D230" s="8">
        <v>0.35</v>
      </c>
      <c r="E230">
        <v>6700</v>
      </c>
      <c r="F230">
        <v>9</v>
      </c>
      <c r="G230" s="12">
        <v>53.1</v>
      </c>
      <c r="H230" s="15">
        <v>0.22717170103347015</v>
      </c>
    </row>
    <row r="231" spans="4:8" x14ac:dyDescent="0.45">
      <c r="D231" s="8">
        <v>0.35</v>
      </c>
      <c r="E231">
        <v>6700</v>
      </c>
      <c r="F231">
        <v>12</v>
      </c>
      <c r="G231" s="12">
        <v>53</v>
      </c>
      <c r="H231" s="15">
        <v>0.19988448137107992</v>
      </c>
    </row>
    <row r="232" spans="4:8" x14ac:dyDescent="0.45">
      <c r="D232" s="8">
        <v>0.35</v>
      </c>
      <c r="E232">
        <v>7100</v>
      </c>
      <c r="F232">
        <v>12</v>
      </c>
      <c r="G232" s="12">
        <v>52.3</v>
      </c>
      <c r="H232" s="15">
        <v>0.19612435176383741</v>
      </c>
    </row>
    <row r="233" spans="4:8" x14ac:dyDescent="0.45">
      <c r="D233" s="8">
        <v>0.35</v>
      </c>
      <c r="E233">
        <v>7400</v>
      </c>
      <c r="F233">
        <v>12</v>
      </c>
      <c r="G233" s="12">
        <v>67.3</v>
      </c>
      <c r="H233" s="15">
        <v>0.24844768164066264</v>
      </c>
    </row>
    <row r="234" spans="4:8" x14ac:dyDescent="0.45">
      <c r="D234" s="8">
        <v>0.36</v>
      </c>
      <c r="E234">
        <v>4300</v>
      </c>
      <c r="F234">
        <v>10</v>
      </c>
      <c r="G234" s="12">
        <v>70.900000000000006</v>
      </c>
      <c r="H234" s="15">
        <v>0.27187322357907734</v>
      </c>
    </row>
    <row r="235" spans="4:8" x14ac:dyDescent="0.45">
      <c r="D235" s="8">
        <v>0.36</v>
      </c>
      <c r="E235">
        <v>4300</v>
      </c>
      <c r="F235">
        <v>10</v>
      </c>
      <c r="G235" s="12">
        <v>70.900000000000006</v>
      </c>
      <c r="H235" s="15">
        <v>0.23911830301894851</v>
      </c>
    </row>
    <row r="236" spans="4:8" x14ac:dyDescent="0.45">
      <c r="D236" s="8">
        <v>0.36</v>
      </c>
      <c r="E236">
        <v>5600</v>
      </c>
      <c r="F236">
        <v>3</v>
      </c>
      <c r="G236" s="12">
        <v>52.5</v>
      </c>
      <c r="H236" s="15">
        <v>0.10461538461538464</v>
      </c>
    </row>
    <row r="237" spans="4:8" x14ac:dyDescent="0.45">
      <c r="D237" s="8">
        <v>0.36</v>
      </c>
      <c r="E237">
        <v>6100</v>
      </c>
      <c r="F237">
        <v>6</v>
      </c>
      <c r="G237" s="12">
        <v>53.8</v>
      </c>
      <c r="H237" s="15">
        <v>0.20184220848453932</v>
      </c>
    </row>
    <row r="238" spans="4:8" x14ac:dyDescent="0.45">
      <c r="D238" s="8">
        <v>0.36</v>
      </c>
      <c r="E238">
        <v>6300</v>
      </c>
      <c r="F238">
        <v>0</v>
      </c>
      <c r="G238" s="12">
        <v>51.6</v>
      </c>
      <c r="H238" s="15">
        <v>0.20681092023534106</v>
      </c>
    </row>
    <row r="239" spans="4:8" x14ac:dyDescent="0.45">
      <c r="D239" s="8">
        <v>0.36</v>
      </c>
      <c r="E239">
        <v>6400</v>
      </c>
      <c r="F239">
        <v>11</v>
      </c>
      <c r="G239" s="12">
        <v>59</v>
      </c>
      <c r="H239" s="15">
        <v>0.18876566626566874</v>
      </c>
    </row>
    <row r="240" spans="4:8" x14ac:dyDescent="0.45">
      <c r="D240" s="8">
        <v>0.36</v>
      </c>
      <c r="E240">
        <v>6500</v>
      </c>
      <c r="F240">
        <v>6</v>
      </c>
      <c r="G240" s="12">
        <v>61.3</v>
      </c>
      <c r="H240" s="15">
        <v>0.21271559050920663</v>
      </c>
    </row>
    <row r="241" spans="4:8" x14ac:dyDescent="0.45">
      <c r="D241" s="8">
        <v>0.36</v>
      </c>
      <c r="E241">
        <v>6500</v>
      </c>
      <c r="F241">
        <v>8</v>
      </c>
      <c r="G241" s="12">
        <v>54.6</v>
      </c>
      <c r="H241" s="15">
        <v>0.21345008197465218</v>
      </c>
    </row>
    <row r="242" spans="4:8" x14ac:dyDescent="0.45">
      <c r="D242" s="8">
        <v>0.36</v>
      </c>
      <c r="E242">
        <v>6500</v>
      </c>
      <c r="F242">
        <v>14</v>
      </c>
      <c r="G242" s="12">
        <v>60.1</v>
      </c>
      <c r="H242" s="15">
        <v>0.1559410439258789</v>
      </c>
    </row>
    <row r="243" spans="4:8" x14ac:dyDescent="0.45">
      <c r="D243" s="8">
        <v>0.36</v>
      </c>
      <c r="E243">
        <v>6500</v>
      </c>
      <c r="F243">
        <v>11</v>
      </c>
      <c r="G243" s="12">
        <v>61</v>
      </c>
      <c r="H243" s="15">
        <v>0.27186624273106796</v>
      </c>
    </row>
    <row r="244" spans="4:8" x14ac:dyDescent="0.45">
      <c r="D244" s="8">
        <v>0.36</v>
      </c>
      <c r="E244">
        <v>6500</v>
      </c>
      <c r="F244">
        <v>13</v>
      </c>
      <c r="G244" s="12">
        <v>62.3</v>
      </c>
      <c r="H244" s="15">
        <v>0.24133579658508125</v>
      </c>
    </row>
    <row r="245" spans="4:8" x14ac:dyDescent="0.45">
      <c r="D245" s="8">
        <v>0.36</v>
      </c>
      <c r="E245">
        <v>6800</v>
      </c>
      <c r="F245">
        <v>13</v>
      </c>
      <c r="G245" s="12">
        <v>61.3</v>
      </c>
      <c r="H245" s="15">
        <v>0.24137873519332428</v>
      </c>
    </row>
    <row r="246" spans="4:8" x14ac:dyDescent="0.45">
      <c r="D246" s="8">
        <v>0.37</v>
      </c>
      <c r="E246">
        <v>6300</v>
      </c>
      <c r="F246">
        <v>12</v>
      </c>
      <c r="G246" s="12">
        <v>60.21</v>
      </c>
      <c r="H246" s="15">
        <v>0.20494467996443499</v>
      </c>
    </row>
    <row r="247" spans="4:8" x14ac:dyDescent="0.45">
      <c r="D247" s="8">
        <v>0.37</v>
      </c>
      <c r="E247">
        <v>6300</v>
      </c>
      <c r="F247">
        <v>9</v>
      </c>
      <c r="G247" s="12">
        <v>63.6</v>
      </c>
      <c r="H247" s="15">
        <v>0.24054481923333595</v>
      </c>
    </row>
    <row r="248" spans="4:8" x14ac:dyDescent="0.45">
      <c r="D248" s="8">
        <v>0.37</v>
      </c>
      <c r="E248">
        <v>6400</v>
      </c>
      <c r="F248">
        <v>7</v>
      </c>
      <c r="G248" s="12">
        <v>59.68</v>
      </c>
      <c r="H248" s="15">
        <v>0.1790119471242009</v>
      </c>
    </row>
    <row r="249" spans="4:8" x14ac:dyDescent="0.45">
      <c r="D249" s="8">
        <v>0.37</v>
      </c>
      <c r="E249">
        <v>6400</v>
      </c>
      <c r="F249">
        <v>5</v>
      </c>
      <c r="G249" s="12">
        <v>53</v>
      </c>
      <c r="H249" s="15">
        <v>0.23319274877879445</v>
      </c>
    </row>
    <row r="250" spans="4:8" x14ac:dyDescent="0.45">
      <c r="D250" s="8">
        <v>0.37</v>
      </c>
      <c r="E250">
        <v>6400</v>
      </c>
      <c r="F250">
        <v>14</v>
      </c>
      <c r="G250" s="12">
        <v>54.9</v>
      </c>
      <c r="H250" s="15">
        <v>0.24025909224782319</v>
      </c>
    </row>
    <row r="251" spans="4:8" x14ac:dyDescent="0.45">
      <c r="D251" s="8">
        <v>0.37</v>
      </c>
      <c r="E251">
        <v>6500</v>
      </c>
      <c r="F251">
        <v>14</v>
      </c>
      <c r="G251" s="12">
        <v>51.8</v>
      </c>
      <c r="H251" s="15">
        <v>0.24000191406756685</v>
      </c>
    </row>
    <row r="252" spans="4:8" x14ac:dyDescent="0.45">
      <c r="D252" s="8">
        <v>0.37</v>
      </c>
      <c r="E252">
        <v>6600</v>
      </c>
      <c r="F252">
        <v>13</v>
      </c>
      <c r="G252" s="12">
        <v>60.22</v>
      </c>
      <c r="H252" s="15">
        <v>0.22938238518532941</v>
      </c>
    </row>
    <row r="253" spans="4:8" x14ac:dyDescent="0.45">
      <c r="D253" s="8">
        <v>0.37</v>
      </c>
      <c r="E253">
        <v>6700</v>
      </c>
      <c r="F253">
        <v>12</v>
      </c>
      <c r="G253" s="12">
        <v>50.7</v>
      </c>
      <c r="H253" s="15">
        <v>0.21392274879570999</v>
      </c>
    </row>
    <row r="254" spans="4:8" x14ac:dyDescent="0.45">
      <c r="D254" s="8">
        <v>0.37</v>
      </c>
      <c r="E254">
        <v>6800</v>
      </c>
      <c r="F254">
        <v>6</v>
      </c>
      <c r="G254" s="12">
        <v>62.6</v>
      </c>
      <c r="H254" s="15">
        <v>0.21656748600076098</v>
      </c>
    </row>
    <row r="255" spans="4:8" x14ac:dyDescent="0.45">
      <c r="D255" s="8">
        <v>0.37</v>
      </c>
      <c r="E255">
        <v>6900</v>
      </c>
      <c r="F255">
        <v>6</v>
      </c>
      <c r="G255" s="12">
        <v>60.1</v>
      </c>
      <c r="H255" s="15">
        <v>0.18656412923128954</v>
      </c>
    </row>
    <row r="256" spans="4:8" x14ac:dyDescent="0.45">
      <c r="D256" s="8">
        <v>0.37</v>
      </c>
      <c r="E256">
        <v>6900</v>
      </c>
      <c r="F256">
        <v>10</v>
      </c>
      <c r="G256" s="12">
        <v>50.3</v>
      </c>
      <c r="H256" s="15">
        <v>0.1866299478555653</v>
      </c>
    </row>
    <row r="257" spans="4:8" x14ac:dyDescent="0.45">
      <c r="D257" s="8">
        <v>0.37</v>
      </c>
      <c r="E257">
        <v>6900</v>
      </c>
      <c r="F257">
        <v>13</v>
      </c>
      <c r="G257" s="12">
        <v>51.4</v>
      </c>
      <c r="H257" s="15">
        <v>0.29989608087429448</v>
      </c>
    </row>
    <row r="258" spans="4:8" x14ac:dyDescent="0.45">
      <c r="D258" s="8">
        <v>0.37</v>
      </c>
      <c r="E258">
        <v>7000</v>
      </c>
      <c r="F258">
        <v>11</v>
      </c>
      <c r="G258" s="12">
        <v>71.5</v>
      </c>
      <c r="H258" s="15">
        <v>0.23196797116821191</v>
      </c>
    </row>
    <row r="259" spans="4:8" x14ac:dyDescent="0.45">
      <c r="D259" s="8">
        <v>0.38</v>
      </c>
      <c r="E259">
        <v>4500</v>
      </c>
      <c r="F259">
        <v>2</v>
      </c>
      <c r="G259" s="12">
        <v>50.7</v>
      </c>
      <c r="H259" s="15">
        <v>0.21771307404664755</v>
      </c>
    </row>
    <row r="260" spans="4:8" x14ac:dyDescent="0.45">
      <c r="D260" s="8">
        <v>0.38</v>
      </c>
      <c r="E260">
        <v>4600</v>
      </c>
      <c r="F260">
        <v>7</v>
      </c>
      <c r="G260" s="12">
        <v>52.3</v>
      </c>
      <c r="H260" s="15">
        <v>0.19405985220224795</v>
      </c>
    </row>
    <row r="261" spans="4:8" x14ac:dyDescent="0.45">
      <c r="D261" s="8">
        <v>0.38</v>
      </c>
      <c r="E261">
        <v>6200</v>
      </c>
      <c r="F261">
        <v>8</v>
      </c>
      <c r="G261" s="12">
        <v>52.6</v>
      </c>
      <c r="H261" s="15">
        <v>0.20104634525713874</v>
      </c>
    </row>
    <row r="262" spans="4:8" x14ac:dyDescent="0.45">
      <c r="D262" s="8">
        <v>0.38</v>
      </c>
      <c r="E262">
        <v>6200</v>
      </c>
      <c r="F262">
        <v>8</v>
      </c>
      <c r="G262" s="12">
        <v>52.2</v>
      </c>
      <c r="H262" s="15">
        <v>0.21065282447183434</v>
      </c>
    </row>
    <row r="263" spans="4:8" x14ac:dyDescent="0.45">
      <c r="D263" s="8">
        <v>0.38</v>
      </c>
      <c r="E263">
        <v>6300</v>
      </c>
      <c r="F263">
        <v>12</v>
      </c>
      <c r="G263" s="12">
        <v>59</v>
      </c>
      <c r="H263" s="15">
        <v>0.19337936925796481</v>
      </c>
    </row>
    <row r="264" spans="4:8" x14ac:dyDescent="0.45">
      <c r="D264" s="8">
        <v>0.38</v>
      </c>
      <c r="E264">
        <v>6400</v>
      </c>
      <c r="F264">
        <v>7</v>
      </c>
      <c r="G264" s="12">
        <v>60.1</v>
      </c>
      <c r="H264" s="15">
        <v>0.18711234271585667</v>
      </c>
    </row>
    <row r="265" spans="4:8" x14ac:dyDescent="0.45">
      <c r="D265" s="8">
        <v>0.38</v>
      </c>
      <c r="E265">
        <v>6400</v>
      </c>
      <c r="F265">
        <v>10</v>
      </c>
      <c r="G265" s="12">
        <v>59.66</v>
      </c>
      <c r="H265" s="15">
        <v>0.24072489359345689</v>
      </c>
    </row>
    <row r="266" spans="4:8" x14ac:dyDescent="0.45">
      <c r="D266" s="8">
        <v>0.38</v>
      </c>
      <c r="E266">
        <v>6600</v>
      </c>
      <c r="F266">
        <v>4</v>
      </c>
      <c r="G266" s="12">
        <v>63.2</v>
      </c>
      <c r="H266" s="15">
        <v>0.26123743710423547</v>
      </c>
    </row>
    <row r="267" spans="4:8" x14ac:dyDescent="0.45">
      <c r="D267" s="8">
        <v>0.38</v>
      </c>
      <c r="E267">
        <v>6600</v>
      </c>
      <c r="F267">
        <v>13</v>
      </c>
      <c r="G267" s="12">
        <v>51.7</v>
      </c>
      <c r="H267" s="15">
        <v>0.28182422741069735</v>
      </c>
    </row>
    <row r="268" spans="4:8" x14ac:dyDescent="0.45">
      <c r="D268" s="8">
        <v>0.39</v>
      </c>
      <c r="E268">
        <v>6100</v>
      </c>
      <c r="F268">
        <v>10</v>
      </c>
      <c r="G268" s="12">
        <v>72.3</v>
      </c>
      <c r="H268" s="15">
        <v>0.26141427158840741</v>
      </c>
    </row>
    <row r="269" spans="4:8" x14ac:dyDescent="0.45">
      <c r="D269" s="8">
        <v>0.39</v>
      </c>
      <c r="E269">
        <v>6300</v>
      </c>
      <c r="F269">
        <v>9</v>
      </c>
      <c r="G269" s="12">
        <v>61.3</v>
      </c>
      <c r="H269" s="15">
        <v>0.22356729045539611</v>
      </c>
    </row>
    <row r="270" spans="4:8" x14ac:dyDescent="0.45">
      <c r="D270" s="8">
        <v>0.39</v>
      </c>
      <c r="E270">
        <v>6400</v>
      </c>
      <c r="F270">
        <v>0</v>
      </c>
      <c r="G270" s="12">
        <v>52.8</v>
      </c>
      <c r="H270" s="15">
        <v>0.24952503474159987</v>
      </c>
    </row>
    <row r="271" spans="4:8" x14ac:dyDescent="0.45">
      <c r="D271" s="8">
        <v>0.39</v>
      </c>
      <c r="E271">
        <v>6500</v>
      </c>
      <c r="F271">
        <v>12</v>
      </c>
      <c r="G271" s="12">
        <v>51.5</v>
      </c>
      <c r="H271" s="15">
        <v>0.25304322725493134</v>
      </c>
    </row>
    <row r="272" spans="4:8" x14ac:dyDescent="0.45">
      <c r="D272" s="8">
        <v>0.4</v>
      </c>
      <c r="E272">
        <v>6100</v>
      </c>
      <c r="F272">
        <v>6</v>
      </c>
      <c r="G272" s="12">
        <v>52.1</v>
      </c>
      <c r="H272" s="15">
        <v>0.21695921635711782</v>
      </c>
    </row>
    <row r="273" spans="4:8" x14ac:dyDescent="0.45">
      <c r="D273" s="8">
        <v>0.4</v>
      </c>
      <c r="E273">
        <v>6200</v>
      </c>
      <c r="F273">
        <v>15</v>
      </c>
      <c r="G273" s="12">
        <v>57.3</v>
      </c>
      <c r="H273" s="15">
        <v>0.24725235870822374</v>
      </c>
    </row>
    <row r="274" spans="4:8" x14ac:dyDescent="0.45">
      <c r="D274" s="8">
        <v>0.4</v>
      </c>
      <c r="E274">
        <v>6300</v>
      </c>
      <c r="F274">
        <v>13</v>
      </c>
      <c r="G274" s="12">
        <v>51.7</v>
      </c>
      <c r="H274" s="15">
        <v>0.20466933001662968</v>
      </c>
    </row>
    <row r="275" spans="4:8" x14ac:dyDescent="0.45">
      <c r="D275" s="8">
        <v>0.4</v>
      </c>
      <c r="E275" s="6">
        <v>6500</v>
      </c>
      <c r="F275" s="6">
        <v>8</v>
      </c>
      <c r="G275" s="14">
        <v>61.5</v>
      </c>
      <c r="H275" s="17">
        <v>0.15900813673073039</v>
      </c>
    </row>
    <row r="276" spans="4:8" x14ac:dyDescent="0.45">
      <c r="D276" s="8">
        <v>0.4</v>
      </c>
      <c r="E276" s="2">
        <v>6500</v>
      </c>
      <c r="F276" s="2">
        <v>8</v>
      </c>
      <c r="G276" s="13">
        <v>62.8</v>
      </c>
      <c r="H276" s="18">
        <v>0.22960230709497578</v>
      </c>
    </row>
    <row r="277" spans="4:8" x14ac:dyDescent="0.45">
      <c r="D277" s="8">
        <v>0.4</v>
      </c>
      <c r="E277">
        <v>6600</v>
      </c>
      <c r="F277">
        <v>11</v>
      </c>
      <c r="G277" s="12">
        <v>65.3</v>
      </c>
      <c r="H277" s="15">
        <v>0.28127959472558034</v>
      </c>
    </row>
    <row r="278" spans="4:8" x14ac:dyDescent="0.45">
      <c r="D278" s="8">
        <v>0.4</v>
      </c>
      <c r="E278">
        <v>7300</v>
      </c>
      <c r="F278">
        <v>8</v>
      </c>
      <c r="G278" s="12">
        <v>57.5</v>
      </c>
      <c r="H278" s="15">
        <v>0.25271010709418801</v>
      </c>
    </row>
    <row r="279" spans="4:8" x14ac:dyDescent="0.45">
      <c r="D279" s="8">
        <v>0.41</v>
      </c>
      <c r="E279">
        <v>5800</v>
      </c>
      <c r="F279">
        <v>9</v>
      </c>
      <c r="G279" s="12">
        <v>50.9</v>
      </c>
      <c r="H279" s="15">
        <v>0.25600991020299585</v>
      </c>
    </row>
    <row r="280" spans="4:8" x14ac:dyDescent="0.45">
      <c r="D280" s="8">
        <v>0.41</v>
      </c>
      <c r="E280">
        <v>6000</v>
      </c>
      <c r="F280">
        <v>15</v>
      </c>
      <c r="G280" s="12">
        <v>49.5</v>
      </c>
      <c r="H280" s="15">
        <v>0.23570864087897919</v>
      </c>
    </row>
    <row r="281" spans="4:8" x14ac:dyDescent="0.45">
      <c r="D281" s="8">
        <v>0.41</v>
      </c>
      <c r="E281" s="2">
        <v>6200</v>
      </c>
      <c r="F281" s="2">
        <v>9</v>
      </c>
      <c r="G281" s="13">
        <v>50.7</v>
      </c>
      <c r="H281" s="18">
        <v>0.28943342036760572</v>
      </c>
    </row>
    <row r="282" spans="4:8" x14ac:dyDescent="0.45">
      <c r="D282" s="8">
        <v>0.41</v>
      </c>
      <c r="E282" s="2">
        <v>6400</v>
      </c>
      <c r="F282" s="2">
        <v>9</v>
      </c>
      <c r="G282" s="13">
        <v>63.8</v>
      </c>
      <c r="H282" s="18">
        <v>0.23852053227513662</v>
      </c>
    </row>
    <row r="283" spans="4:8" x14ac:dyDescent="0.45">
      <c r="D283" s="8">
        <v>0.41</v>
      </c>
      <c r="E283" s="2">
        <v>6600</v>
      </c>
      <c r="F283" s="2">
        <v>11</v>
      </c>
      <c r="G283" s="13">
        <v>64.5</v>
      </c>
      <c r="H283" s="18">
        <v>0.20031227115093694</v>
      </c>
    </row>
    <row r="284" spans="4:8" x14ac:dyDescent="0.45">
      <c r="D284" s="8">
        <v>0.42</v>
      </c>
      <c r="E284">
        <v>6200</v>
      </c>
      <c r="F284">
        <v>10</v>
      </c>
      <c r="G284" s="12">
        <v>52.6</v>
      </c>
      <c r="H284" s="15">
        <v>0.21128457721210006</v>
      </c>
    </row>
    <row r="285" spans="4:8" x14ac:dyDescent="0.45">
      <c r="D285" s="8">
        <v>0.42</v>
      </c>
      <c r="E285">
        <v>6400</v>
      </c>
      <c r="F285">
        <v>5</v>
      </c>
      <c r="G285" s="12">
        <v>60.21</v>
      </c>
      <c r="H285" s="15">
        <v>0.21117017439636679</v>
      </c>
    </row>
    <row r="286" spans="4:8" x14ac:dyDescent="0.45">
      <c r="D286" s="8">
        <v>0.42</v>
      </c>
      <c r="E286">
        <v>6500</v>
      </c>
      <c r="F286">
        <v>12</v>
      </c>
      <c r="G286" s="12">
        <v>65.3</v>
      </c>
      <c r="H286" s="15">
        <v>0.14485041718438071</v>
      </c>
    </row>
    <row r="287" spans="4:8" x14ac:dyDescent="0.45">
      <c r="D287" s="8">
        <v>0.43</v>
      </c>
      <c r="E287">
        <v>6400</v>
      </c>
      <c r="F287">
        <v>12</v>
      </c>
      <c r="G287" s="12">
        <v>51.1</v>
      </c>
      <c r="H287" s="15">
        <v>0.2242540799050744</v>
      </c>
    </row>
    <row r="288" spans="4:8" x14ac:dyDescent="0.45">
      <c r="D288" s="8">
        <v>0.44</v>
      </c>
      <c r="E288">
        <v>6300</v>
      </c>
      <c r="F288">
        <v>8</v>
      </c>
      <c r="G288" s="12">
        <v>60.25</v>
      </c>
      <c r="H288" s="15">
        <v>0.23748511032879865</v>
      </c>
    </row>
    <row r="289" spans="4:8" x14ac:dyDescent="0.45">
      <c r="D289" s="8">
        <v>0.44</v>
      </c>
      <c r="E289">
        <v>6600</v>
      </c>
      <c r="F289">
        <v>10</v>
      </c>
      <c r="G289" s="12">
        <v>59</v>
      </c>
      <c r="H289" s="15">
        <v>0.15895481426998961</v>
      </c>
    </row>
    <row r="290" spans="4:8" x14ac:dyDescent="0.45">
      <c r="D290" s="8">
        <v>0.45</v>
      </c>
      <c r="E290">
        <v>6300</v>
      </c>
      <c r="F290">
        <v>9</v>
      </c>
      <c r="G290" s="12">
        <v>56.4</v>
      </c>
      <c r="H290" s="15">
        <v>0.25810070901599569</v>
      </c>
    </row>
    <row r="291" spans="4:8" x14ac:dyDescent="0.45">
      <c r="D291" s="8">
        <v>0.46</v>
      </c>
      <c r="E291">
        <v>6300</v>
      </c>
      <c r="F291">
        <v>13</v>
      </c>
      <c r="G291" s="12">
        <v>67.099999999999994</v>
      </c>
      <c r="H291" s="15">
        <v>0.22400716005216761</v>
      </c>
    </row>
    <row r="292" spans="4:8" x14ac:dyDescent="0.45">
      <c r="D292" s="8">
        <v>0.46</v>
      </c>
      <c r="E292">
        <v>6500</v>
      </c>
      <c r="F292">
        <v>11</v>
      </c>
      <c r="G292" s="12">
        <v>71.900000000000006</v>
      </c>
      <c r="H292" s="15">
        <v>0.1824360478039018</v>
      </c>
    </row>
    <row r="293" spans="4:8" x14ac:dyDescent="0.45">
      <c r="D293" s="8">
        <v>0.47</v>
      </c>
      <c r="E293">
        <v>6500</v>
      </c>
      <c r="F293">
        <v>8</v>
      </c>
      <c r="G293" s="12">
        <v>61.2</v>
      </c>
      <c r="H293" s="15">
        <v>0.23227331980418861</v>
      </c>
    </row>
    <row r="294" spans="4:8" x14ac:dyDescent="0.45">
      <c r="D294" s="8">
        <v>0.47</v>
      </c>
      <c r="E294">
        <v>7000</v>
      </c>
      <c r="F294">
        <v>9</v>
      </c>
      <c r="G294" s="12">
        <v>63.2</v>
      </c>
      <c r="H294" s="15">
        <v>0.19485851585663999</v>
      </c>
    </row>
  </sheetData>
  <sortState xmlns:xlrd2="http://schemas.microsoft.com/office/spreadsheetml/2017/richdata2" ref="D2:H298">
    <sortCondition ref="D2:D298"/>
    <sortCondition ref="E2:E298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6622-3E51-4C5F-9CC7-0819ADD86899}">
  <dimension ref="E2:I307"/>
  <sheetViews>
    <sheetView tabSelected="1" workbookViewId="0">
      <pane xSplit="4" ySplit="2" topLeftCell="E52" activePane="bottomRight" state="frozen"/>
      <selection pane="topRight" activeCell="E1" sqref="E1"/>
      <selection pane="bottomLeft" activeCell="A3" sqref="A3"/>
      <selection pane="bottomRight" activeCell="F64" sqref="F64:I64"/>
    </sheetView>
  </sheetViews>
  <sheetFormatPr defaultRowHeight="14.25" x14ac:dyDescent="0.45"/>
  <cols>
    <col min="5" max="5" width="9.06640625" style="20"/>
    <col min="8" max="8" width="8.6640625" customWidth="1"/>
  </cols>
  <sheetData>
    <row r="2" spans="5:9" x14ac:dyDescent="0.45">
      <c r="E2" s="20" t="s">
        <v>1</v>
      </c>
      <c r="F2" t="s">
        <v>28</v>
      </c>
      <c r="G2" t="s">
        <v>7</v>
      </c>
      <c r="H2" t="s">
        <v>5</v>
      </c>
      <c r="I2" t="s">
        <v>26</v>
      </c>
    </row>
    <row r="3" spans="5:9" x14ac:dyDescent="0.45">
      <c r="E3" s="20">
        <v>0.21</v>
      </c>
      <c r="F3">
        <v>128</v>
      </c>
      <c r="G3">
        <v>62.2</v>
      </c>
      <c r="H3">
        <v>8</v>
      </c>
      <c r="I3">
        <v>0.21672262687667426</v>
      </c>
    </row>
    <row r="4" spans="5:9" x14ac:dyDescent="0.45">
      <c r="E4" s="20">
        <v>0.22</v>
      </c>
      <c r="F4">
        <v>119</v>
      </c>
      <c r="G4">
        <v>53</v>
      </c>
      <c r="H4">
        <v>1</v>
      </c>
      <c r="I4">
        <v>0.11355555555555555</v>
      </c>
    </row>
    <row r="5" spans="5:9" x14ac:dyDescent="0.45">
      <c r="E5" s="20">
        <v>0.24</v>
      </c>
      <c r="F5">
        <v>146</v>
      </c>
      <c r="G5">
        <v>61.3</v>
      </c>
      <c r="H5">
        <v>13</v>
      </c>
      <c r="I5">
        <v>0.18751507928604305</v>
      </c>
    </row>
    <row r="6" spans="5:9" x14ac:dyDescent="0.45">
      <c r="E6" s="20">
        <v>0.24</v>
      </c>
      <c r="F6">
        <v>155</v>
      </c>
      <c r="G6">
        <v>56.2</v>
      </c>
      <c r="H6">
        <v>13</v>
      </c>
      <c r="I6">
        <v>0.34370269462065167</v>
      </c>
    </row>
    <row r="7" spans="5:9" x14ac:dyDescent="0.45">
      <c r="E7" s="20">
        <v>0.25</v>
      </c>
      <c r="F7">
        <v>127</v>
      </c>
      <c r="G7">
        <v>54.3</v>
      </c>
      <c r="H7">
        <v>10</v>
      </c>
      <c r="I7">
        <v>0.21372918906428709</v>
      </c>
    </row>
    <row r="8" spans="5:9" x14ac:dyDescent="0.45">
      <c r="E8" s="20">
        <v>0.26</v>
      </c>
      <c r="F8">
        <v>101</v>
      </c>
      <c r="G8">
        <v>53.2</v>
      </c>
      <c r="H8">
        <v>8</v>
      </c>
      <c r="I8">
        <v>3.586776859504133E-2</v>
      </c>
    </row>
    <row r="9" spans="5:9" x14ac:dyDescent="0.45">
      <c r="E9" s="20">
        <v>0.26</v>
      </c>
      <c r="F9">
        <v>134</v>
      </c>
      <c r="G9">
        <v>61.25</v>
      </c>
      <c r="H9">
        <v>5</v>
      </c>
      <c r="I9">
        <v>0.29226729180234989</v>
      </c>
    </row>
    <row r="10" spans="5:9" x14ac:dyDescent="0.45">
      <c r="E10" s="20">
        <v>0.27</v>
      </c>
      <c r="F10">
        <v>101</v>
      </c>
      <c r="G10">
        <v>53</v>
      </c>
      <c r="H10">
        <v>2</v>
      </c>
      <c r="I10">
        <v>0.23337960045381875</v>
      </c>
    </row>
    <row r="11" spans="5:9" x14ac:dyDescent="0.45">
      <c r="E11" s="20">
        <v>0.27</v>
      </c>
      <c r="F11">
        <v>142</v>
      </c>
      <c r="G11">
        <v>60.26</v>
      </c>
      <c r="H11">
        <v>10</v>
      </c>
      <c r="I11">
        <v>0.20089638382641015</v>
      </c>
    </row>
    <row r="12" spans="5:9" x14ac:dyDescent="0.45">
      <c r="E12" s="20">
        <v>0.28000000000000003</v>
      </c>
      <c r="F12">
        <v>139</v>
      </c>
      <c r="G12">
        <v>61.58</v>
      </c>
      <c r="H12">
        <v>11</v>
      </c>
      <c r="I12">
        <v>0.24592494384613961</v>
      </c>
    </row>
    <row r="13" spans="5:9" x14ac:dyDescent="0.45">
      <c r="E13" s="20">
        <v>0.28000000000000003</v>
      </c>
      <c r="F13">
        <v>181</v>
      </c>
      <c r="G13">
        <v>52.7</v>
      </c>
      <c r="H13">
        <v>13</v>
      </c>
      <c r="I13">
        <v>0.12599999999999997</v>
      </c>
    </row>
    <row r="14" spans="5:9" x14ac:dyDescent="0.45">
      <c r="E14" s="20">
        <v>0.28000000000000003</v>
      </c>
      <c r="F14">
        <v>192</v>
      </c>
      <c r="G14">
        <v>52.8</v>
      </c>
      <c r="H14">
        <v>13</v>
      </c>
      <c r="I14">
        <v>9.4444444444444456E-2</v>
      </c>
    </row>
    <row r="15" spans="5:9" x14ac:dyDescent="0.45">
      <c r="E15" s="20">
        <v>0.28000000000000003</v>
      </c>
      <c r="F15">
        <v>193</v>
      </c>
      <c r="G15">
        <v>59.3</v>
      </c>
      <c r="H15">
        <v>12</v>
      </c>
      <c r="I15">
        <v>8.8965517241379299E-2</v>
      </c>
    </row>
    <row r="16" spans="5:9" x14ac:dyDescent="0.45">
      <c r="E16" s="20">
        <v>0.28000000000000003</v>
      </c>
      <c r="F16">
        <v>196</v>
      </c>
      <c r="G16">
        <v>50.8</v>
      </c>
      <c r="H16">
        <v>12</v>
      </c>
      <c r="I16">
        <v>7.5694444444444439E-2</v>
      </c>
    </row>
    <row r="17" spans="5:9" x14ac:dyDescent="0.45">
      <c r="E17" s="20">
        <v>0.28000000000000003</v>
      </c>
      <c r="F17">
        <v>200</v>
      </c>
      <c r="G17">
        <v>50.6</v>
      </c>
      <c r="H17">
        <v>12</v>
      </c>
      <c r="I17">
        <v>8.7258064516129039E-2</v>
      </c>
    </row>
    <row r="18" spans="5:9" x14ac:dyDescent="0.45">
      <c r="E18" s="20">
        <v>0.28000000000000003</v>
      </c>
      <c r="F18">
        <v>220</v>
      </c>
      <c r="G18">
        <v>30</v>
      </c>
      <c r="H18">
        <v>7</v>
      </c>
      <c r="I18">
        <v>9.6415094339622642E-2</v>
      </c>
    </row>
    <row r="19" spans="5:9" x14ac:dyDescent="0.45">
      <c r="E19" s="20">
        <v>0.28999999999999998</v>
      </c>
      <c r="F19">
        <v>112</v>
      </c>
      <c r="G19">
        <v>62.8</v>
      </c>
      <c r="H19">
        <v>10</v>
      </c>
      <c r="I19">
        <v>0.21916967328794207</v>
      </c>
    </row>
    <row r="20" spans="5:9" x14ac:dyDescent="0.45">
      <c r="E20" s="20">
        <v>0.28999999999999998</v>
      </c>
      <c r="F20">
        <v>115</v>
      </c>
      <c r="G20">
        <v>52</v>
      </c>
      <c r="H20">
        <v>6</v>
      </c>
      <c r="I20">
        <v>0.20599852963844828</v>
      </c>
    </row>
    <row r="21" spans="5:9" x14ac:dyDescent="0.45">
      <c r="E21" s="20">
        <v>0.28999999999999998</v>
      </c>
      <c r="F21">
        <v>124</v>
      </c>
      <c r="G21">
        <v>63.78</v>
      </c>
      <c r="H21">
        <v>11</v>
      </c>
      <c r="I21">
        <v>0.20818479343050605</v>
      </c>
    </row>
    <row r="22" spans="5:9" x14ac:dyDescent="0.45">
      <c r="E22" s="20">
        <v>0.28999999999999998</v>
      </c>
      <c r="F22">
        <v>136</v>
      </c>
      <c r="G22">
        <v>56.3</v>
      </c>
      <c r="H22">
        <v>10</v>
      </c>
      <c r="I22">
        <v>0.23931588568289214</v>
      </c>
    </row>
    <row r="23" spans="5:9" x14ac:dyDescent="0.45">
      <c r="E23" s="20">
        <v>0.28999999999999998</v>
      </c>
      <c r="F23">
        <v>137</v>
      </c>
      <c r="G23">
        <v>61.28</v>
      </c>
      <c r="H23">
        <v>11</v>
      </c>
      <c r="I23">
        <v>0.23597716627471133</v>
      </c>
    </row>
    <row r="24" spans="5:9" x14ac:dyDescent="0.45">
      <c r="E24" s="20">
        <v>0.28999999999999998</v>
      </c>
      <c r="F24">
        <v>139</v>
      </c>
      <c r="G24">
        <v>56.2</v>
      </c>
      <c r="H24">
        <v>13</v>
      </c>
      <c r="I24">
        <v>0.19998143952781097</v>
      </c>
    </row>
    <row r="25" spans="5:9" x14ac:dyDescent="0.45">
      <c r="E25" s="20">
        <v>0.28999999999999998</v>
      </c>
      <c r="F25">
        <v>143</v>
      </c>
      <c r="G25">
        <v>62.1</v>
      </c>
      <c r="H25">
        <v>11</v>
      </c>
      <c r="I25">
        <v>0.15206644461399943</v>
      </c>
    </row>
    <row r="26" spans="5:9" x14ac:dyDescent="0.45">
      <c r="E26" s="20">
        <v>0.28999999999999998</v>
      </c>
      <c r="F26">
        <v>143</v>
      </c>
      <c r="G26">
        <v>61.3</v>
      </c>
      <c r="H26">
        <v>8</v>
      </c>
      <c r="I26">
        <v>0.2116030725550995</v>
      </c>
    </row>
    <row r="27" spans="5:9" x14ac:dyDescent="0.45">
      <c r="E27" s="20">
        <v>0.28999999999999998</v>
      </c>
      <c r="F27">
        <v>143</v>
      </c>
      <c r="G27">
        <v>58.9</v>
      </c>
      <c r="H27">
        <v>6</v>
      </c>
      <c r="I27">
        <v>0.20763419778133407</v>
      </c>
    </row>
    <row r="28" spans="5:9" x14ac:dyDescent="0.45">
      <c r="E28" s="20">
        <v>0.28999999999999998</v>
      </c>
      <c r="F28">
        <v>144</v>
      </c>
      <c r="G28">
        <v>52.5</v>
      </c>
      <c r="H28">
        <v>10</v>
      </c>
      <c r="I28">
        <v>0.17448268560980837</v>
      </c>
    </row>
    <row r="29" spans="5:9" x14ac:dyDescent="0.45">
      <c r="E29" s="20">
        <v>0.28999999999999998</v>
      </c>
      <c r="F29">
        <v>147</v>
      </c>
      <c r="G29">
        <v>56.8</v>
      </c>
      <c r="H29">
        <v>12</v>
      </c>
      <c r="I29">
        <v>0.21477581079888516</v>
      </c>
    </row>
    <row r="30" spans="5:9" x14ac:dyDescent="0.45">
      <c r="E30" s="20">
        <v>0.28999999999999998</v>
      </c>
      <c r="F30">
        <v>157</v>
      </c>
      <c r="G30">
        <v>57.7</v>
      </c>
      <c r="H30">
        <v>15</v>
      </c>
      <c r="I30">
        <v>0.24777307690634548</v>
      </c>
    </row>
    <row r="31" spans="5:9" x14ac:dyDescent="0.45">
      <c r="E31" s="20">
        <v>0.28999999999999998</v>
      </c>
      <c r="F31">
        <v>176</v>
      </c>
      <c r="G31">
        <v>52.6</v>
      </c>
      <c r="H31">
        <v>13</v>
      </c>
      <c r="I31">
        <v>0.17343749999999997</v>
      </c>
    </row>
    <row r="32" spans="5:9" x14ac:dyDescent="0.45">
      <c r="E32" s="20">
        <v>0.28999999999999998</v>
      </c>
      <c r="F32">
        <v>179</v>
      </c>
      <c r="G32">
        <v>56.5</v>
      </c>
      <c r="H32">
        <v>13</v>
      </c>
      <c r="I32">
        <v>0.14499999999999999</v>
      </c>
    </row>
    <row r="33" spans="5:9" x14ac:dyDescent="0.45">
      <c r="E33" s="20">
        <v>0.28999999999999998</v>
      </c>
      <c r="F33">
        <v>181</v>
      </c>
      <c r="G33">
        <v>57.7</v>
      </c>
      <c r="H33">
        <v>13</v>
      </c>
      <c r="I33">
        <v>0.14564102564102563</v>
      </c>
    </row>
    <row r="34" spans="5:9" x14ac:dyDescent="0.45">
      <c r="E34" s="20">
        <v>0.28999999999999998</v>
      </c>
      <c r="F34">
        <v>182</v>
      </c>
      <c r="G34">
        <v>52.4</v>
      </c>
      <c r="H34">
        <v>13</v>
      </c>
      <c r="I34">
        <v>0.12181818181818183</v>
      </c>
    </row>
    <row r="35" spans="5:9" x14ac:dyDescent="0.45">
      <c r="E35" s="20">
        <v>0.28999999999999998</v>
      </c>
      <c r="F35">
        <v>183</v>
      </c>
      <c r="G35">
        <v>51.2</v>
      </c>
      <c r="H35">
        <v>13</v>
      </c>
      <c r="I35">
        <v>0.14789473684210525</v>
      </c>
    </row>
    <row r="36" spans="5:9" x14ac:dyDescent="0.45">
      <c r="E36" s="20">
        <v>0.28999999999999998</v>
      </c>
      <c r="F36">
        <v>184</v>
      </c>
      <c r="G36">
        <v>54.9</v>
      </c>
      <c r="H36">
        <v>12</v>
      </c>
      <c r="I36">
        <v>0.15285714285714286</v>
      </c>
    </row>
    <row r="37" spans="5:9" x14ac:dyDescent="0.45">
      <c r="E37" s="20">
        <v>0.28999999999999998</v>
      </c>
      <c r="F37">
        <v>189</v>
      </c>
      <c r="G37">
        <v>53.4</v>
      </c>
      <c r="H37">
        <v>13</v>
      </c>
      <c r="I37">
        <v>0.11585365853658534</v>
      </c>
    </row>
    <row r="38" spans="5:9" x14ac:dyDescent="0.45">
      <c r="E38" s="20">
        <v>0.28999999999999998</v>
      </c>
      <c r="F38">
        <v>190</v>
      </c>
      <c r="G38">
        <v>54.6</v>
      </c>
      <c r="H38">
        <v>13</v>
      </c>
      <c r="I38">
        <v>0.11695652173913045</v>
      </c>
    </row>
    <row r="39" spans="5:9" x14ac:dyDescent="0.45">
      <c r="E39" s="20">
        <v>0.28999999999999998</v>
      </c>
      <c r="F39">
        <v>193</v>
      </c>
      <c r="G39">
        <v>49.9</v>
      </c>
      <c r="H39">
        <v>13</v>
      </c>
      <c r="I39">
        <v>0.13243902439024391</v>
      </c>
    </row>
    <row r="40" spans="5:9" x14ac:dyDescent="0.45">
      <c r="E40" s="20">
        <v>0.28999999999999998</v>
      </c>
      <c r="F40">
        <v>196</v>
      </c>
      <c r="G40">
        <v>52</v>
      </c>
      <c r="H40">
        <v>12</v>
      </c>
      <c r="I40">
        <v>0.12088235294117648</v>
      </c>
    </row>
    <row r="41" spans="5:9" x14ac:dyDescent="0.45">
      <c r="E41" s="20">
        <v>0.28999999999999998</v>
      </c>
      <c r="F41">
        <v>199</v>
      </c>
      <c r="G41">
        <v>68.3</v>
      </c>
      <c r="H41">
        <v>12</v>
      </c>
      <c r="I41">
        <v>9.6153846153846173E-2</v>
      </c>
    </row>
    <row r="42" spans="5:9" x14ac:dyDescent="0.45">
      <c r="E42" s="20">
        <v>0.28999999999999998</v>
      </c>
      <c r="F42">
        <v>213</v>
      </c>
      <c r="G42">
        <v>69.7</v>
      </c>
      <c r="H42">
        <v>13</v>
      </c>
      <c r="I42">
        <v>0.17030303030303029</v>
      </c>
    </row>
    <row r="43" spans="5:9" x14ac:dyDescent="0.45">
      <c r="E43" s="20">
        <v>0.28999999999999998</v>
      </c>
      <c r="F43">
        <v>215</v>
      </c>
      <c r="G43">
        <v>52</v>
      </c>
      <c r="H43">
        <v>9</v>
      </c>
      <c r="I43">
        <v>6.01219512195122E-2</v>
      </c>
    </row>
    <row r="44" spans="5:9" x14ac:dyDescent="0.45">
      <c r="E44" s="20">
        <v>0.28999999999999998</v>
      </c>
      <c r="F44">
        <v>216</v>
      </c>
      <c r="G44">
        <v>55</v>
      </c>
      <c r="H44">
        <v>13</v>
      </c>
      <c r="I44">
        <v>0.13633333333333336</v>
      </c>
    </row>
    <row r="45" spans="5:9" x14ac:dyDescent="0.45">
      <c r="E45" s="20">
        <v>0.28999999999999998</v>
      </c>
      <c r="F45">
        <v>223</v>
      </c>
      <c r="G45">
        <v>72</v>
      </c>
      <c r="H45">
        <v>13</v>
      </c>
      <c r="I45">
        <v>0.16558823529411767</v>
      </c>
    </row>
    <row r="46" spans="5:9" x14ac:dyDescent="0.45">
      <c r="E46" s="20">
        <v>0.28999999999999998</v>
      </c>
      <c r="F46">
        <v>230</v>
      </c>
      <c r="G46">
        <v>52.6</v>
      </c>
      <c r="H46">
        <v>13</v>
      </c>
      <c r="I46">
        <v>0.13459459459459458</v>
      </c>
    </row>
    <row r="47" spans="5:9" x14ac:dyDescent="0.45">
      <c r="E47" s="20">
        <v>0.28999999999999998</v>
      </c>
      <c r="F47">
        <v>248</v>
      </c>
      <c r="G47">
        <v>51</v>
      </c>
      <c r="H47">
        <v>11</v>
      </c>
      <c r="I47">
        <v>0.11581395348837208</v>
      </c>
    </row>
    <row r="48" spans="5:9" x14ac:dyDescent="0.45">
      <c r="E48" s="20">
        <v>0.3</v>
      </c>
      <c r="F48">
        <v>97</v>
      </c>
      <c r="G48">
        <v>56</v>
      </c>
      <c r="H48">
        <v>6</v>
      </c>
      <c r="I48">
        <v>0.24075919323765993</v>
      </c>
    </row>
    <row r="49" spans="5:9" x14ac:dyDescent="0.45">
      <c r="E49" s="20">
        <v>0.3</v>
      </c>
      <c r="F49">
        <v>104</v>
      </c>
      <c r="G49">
        <v>54</v>
      </c>
      <c r="H49">
        <v>2</v>
      </c>
      <c r="I49">
        <v>0.17355155865906907</v>
      </c>
    </row>
    <row r="50" spans="5:9" x14ac:dyDescent="0.45">
      <c r="E50" s="20">
        <v>0.3</v>
      </c>
      <c r="F50">
        <v>106</v>
      </c>
      <c r="G50">
        <v>54</v>
      </c>
      <c r="H50">
        <v>2</v>
      </c>
      <c r="I50">
        <v>0.13157894736842107</v>
      </c>
    </row>
    <row r="51" spans="5:9" x14ac:dyDescent="0.45">
      <c r="E51" s="20">
        <v>0.3</v>
      </c>
      <c r="F51">
        <v>107</v>
      </c>
      <c r="G51">
        <v>52</v>
      </c>
      <c r="H51">
        <v>2</v>
      </c>
      <c r="I51">
        <v>0.18981208843055242</v>
      </c>
    </row>
    <row r="52" spans="5:9" x14ac:dyDescent="0.45">
      <c r="E52" s="20">
        <v>0.3</v>
      </c>
      <c r="F52">
        <v>110</v>
      </c>
      <c r="G52">
        <v>55</v>
      </c>
      <c r="H52">
        <v>1</v>
      </c>
      <c r="I52">
        <v>0.21250000000000002</v>
      </c>
    </row>
    <row r="53" spans="5:9" x14ac:dyDescent="0.45">
      <c r="E53" s="20">
        <v>0.3</v>
      </c>
      <c r="F53">
        <v>113</v>
      </c>
      <c r="G53">
        <v>50.6</v>
      </c>
      <c r="H53">
        <v>10</v>
      </c>
      <c r="I53">
        <v>0.23473151446597484</v>
      </c>
    </row>
    <row r="54" spans="5:9" x14ac:dyDescent="0.45">
      <c r="E54" s="20">
        <v>0.3</v>
      </c>
      <c r="F54">
        <v>119</v>
      </c>
      <c r="G54">
        <v>51.2</v>
      </c>
      <c r="H54">
        <v>2</v>
      </c>
      <c r="I54">
        <v>0.19825091689738555</v>
      </c>
    </row>
    <row r="55" spans="5:9" x14ac:dyDescent="0.45">
      <c r="E55" s="20">
        <v>0.3</v>
      </c>
      <c r="F55">
        <v>121</v>
      </c>
      <c r="G55">
        <v>52.1</v>
      </c>
      <c r="H55">
        <v>10</v>
      </c>
      <c r="I55">
        <v>0.20109689563726976</v>
      </c>
    </row>
    <row r="56" spans="5:9" x14ac:dyDescent="0.45">
      <c r="E56" s="20">
        <v>0.3</v>
      </c>
      <c r="F56">
        <v>122</v>
      </c>
      <c r="G56">
        <v>62</v>
      </c>
      <c r="H56">
        <v>10</v>
      </c>
      <c r="I56">
        <v>0.20490233467148461</v>
      </c>
    </row>
    <row r="57" spans="5:9" x14ac:dyDescent="0.45">
      <c r="E57" s="20">
        <v>0.3</v>
      </c>
      <c r="F57">
        <v>125</v>
      </c>
      <c r="G57">
        <v>60.58</v>
      </c>
      <c r="H57">
        <v>12</v>
      </c>
      <c r="I57">
        <v>0.24901906760438008</v>
      </c>
    </row>
    <row r="58" spans="5:9" x14ac:dyDescent="0.45">
      <c r="E58" s="20">
        <v>0.3</v>
      </c>
      <c r="F58">
        <v>127</v>
      </c>
      <c r="G58">
        <v>64.3</v>
      </c>
      <c r="H58">
        <v>8</v>
      </c>
      <c r="I58">
        <v>0.27908350224409845</v>
      </c>
    </row>
    <row r="59" spans="5:9" x14ac:dyDescent="0.45">
      <c r="E59" s="20">
        <v>0.3</v>
      </c>
      <c r="F59">
        <v>129</v>
      </c>
      <c r="G59">
        <v>62.5</v>
      </c>
      <c r="H59">
        <v>9</v>
      </c>
      <c r="I59">
        <v>0.21195067312521021</v>
      </c>
    </row>
    <row r="60" spans="5:9" x14ac:dyDescent="0.45">
      <c r="E60" s="20">
        <v>0.3</v>
      </c>
      <c r="F60">
        <v>130</v>
      </c>
      <c r="G60">
        <v>61.3</v>
      </c>
      <c r="H60">
        <v>7</v>
      </c>
      <c r="I60">
        <v>0.24313561374421427</v>
      </c>
    </row>
    <row r="61" spans="5:9" x14ac:dyDescent="0.45">
      <c r="E61" s="20">
        <v>0.3</v>
      </c>
      <c r="F61">
        <v>131</v>
      </c>
      <c r="G61">
        <v>60.31</v>
      </c>
      <c r="H61">
        <v>12</v>
      </c>
      <c r="I61">
        <v>0.25066971437133478</v>
      </c>
    </row>
    <row r="62" spans="5:9" x14ac:dyDescent="0.45">
      <c r="E62" s="20">
        <v>0.3</v>
      </c>
      <c r="F62">
        <v>134</v>
      </c>
      <c r="G62">
        <v>60.52</v>
      </c>
      <c r="H62">
        <v>4</v>
      </c>
      <c r="I62">
        <v>0.25513961944593122</v>
      </c>
    </row>
    <row r="63" spans="5:9" x14ac:dyDescent="0.45">
      <c r="E63" s="20">
        <v>0.3</v>
      </c>
      <c r="F63">
        <v>137</v>
      </c>
      <c r="G63">
        <v>55</v>
      </c>
      <c r="H63">
        <v>14</v>
      </c>
      <c r="I63">
        <v>0.26555834225930369</v>
      </c>
    </row>
    <row r="64" spans="5:9" x14ac:dyDescent="0.45">
      <c r="E64" s="20">
        <v>0.3</v>
      </c>
      <c r="F64">
        <v>142</v>
      </c>
      <c r="G64">
        <v>61.3</v>
      </c>
      <c r="H64">
        <v>10</v>
      </c>
      <c r="I64">
        <v>0.16583080165653988</v>
      </c>
    </row>
    <row r="65" spans="5:9" x14ac:dyDescent="0.45">
      <c r="E65" s="21">
        <v>0.3</v>
      </c>
      <c r="F65" s="5">
        <v>144</v>
      </c>
      <c r="G65" s="5">
        <v>52.6</v>
      </c>
      <c r="H65" s="5">
        <v>11</v>
      </c>
      <c r="I65" s="5">
        <v>0.21474088493915286</v>
      </c>
    </row>
    <row r="66" spans="5:9" x14ac:dyDescent="0.45">
      <c r="E66" s="20">
        <v>0.3</v>
      </c>
      <c r="F66">
        <v>145</v>
      </c>
      <c r="G66">
        <v>55.3</v>
      </c>
      <c r="H66">
        <v>9</v>
      </c>
      <c r="I66">
        <v>0.18663984667459779</v>
      </c>
    </row>
    <row r="67" spans="5:9" x14ac:dyDescent="0.45">
      <c r="E67" s="20">
        <v>0.3</v>
      </c>
      <c r="F67">
        <v>147</v>
      </c>
      <c r="G67">
        <v>62.5</v>
      </c>
      <c r="H67">
        <v>7</v>
      </c>
      <c r="I67">
        <v>0.23801957427167716</v>
      </c>
    </row>
    <row r="68" spans="5:9" x14ac:dyDescent="0.45">
      <c r="E68" s="20">
        <v>0.3</v>
      </c>
      <c r="F68">
        <v>148</v>
      </c>
      <c r="G68">
        <v>50.9</v>
      </c>
      <c r="H68">
        <v>7</v>
      </c>
      <c r="I68">
        <v>0.2531789038197727</v>
      </c>
    </row>
    <row r="69" spans="5:9" x14ac:dyDescent="0.45">
      <c r="E69" s="20">
        <v>0.3</v>
      </c>
      <c r="F69">
        <v>150</v>
      </c>
      <c r="G69">
        <v>60.21</v>
      </c>
      <c r="H69">
        <v>13</v>
      </c>
      <c r="I69">
        <v>0.26673950421946307</v>
      </c>
    </row>
    <row r="70" spans="5:9" x14ac:dyDescent="0.45">
      <c r="E70" s="20">
        <v>0.3</v>
      </c>
      <c r="F70">
        <v>153</v>
      </c>
      <c r="G70">
        <v>60.14</v>
      </c>
      <c r="H70">
        <v>14</v>
      </c>
      <c r="I70">
        <v>0.18363889132159528</v>
      </c>
    </row>
    <row r="71" spans="5:9" x14ac:dyDescent="0.45">
      <c r="E71" s="20">
        <v>0.3</v>
      </c>
      <c r="F71">
        <v>158</v>
      </c>
      <c r="G71">
        <v>53.5</v>
      </c>
      <c r="H71">
        <v>9</v>
      </c>
      <c r="I71">
        <v>0.26363095490965388</v>
      </c>
    </row>
    <row r="72" spans="5:9" x14ac:dyDescent="0.45">
      <c r="E72" s="20">
        <v>0.3</v>
      </c>
      <c r="F72">
        <v>171</v>
      </c>
      <c r="G72">
        <v>52</v>
      </c>
      <c r="H72">
        <v>7</v>
      </c>
      <c r="I72">
        <v>0.10844444444444444</v>
      </c>
    </row>
    <row r="73" spans="5:9" x14ac:dyDescent="0.45">
      <c r="E73" s="20">
        <v>0.3</v>
      </c>
      <c r="F73">
        <v>173</v>
      </c>
      <c r="G73">
        <v>53</v>
      </c>
      <c r="H73">
        <v>13</v>
      </c>
      <c r="I73">
        <v>0.21913043478260874</v>
      </c>
    </row>
    <row r="74" spans="5:9" x14ac:dyDescent="0.45">
      <c r="E74" s="20">
        <v>0.3</v>
      </c>
      <c r="F74">
        <v>178</v>
      </c>
      <c r="G74">
        <v>52.68</v>
      </c>
      <c r="H74">
        <v>6</v>
      </c>
      <c r="I74">
        <v>0.24986491678708339</v>
      </c>
    </row>
    <row r="75" spans="5:9" x14ac:dyDescent="0.45">
      <c r="E75" s="20">
        <v>0.3</v>
      </c>
      <c r="F75">
        <v>182</v>
      </c>
      <c r="G75">
        <v>54.4</v>
      </c>
      <c r="H75">
        <v>13</v>
      </c>
      <c r="I75">
        <v>0.15281250000000002</v>
      </c>
    </row>
    <row r="76" spans="5:9" x14ac:dyDescent="0.45">
      <c r="E76" s="20">
        <v>0.3</v>
      </c>
      <c r="F76">
        <v>183</v>
      </c>
      <c r="G76">
        <v>51.1</v>
      </c>
      <c r="H76">
        <v>13</v>
      </c>
      <c r="I76">
        <v>0.17624999999999999</v>
      </c>
    </row>
    <row r="77" spans="5:9" x14ac:dyDescent="0.45">
      <c r="E77" s="20">
        <v>0.3</v>
      </c>
      <c r="F77">
        <v>183</v>
      </c>
      <c r="G77">
        <v>51</v>
      </c>
      <c r="H77">
        <v>9</v>
      </c>
      <c r="I77">
        <v>7.9838709677419337E-2</v>
      </c>
    </row>
    <row r="78" spans="5:9" x14ac:dyDescent="0.45">
      <c r="E78" s="20">
        <v>0.3</v>
      </c>
      <c r="F78">
        <v>184</v>
      </c>
      <c r="G78">
        <v>53</v>
      </c>
      <c r="H78">
        <v>13</v>
      </c>
      <c r="I78">
        <v>0.16666666666666669</v>
      </c>
    </row>
    <row r="79" spans="5:9" x14ac:dyDescent="0.45">
      <c r="E79" s="20">
        <v>0.3</v>
      </c>
      <c r="F79">
        <v>187</v>
      </c>
      <c r="G79">
        <v>51.5</v>
      </c>
      <c r="H79">
        <v>13</v>
      </c>
      <c r="I79">
        <v>0.13923076923076921</v>
      </c>
    </row>
    <row r="80" spans="5:9" x14ac:dyDescent="0.45">
      <c r="E80" s="20">
        <v>0.3</v>
      </c>
      <c r="F80">
        <v>195</v>
      </c>
      <c r="G80">
        <v>63.3</v>
      </c>
      <c r="H80">
        <v>13</v>
      </c>
      <c r="I80">
        <v>0.2091666666666667</v>
      </c>
    </row>
    <row r="81" spans="5:9" x14ac:dyDescent="0.45">
      <c r="E81" s="20">
        <v>0.3</v>
      </c>
      <c r="F81">
        <v>195</v>
      </c>
      <c r="G81">
        <v>63.3</v>
      </c>
      <c r="H81">
        <v>13</v>
      </c>
      <c r="I81">
        <v>0.2091666666666667</v>
      </c>
    </row>
    <row r="82" spans="5:9" x14ac:dyDescent="0.45">
      <c r="E82" s="20">
        <v>0.3</v>
      </c>
      <c r="F82">
        <v>197</v>
      </c>
      <c r="G82">
        <v>51.7</v>
      </c>
      <c r="H82">
        <v>13</v>
      </c>
      <c r="I82">
        <v>0.14552631578947367</v>
      </c>
    </row>
    <row r="83" spans="5:9" x14ac:dyDescent="0.45">
      <c r="E83" s="20">
        <v>0.3</v>
      </c>
      <c r="F83">
        <v>201</v>
      </c>
      <c r="G83">
        <v>49.8</v>
      </c>
      <c r="H83">
        <v>9</v>
      </c>
      <c r="I83">
        <v>0.13891891891891892</v>
      </c>
    </row>
    <row r="84" spans="5:9" x14ac:dyDescent="0.45">
      <c r="E84" s="20">
        <v>0.3</v>
      </c>
      <c r="F84">
        <v>203</v>
      </c>
      <c r="G84">
        <v>56</v>
      </c>
      <c r="H84">
        <v>11</v>
      </c>
      <c r="I84">
        <v>9.1694915254237272E-2</v>
      </c>
    </row>
    <row r="85" spans="5:9" x14ac:dyDescent="0.45">
      <c r="E85" s="20">
        <v>0.3</v>
      </c>
      <c r="F85">
        <v>206</v>
      </c>
      <c r="G85">
        <v>53</v>
      </c>
      <c r="H85">
        <v>13</v>
      </c>
      <c r="I85">
        <v>0.2112</v>
      </c>
    </row>
    <row r="86" spans="5:9" x14ac:dyDescent="0.45">
      <c r="E86" s="20">
        <v>0.3</v>
      </c>
      <c r="F86">
        <v>207</v>
      </c>
      <c r="G86">
        <v>58.4</v>
      </c>
      <c r="H86">
        <v>11</v>
      </c>
      <c r="I86">
        <v>0.13650000000000001</v>
      </c>
    </row>
    <row r="87" spans="5:9" x14ac:dyDescent="0.45">
      <c r="E87" s="20">
        <v>0.3</v>
      </c>
      <c r="F87">
        <v>216</v>
      </c>
      <c r="G87">
        <v>58.5</v>
      </c>
      <c r="H87">
        <v>12</v>
      </c>
      <c r="I87">
        <v>0.25499999999999995</v>
      </c>
    </row>
    <row r="88" spans="5:9" x14ac:dyDescent="0.45">
      <c r="E88" s="20">
        <v>0.3</v>
      </c>
      <c r="F88">
        <v>233</v>
      </c>
      <c r="G88">
        <v>63.2</v>
      </c>
      <c r="H88">
        <v>13</v>
      </c>
      <c r="I88">
        <v>0.16228571428571431</v>
      </c>
    </row>
    <row r="89" spans="5:9" x14ac:dyDescent="0.45">
      <c r="E89" s="20">
        <v>0.3</v>
      </c>
      <c r="F89">
        <v>233</v>
      </c>
      <c r="G89">
        <v>50.4</v>
      </c>
      <c r="H89">
        <v>13</v>
      </c>
      <c r="I89">
        <v>0.15593750000000001</v>
      </c>
    </row>
    <row r="90" spans="5:9" x14ac:dyDescent="0.45">
      <c r="E90" s="20">
        <v>0.31</v>
      </c>
      <c r="F90">
        <v>107</v>
      </c>
      <c r="G90">
        <v>54</v>
      </c>
      <c r="H90">
        <v>1</v>
      </c>
      <c r="I90">
        <v>0.21052522022504444</v>
      </c>
    </row>
    <row r="91" spans="5:9" x14ac:dyDescent="0.45">
      <c r="E91" s="20">
        <v>0.31</v>
      </c>
      <c r="F91">
        <v>108</v>
      </c>
      <c r="G91">
        <v>52</v>
      </c>
      <c r="H91">
        <v>6</v>
      </c>
      <c r="I91">
        <v>0.15877890530161393</v>
      </c>
    </row>
    <row r="92" spans="5:9" x14ac:dyDescent="0.45">
      <c r="E92" s="20">
        <v>0.31</v>
      </c>
      <c r="F92">
        <v>109</v>
      </c>
      <c r="G92">
        <v>53</v>
      </c>
      <c r="H92">
        <v>0</v>
      </c>
      <c r="I92">
        <v>9.8431372549019611E-2</v>
      </c>
    </row>
    <row r="93" spans="5:9" x14ac:dyDescent="0.45">
      <c r="E93" s="20">
        <v>0.31</v>
      </c>
      <c r="F93">
        <v>110</v>
      </c>
      <c r="G93">
        <v>50.6</v>
      </c>
      <c r="H93">
        <v>12</v>
      </c>
      <c r="I93">
        <v>0.21585381615874266</v>
      </c>
    </row>
    <row r="94" spans="5:9" x14ac:dyDescent="0.45">
      <c r="E94" s="20">
        <v>0.31</v>
      </c>
      <c r="F94">
        <v>110</v>
      </c>
      <c r="G94">
        <v>53</v>
      </c>
      <c r="H94">
        <v>12</v>
      </c>
      <c r="I94">
        <v>0.22305613470605629</v>
      </c>
    </row>
    <row r="95" spans="5:9" x14ac:dyDescent="0.45">
      <c r="E95" s="20">
        <v>0.31</v>
      </c>
      <c r="F95">
        <v>112</v>
      </c>
      <c r="G95">
        <v>62.8</v>
      </c>
      <c r="H95">
        <v>10</v>
      </c>
      <c r="I95">
        <v>0.26735043981598322</v>
      </c>
    </row>
    <row r="96" spans="5:9" x14ac:dyDescent="0.45">
      <c r="E96" s="20">
        <v>0.31</v>
      </c>
      <c r="F96">
        <v>113</v>
      </c>
      <c r="G96">
        <v>55</v>
      </c>
      <c r="H96">
        <v>1</v>
      </c>
      <c r="I96">
        <v>0.16387096774193552</v>
      </c>
    </row>
    <row r="97" spans="5:9" x14ac:dyDescent="0.45">
      <c r="E97" s="20">
        <v>0.31</v>
      </c>
      <c r="F97">
        <v>115</v>
      </c>
      <c r="G97">
        <v>51</v>
      </c>
      <c r="H97">
        <v>5</v>
      </c>
      <c r="I97">
        <v>0.19968883268824736</v>
      </c>
    </row>
    <row r="98" spans="5:9" x14ac:dyDescent="0.45">
      <c r="E98" s="20">
        <v>0.31</v>
      </c>
      <c r="F98">
        <v>115</v>
      </c>
      <c r="G98">
        <v>52</v>
      </c>
      <c r="H98">
        <v>6</v>
      </c>
      <c r="I98">
        <v>0.28480346264051409</v>
      </c>
    </row>
    <row r="99" spans="5:9" x14ac:dyDescent="0.45">
      <c r="E99" s="20">
        <v>0.31</v>
      </c>
      <c r="F99">
        <v>117</v>
      </c>
      <c r="G99">
        <v>60.22</v>
      </c>
      <c r="H99">
        <v>7</v>
      </c>
      <c r="I99">
        <v>0.21114716201741199</v>
      </c>
    </row>
    <row r="100" spans="5:9" x14ac:dyDescent="0.45">
      <c r="E100" s="20">
        <v>0.31</v>
      </c>
      <c r="F100">
        <v>117</v>
      </c>
      <c r="G100">
        <v>54</v>
      </c>
      <c r="H100">
        <v>8</v>
      </c>
      <c r="I100">
        <v>0.19952890186652372</v>
      </c>
    </row>
    <row r="101" spans="5:9" x14ac:dyDescent="0.45">
      <c r="E101" s="20">
        <v>0.31</v>
      </c>
      <c r="F101">
        <v>124</v>
      </c>
      <c r="G101">
        <v>59.3</v>
      </c>
      <c r="H101">
        <v>13</v>
      </c>
      <c r="I101">
        <v>0.1066044634979854</v>
      </c>
    </row>
    <row r="102" spans="5:9" x14ac:dyDescent="0.45">
      <c r="E102" s="20">
        <v>0.31</v>
      </c>
      <c r="F102">
        <v>125</v>
      </c>
      <c r="G102">
        <v>60.1</v>
      </c>
      <c r="H102">
        <v>15</v>
      </c>
      <c r="I102">
        <v>0.15522794404806842</v>
      </c>
    </row>
    <row r="103" spans="5:9" x14ac:dyDescent="0.45">
      <c r="E103" s="20">
        <v>0.31</v>
      </c>
      <c r="F103">
        <v>128</v>
      </c>
      <c r="G103">
        <v>59.6</v>
      </c>
      <c r="H103">
        <v>10</v>
      </c>
      <c r="I103">
        <v>0.24756950695931051</v>
      </c>
    </row>
    <row r="104" spans="5:9" x14ac:dyDescent="0.45">
      <c r="E104" s="20">
        <v>0.31</v>
      </c>
      <c r="F104">
        <v>128</v>
      </c>
      <c r="G104">
        <v>55.2</v>
      </c>
      <c r="H104">
        <v>4</v>
      </c>
      <c r="I104">
        <v>0.22271518930930964</v>
      </c>
    </row>
    <row r="105" spans="5:9" x14ac:dyDescent="0.45">
      <c r="E105" s="20">
        <v>0.31</v>
      </c>
      <c r="F105">
        <v>129</v>
      </c>
      <c r="G105">
        <v>59.4</v>
      </c>
      <c r="H105">
        <v>9</v>
      </c>
      <c r="I105">
        <v>0.20701373254834152</v>
      </c>
    </row>
    <row r="106" spans="5:9" x14ac:dyDescent="0.45">
      <c r="E106" s="20">
        <v>0.31</v>
      </c>
      <c r="F106">
        <v>131</v>
      </c>
      <c r="G106">
        <v>52.9</v>
      </c>
      <c r="H106">
        <v>12</v>
      </c>
      <c r="I106">
        <v>0.20101611403591491</v>
      </c>
    </row>
    <row r="107" spans="5:9" x14ac:dyDescent="0.45">
      <c r="E107" s="20">
        <v>0.31</v>
      </c>
      <c r="F107">
        <v>132</v>
      </c>
      <c r="G107">
        <v>56</v>
      </c>
      <c r="H107">
        <v>9</v>
      </c>
      <c r="I107">
        <v>0.2561723288298598</v>
      </c>
    </row>
    <row r="108" spans="5:9" x14ac:dyDescent="0.45">
      <c r="E108" s="20">
        <v>0.31</v>
      </c>
      <c r="F108">
        <v>134</v>
      </c>
      <c r="G108">
        <v>53.6</v>
      </c>
      <c r="H108">
        <v>14</v>
      </c>
      <c r="I108">
        <v>0.25327010280174367</v>
      </c>
    </row>
    <row r="109" spans="5:9" x14ac:dyDescent="0.45">
      <c r="E109" s="20">
        <v>0.31</v>
      </c>
      <c r="F109">
        <v>134</v>
      </c>
      <c r="G109">
        <v>60.25</v>
      </c>
      <c r="H109">
        <v>12</v>
      </c>
      <c r="I109">
        <v>0.30081148586657247</v>
      </c>
    </row>
    <row r="110" spans="5:9" x14ac:dyDescent="0.45">
      <c r="E110" s="20">
        <v>0.31</v>
      </c>
      <c r="F110">
        <v>136</v>
      </c>
      <c r="G110">
        <v>53.8</v>
      </c>
      <c r="H110">
        <v>12</v>
      </c>
      <c r="I110">
        <v>0.19536141891463762</v>
      </c>
    </row>
    <row r="111" spans="5:9" x14ac:dyDescent="0.45">
      <c r="E111" s="20">
        <v>0.31</v>
      </c>
      <c r="F111">
        <v>136</v>
      </c>
      <c r="G111">
        <v>54.9</v>
      </c>
      <c r="H111">
        <v>11</v>
      </c>
      <c r="I111">
        <v>0.24838745878232044</v>
      </c>
    </row>
    <row r="112" spans="5:9" x14ac:dyDescent="0.45">
      <c r="E112" s="20">
        <v>0.31</v>
      </c>
      <c r="F112">
        <v>138</v>
      </c>
      <c r="G112">
        <v>51</v>
      </c>
      <c r="H112">
        <v>11</v>
      </c>
      <c r="I112">
        <v>0.23379154643359279</v>
      </c>
    </row>
    <row r="113" spans="5:9" x14ac:dyDescent="0.45">
      <c r="E113" s="20">
        <v>0.31</v>
      </c>
      <c r="F113">
        <v>138</v>
      </c>
      <c r="G113">
        <v>53.4</v>
      </c>
      <c r="H113">
        <v>3</v>
      </c>
      <c r="I113">
        <v>6.1874999999999999E-2</v>
      </c>
    </row>
    <row r="114" spans="5:9" x14ac:dyDescent="0.45">
      <c r="E114" s="20">
        <v>0.31</v>
      </c>
      <c r="F114">
        <v>140</v>
      </c>
      <c r="G114">
        <v>53</v>
      </c>
      <c r="H114">
        <v>11</v>
      </c>
      <c r="I114">
        <v>0.18810790606784605</v>
      </c>
    </row>
    <row r="115" spans="5:9" x14ac:dyDescent="0.45">
      <c r="E115" s="20">
        <v>0.31</v>
      </c>
      <c r="F115">
        <v>142</v>
      </c>
      <c r="G115">
        <v>60</v>
      </c>
      <c r="H115">
        <v>8</v>
      </c>
      <c r="I115">
        <v>0.28604510317196524</v>
      </c>
    </row>
    <row r="116" spans="5:9" x14ac:dyDescent="0.45">
      <c r="E116" s="20">
        <v>0.31</v>
      </c>
      <c r="F116">
        <v>143</v>
      </c>
      <c r="G116">
        <v>58.24</v>
      </c>
      <c r="H116">
        <v>13</v>
      </c>
      <c r="I116">
        <v>0.27390215781741989</v>
      </c>
    </row>
    <row r="117" spans="5:9" x14ac:dyDescent="0.45">
      <c r="E117" s="20">
        <v>0.31</v>
      </c>
      <c r="F117">
        <v>147</v>
      </c>
      <c r="G117">
        <v>60.84</v>
      </c>
      <c r="H117">
        <v>8</v>
      </c>
      <c r="I117">
        <v>0.25202738487919907</v>
      </c>
    </row>
    <row r="118" spans="5:9" x14ac:dyDescent="0.45">
      <c r="E118" s="20">
        <v>0.31</v>
      </c>
      <c r="F118">
        <v>151</v>
      </c>
      <c r="G118">
        <v>62.5</v>
      </c>
      <c r="H118">
        <v>11</v>
      </c>
      <c r="I118">
        <v>0.25124873042469692</v>
      </c>
    </row>
    <row r="119" spans="5:9" x14ac:dyDescent="0.45">
      <c r="E119" s="20">
        <v>0.31</v>
      </c>
      <c r="F119">
        <v>152</v>
      </c>
      <c r="G119">
        <v>60.23</v>
      </c>
      <c r="H119">
        <v>15</v>
      </c>
      <c r="I119">
        <v>0.16612860985671185</v>
      </c>
    </row>
    <row r="120" spans="5:9" x14ac:dyDescent="0.45">
      <c r="E120" s="20">
        <v>0.31</v>
      </c>
      <c r="F120">
        <v>161</v>
      </c>
      <c r="G120">
        <v>54.6</v>
      </c>
      <c r="H120">
        <v>11</v>
      </c>
      <c r="I120">
        <v>0.24379665303307951</v>
      </c>
    </row>
    <row r="121" spans="5:9" x14ac:dyDescent="0.45">
      <c r="E121" s="20">
        <v>0.31</v>
      </c>
      <c r="F121">
        <v>176</v>
      </c>
      <c r="G121">
        <v>53</v>
      </c>
      <c r="H121">
        <v>12</v>
      </c>
      <c r="I121">
        <v>0.13594594594594592</v>
      </c>
    </row>
    <row r="122" spans="5:9" x14ac:dyDescent="0.45">
      <c r="E122" s="20">
        <v>0.31</v>
      </c>
      <c r="F122">
        <v>177</v>
      </c>
      <c r="G122">
        <v>51</v>
      </c>
      <c r="H122">
        <v>12</v>
      </c>
      <c r="I122">
        <v>0.18759999999999999</v>
      </c>
    </row>
    <row r="123" spans="5:9" x14ac:dyDescent="0.45">
      <c r="E123" s="20">
        <v>0.31</v>
      </c>
      <c r="F123">
        <v>180</v>
      </c>
      <c r="G123">
        <v>50.8</v>
      </c>
      <c r="H123">
        <v>13</v>
      </c>
      <c r="I123">
        <v>0.15166666666666667</v>
      </c>
    </row>
    <row r="124" spans="5:9" x14ac:dyDescent="0.45">
      <c r="E124" s="20">
        <v>0.31</v>
      </c>
      <c r="F124">
        <v>180</v>
      </c>
      <c r="G124">
        <v>61</v>
      </c>
      <c r="H124">
        <v>8</v>
      </c>
      <c r="I124">
        <v>0.2116666666666667</v>
      </c>
    </row>
    <row r="125" spans="5:9" x14ac:dyDescent="0.45">
      <c r="E125" s="20">
        <v>0.31</v>
      </c>
      <c r="F125">
        <v>184</v>
      </c>
      <c r="G125">
        <v>50.4</v>
      </c>
      <c r="H125">
        <v>12</v>
      </c>
      <c r="I125">
        <v>0.11142857142857143</v>
      </c>
    </row>
    <row r="126" spans="5:9" x14ac:dyDescent="0.45">
      <c r="E126" s="20">
        <v>0.31</v>
      </c>
      <c r="F126">
        <v>186</v>
      </c>
      <c r="G126">
        <v>53.5</v>
      </c>
      <c r="H126">
        <v>12</v>
      </c>
      <c r="I126">
        <v>0.12699999999999997</v>
      </c>
    </row>
    <row r="127" spans="5:9" x14ac:dyDescent="0.45">
      <c r="E127" s="20">
        <v>0.31</v>
      </c>
      <c r="F127">
        <v>186</v>
      </c>
      <c r="G127">
        <v>53.5</v>
      </c>
      <c r="H127">
        <v>12</v>
      </c>
      <c r="I127">
        <v>0.12699999999999997</v>
      </c>
    </row>
    <row r="128" spans="5:9" x14ac:dyDescent="0.45">
      <c r="E128" s="20">
        <v>0.31</v>
      </c>
      <c r="F128">
        <v>187</v>
      </c>
      <c r="G128">
        <v>56.3</v>
      </c>
      <c r="H128">
        <v>13</v>
      </c>
      <c r="I128">
        <v>0.10063829787234044</v>
      </c>
    </row>
    <row r="129" spans="5:9" x14ac:dyDescent="0.45">
      <c r="E129" s="20">
        <v>0.31</v>
      </c>
      <c r="F129">
        <v>192</v>
      </c>
      <c r="G129">
        <v>58</v>
      </c>
      <c r="H129">
        <v>13</v>
      </c>
      <c r="I129">
        <v>0.14937500000000001</v>
      </c>
    </row>
    <row r="130" spans="5:9" x14ac:dyDescent="0.45">
      <c r="E130" s="20">
        <v>0.31</v>
      </c>
      <c r="F130">
        <v>192</v>
      </c>
      <c r="G130">
        <v>58</v>
      </c>
      <c r="H130">
        <v>13</v>
      </c>
      <c r="I130">
        <v>0.14937500000000001</v>
      </c>
    </row>
    <row r="131" spans="5:9" x14ac:dyDescent="0.45">
      <c r="E131" s="20">
        <v>0.31</v>
      </c>
      <c r="F131">
        <v>193</v>
      </c>
      <c r="G131">
        <v>63</v>
      </c>
      <c r="H131">
        <v>10</v>
      </c>
      <c r="I131">
        <v>0.13611111111111113</v>
      </c>
    </row>
    <row r="132" spans="5:9" x14ac:dyDescent="0.45">
      <c r="E132" s="20">
        <v>0.31</v>
      </c>
      <c r="F132">
        <v>198</v>
      </c>
      <c r="G132">
        <v>66</v>
      </c>
      <c r="H132">
        <v>9</v>
      </c>
      <c r="I132">
        <v>8.1562499999999996E-2</v>
      </c>
    </row>
    <row r="133" spans="5:9" x14ac:dyDescent="0.45">
      <c r="E133" s="20">
        <v>0.31</v>
      </c>
      <c r="F133">
        <v>215</v>
      </c>
      <c r="G133">
        <v>65</v>
      </c>
      <c r="H133">
        <v>8</v>
      </c>
      <c r="I133">
        <v>0.10574468085106384</v>
      </c>
    </row>
    <row r="134" spans="5:9" x14ac:dyDescent="0.45">
      <c r="E134" s="20">
        <v>0.31</v>
      </c>
      <c r="F134">
        <v>221</v>
      </c>
      <c r="G134">
        <v>53.4</v>
      </c>
      <c r="H134">
        <v>11</v>
      </c>
      <c r="I134">
        <v>0.13375000000000001</v>
      </c>
    </row>
    <row r="135" spans="5:9" x14ac:dyDescent="0.45">
      <c r="E135" s="20">
        <v>0.31</v>
      </c>
      <c r="F135">
        <v>222</v>
      </c>
      <c r="G135">
        <v>51.2</v>
      </c>
      <c r="H135">
        <v>13</v>
      </c>
      <c r="I135">
        <v>0.15052631578947367</v>
      </c>
    </row>
    <row r="136" spans="5:9" x14ac:dyDescent="0.45">
      <c r="E136" s="20">
        <v>0.31</v>
      </c>
      <c r="F136">
        <v>235</v>
      </c>
      <c r="G136">
        <v>51</v>
      </c>
      <c r="H136">
        <v>7</v>
      </c>
      <c r="I136">
        <v>7.859374999999999E-2</v>
      </c>
    </row>
    <row r="137" spans="5:9" x14ac:dyDescent="0.45">
      <c r="E137" s="20">
        <v>0.31</v>
      </c>
      <c r="F137">
        <v>250</v>
      </c>
      <c r="G137">
        <v>52</v>
      </c>
      <c r="H137">
        <v>12</v>
      </c>
      <c r="I137">
        <v>0.15499999999999997</v>
      </c>
    </row>
    <row r="138" spans="5:9" x14ac:dyDescent="0.45">
      <c r="E138" s="20">
        <v>0.32</v>
      </c>
      <c r="F138">
        <v>94</v>
      </c>
      <c r="G138">
        <v>55.6</v>
      </c>
      <c r="H138">
        <v>11</v>
      </c>
      <c r="I138">
        <v>6.7460317460317443E-2</v>
      </c>
    </row>
    <row r="139" spans="5:9" x14ac:dyDescent="0.45">
      <c r="E139" s="20">
        <v>0.32</v>
      </c>
      <c r="F139">
        <v>107</v>
      </c>
      <c r="G139">
        <v>53.8</v>
      </c>
      <c r="H139">
        <v>5</v>
      </c>
      <c r="I139">
        <v>0.20722570550981423</v>
      </c>
    </row>
    <row r="140" spans="5:9" x14ac:dyDescent="0.45">
      <c r="E140" s="20">
        <v>0.32</v>
      </c>
      <c r="F140">
        <v>107</v>
      </c>
      <c r="G140">
        <v>56</v>
      </c>
      <c r="H140">
        <v>7</v>
      </c>
      <c r="I140">
        <v>0.12820512820512822</v>
      </c>
    </row>
    <row r="141" spans="5:9" x14ac:dyDescent="0.45">
      <c r="E141" s="20">
        <v>0.32</v>
      </c>
      <c r="F141">
        <v>113</v>
      </c>
      <c r="G141">
        <v>54.1</v>
      </c>
      <c r="H141">
        <v>2</v>
      </c>
      <c r="I141">
        <v>0.18246910190010818</v>
      </c>
    </row>
    <row r="142" spans="5:9" x14ac:dyDescent="0.45">
      <c r="E142" s="20">
        <v>0.32</v>
      </c>
      <c r="F142">
        <v>114</v>
      </c>
      <c r="G142">
        <v>57</v>
      </c>
      <c r="H142">
        <v>2</v>
      </c>
      <c r="I142">
        <v>0.11744186046511626</v>
      </c>
    </row>
    <row r="143" spans="5:9" x14ac:dyDescent="0.45">
      <c r="E143" s="20">
        <v>0.32</v>
      </c>
      <c r="F143">
        <v>115</v>
      </c>
      <c r="G143">
        <v>61.52</v>
      </c>
      <c r="H143">
        <v>3</v>
      </c>
      <c r="I143">
        <v>0.25656024774109426</v>
      </c>
    </row>
    <row r="144" spans="5:9" x14ac:dyDescent="0.45">
      <c r="E144" s="20">
        <v>0.32</v>
      </c>
      <c r="F144">
        <v>115</v>
      </c>
      <c r="G144">
        <v>52</v>
      </c>
      <c r="H144">
        <v>6</v>
      </c>
      <c r="I144">
        <v>0.20878211744459266</v>
      </c>
    </row>
    <row r="145" spans="5:9" x14ac:dyDescent="0.45">
      <c r="E145" s="20">
        <v>0.32</v>
      </c>
      <c r="F145">
        <v>116</v>
      </c>
      <c r="G145">
        <v>56</v>
      </c>
      <c r="H145">
        <v>1</v>
      </c>
      <c r="I145">
        <v>0.13756756756756755</v>
      </c>
    </row>
    <row r="146" spans="5:9" x14ac:dyDescent="0.45">
      <c r="E146" s="20">
        <v>0.32</v>
      </c>
      <c r="F146">
        <v>123</v>
      </c>
      <c r="G146">
        <v>65.400000000000006</v>
      </c>
      <c r="H146">
        <v>7</v>
      </c>
      <c r="I146">
        <v>0.20836643763414042</v>
      </c>
    </row>
    <row r="147" spans="5:9" x14ac:dyDescent="0.45">
      <c r="E147" s="20">
        <v>0.32</v>
      </c>
      <c r="F147">
        <v>129</v>
      </c>
      <c r="G147">
        <v>61.2</v>
      </c>
      <c r="H147">
        <v>9</v>
      </c>
      <c r="I147">
        <v>0.19286600371226509</v>
      </c>
    </row>
    <row r="148" spans="5:9" x14ac:dyDescent="0.45">
      <c r="E148" s="20">
        <v>0.32</v>
      </c>
      <c r="F148">
        <v>130</v>
      </c>
      <c r="G148">
        <v>55.1</v>
      </c>
      <c r="H148">
        <v>9</v>
      </c>
      <c r="I148">
        <v>0.17059166225865841</v>
      </c>
    </row>
    <row r="149" spans="5:9" x14ac:dyDescent="0.45">
      <c r="E149" s="20">
        <v>0.32</v>
      </c>
      <c r="F149">
        <v>131</v>
      </c>
      <c r="G149">
        <v>59.68</v>
      </c>
      <c r="H149">
        <v>7</v>
      </c>
      <c r="I149">
        <v>0.25236352120291539</v>
      </c>
    </row>
    <row r="150" spans="5:9" x14ac:dyDescent="0.45">
      <c r="E150" s="20">
        <v>0.32</v>
      </c>
      <c r="F150">
        <v>131</v>
      </c>
      <c r="G150">
        <v>52.7</v>
      </c>
      <c r="H150">
        <v>13</v>
      </c>
      <c r="I150">
        <v>0.28788250727570286</v>
      </c>
    </row>
    <row r="151" spans="5:9" x14ac:dyDescent="0.45">
      <c r="E151" s="20">
        <v>0.32</v>
      </c>
      <c r="F151">
        <v>131</v>
      </c>
      <c r="G151">
        <v>54</v>
      </c>
      <c r="H151">
        <v>10</v>
      </c>
      <c r="I151">
        <v>0.26820383762957939</v>
      </c>
    </row>
    <row r="152" spans="5:9" x14ac:dyDescent="0.45">
      <c r="E152" s="20">
        <v>0.32</v>
      </c>
      <c r="F152">
        <v>131</v>
      </c>
      <c r="G152">
        <v>50.6</v>
      </c>
      <c r="H152">
        <v>6</v>
      </c>
      <c r="I152">
        <v>0.2165088694435981</v>
      </c>
    </row>
    <row r="153" spans="5:9" x14ac:dyDescent="0.45">
      <c r="E153" s="20">
        <v>0.32</v>
      </c>
      <c r="F153">
        <v>132</v>
      </c>
      <c r="G153">
        <v>63.8</v>
      </c>
      <c r="H153">
        <v>10</v>
      </c>
      <c r="I153">
        <v>0.24438013803914779</v>
      </c>
    </row>
    <row r="154" spans="5:9" x14ac:dyDescent="0.45">
      <c r="E154" s="20">
        <v>0.32</v>
      </c>
      <c r="F154">
        <v>136</v>
      </c>
      <c r="G154">
        <v>65.209999999999994</v>
      </c>
      <c r="H154">
        <v>13</v>
      </c>
      <c r="I154">
        <v>0.20647291505274049</v>
      </c>
    </row>
    <row r="155" spans="5:9" x14ac:dyDescent="0.45">
      <c r="E155" s="20">
        <v>0.32</v>
      </c>
      <c r="F155">
        <v>138</v>
      </c>
      <c r="G155">
        <v>55.3</v>
      </c>
      <c r="H155">
        <v>10</v>
      </c>
      <c r="I155">
        <v>0.17111577775119971</v>
      </c>
    </row>
    <row r="156" spans="5:9" x14ac:dyDescent="0.45">
      <c r="E156" s="20">
        <v>0.32</v>
      </c>
      <c r="F156">
        <v>138</v>
      </c>
      <c r="G156">
        <v>72.400000000000006</v>
      </c>
      <c r="H156">
        <v>9</v>
      </c>
      <c r="I156">
        <v>0.19207438262432355</v>
      </c>
    </row>
    <row r="157" spans="5:9" x14ac:dyDescent="0.45">
      <c r="E157" s="20">
        <v>0.32</v>
      </c>
      <c r="F157">
        <v>139</v>
      </c>
      <c r="G157">
        <v>61.6</v>
      </c>
      <c r="H157">
        <v>8</v>
      </c>
      <c r="I157">
        <v>0.20310977599512769</v>
      </c>
    </row>
    <row r="158" spans="5:9" x14ac:dyDescent="0.45">
      <c r="E158" s="20">
        <v>0.32</v>
      </c>
      <c r="F158">
        <v>139</v>
      </c>
      <c r="G158">
        <v>53.8</v>
      </c>
      <c r="H158">
        <v>12</v>
      </c>
      <c r="I158">
        <v>0.2383732818226397</v>
      </c>
    </row>
    <row r="159" spans="5:9" x14ac:dyDescent="0.45">
      <c r="E159" s="20">
        <v>0.32</v>
      </c>
      <c r="F159">
        <v>146</v>
      </c>
      <c r="G159">
        <v>58.2</v>
      </c>
      <c r="H159">
        <v>11</v>
      </c>
      <c r="I159">
        <v>0.30222206303806748</v>
      </c>
    </row>
    <row r="160" spans="5:9" x14ac:dyDescent="0.45">
      <c r="E160" s="20">
        <v>0.32</v>
      </c>
      <c r="F160">
        <v>151</v>
      </c>
      <c r="G160">
        <v>61.54</v>
      </c>
      <c r="H160">
        <v>8</v>
      </c>
      <c r="I160">
        <v>0.2387033360299772</v>
      </c>
    </row>
    <row r="161" spans="5:9" x14ac:dyDescent="0.45">
      <c r="E161" s="20">
        <v>0.32</v>
      </c>
      <c r="F161">
        <v>155</v>
      </c>
      <c r="G161">
        <v>63.1</v>
      </c>
      <c r="H161">
        <v>8</v>
      </c>
      <c r="I161">
        <v>0.23221060864339546</v>
      </c>
    </row>
    <row r="162" spans="5:9" x14ac:dyDescent="0.45">
      <c r="E162" s="20">
        <v>0.32</v>
      </c>
      <c r="F162">
        <v>169</v>
      </c>
      <c r="G162">
        <v>53.4</v>
      </c>
      <c r="H162">
        <v>12</v>
      </c>
      <c r="I162">
        <v>0.30052240566109117</v>
      </c>
    </row>
    <row r="163" spans="5:9" x14ac:dyDescent="0.45">
      <c r="E163" s="20">
        <v>0.32</v>
      </c>
      <c r="F163">
        <v>176</v>
      </c>
      <c r="G163">
        <v>57</v>
      </c>
      <c r="H163">
        <v>11</v>
      </c>
      <c r="I163">
        <v>0.14222222222222219</v>
      </c>
    </row>
    <row r="164" spans="5:9" x14ac:dyDescent="0.45">
      <c r="E164" s="20">
        <v>0.32</v>
      </c>
      <c r="F164">
        <v>179</v>
      </c>
      <c r="G164">
        <v>52</v>
      </c>
      <c r="H164">
        <v>13</v>
      </c>
      <c r="I164">
        <v>0.24777777777777782</v>
      </c>
    </row>
    <row r="165" spans="5:9" x14ac:dyDescent="0.45">
      <c r="E165" s="20">
        <v>0.32</v>
      </c>
      <c r="F165">
        <v>179</v>
      </c>
      <c r="G165">
        <v>52</v>
      </c>
      <c r="H165">
        <v>13</v>
      </c>
      <c r="I165">
        <v>0.24777777777777782</v>
      </c>
    </row>
    <row r="166" spans="5:9" x14ac:dyDescent="0.45">
      <c r="E166" s="20">
        <v>0.32</v>
      </c>
      <c r="F166">
        <v>191</v>
      </c>
      <c r="G166">
        <v>58.3</v>
      </c>
      <c r="H166">
        <v>13</v>
      </c>
      <c r="I166">
        <v>0.23045454545454547</v>
      </c>
    </row>
    <row r="167" spans="5:9" x14ac:dyDescent="0.45">
      <c r="E167" s="20">
        <v>0.32</v>
      </c>
      <c r="F167">
        <v>191</v>
      </c>
      <c r="G167">
        <v>58.3</v>
      </c>
      <c r="H167">
        <v>13</v>
      </c>
      <c r="I167">
        <v>0.23045454545454547</v>
      </c>
    </row>
    <row r="168" spans="5:9" x14ac:dyDescent="0.45">
      <c r="E168" s="20">
        <v>0.32</v>
      </c>
      <c r="F168">
        <v>195</v>
      </c>
      <c r="G168">
        <v>54.6</v>
      </c>
      <c r="H168">
        <v>12</v>
      </c>
      <c r="I168">
        <v>9.441860465116278E-2</v>
      </c>
    </row>
    <row r="169" spans="5:9" x14ac:dyDescent="0.45">
      <c r="E169" s="20">
        <v>0.32</v>
      </c>
      <c r="F169">
        <v>211</v>
      </c>
      <c r="G169">
        <v>54.2</v>
      </c>
      <c r="H169">
        <v>12</v>
      </c>
      <c r="I169">
        <v>0.1275</v>
      </c>
    </row>
    <row r="170" spans="5:9" x14ac:dyDescent="0.45">
      <c r="E170" s="20">
        <v>0.32</v>
      </c>
      <c r="F170">
        <v>233</v>
      </c>
      <c r="G170">
        <v>51</v>
      </c>
      <c r="H170">
        <v>13</v>
      </c>
      <c r="I170">
        <v>0.17200000000000004</v>
      </c>
    </row>
    <row r="171" spans="5:9" x14ac:dyDescent="0.45">
      <c r="E171" s="20">
        <v>0.33</v>
      </c>
      <c r="F171">
        <v>103</v>
      </c>
      <c r="G171">
        <v>58.7</v>
      </c>
      <c r="H171">
        <v>11</v>
      </c>
      <c r="I171">
        <v>0.26087895080389895</v>
      </c>
    </row>
    <row r="172" spans="5:9" x14ac:dyDescent="0.45">
      <c r="E172" s="20">
        <v>0.33</v>
      </c>
      <c r="F172">
        <v>103</v>
      </c>
      <c r="G172">
        <v>58.7</v>
      </c>
      <c r="H172">
        <v>11</v>
      </c>
      <c r="I172">
        <v>0.20354919331489404</v>
      </c>
    </row>
    <row r="173" spans="5:9" x14ac:dyDescent="0.45">
      <c r="E173" s="20">
        <v>0.33</v>
      </c>
      <c r="F173">
        <v>106</v>
      </c>
      <c r="G173">
        <v>54</v>
      </c>
      <c r="H173">
        <v>4</v>
      </c>
      <c r="I173">
        <v>0.27860843172597233</v>
      </c>
    </row>
    <row r="174" spans="5:9" x14ac:dyDescent="0.45">
      <c r="E174" s="20">
        <v>0.33</v>
      </c>
      <c r="F174">
        <v>107</v>
      </c>
      <c r="G174">
        <v>60.38</v>
      </c>
      <c r="H174">
        <v>12</v>
      </c>
      <c r="I174">
        <v>0.21172311486292913</v>
      </c>
    </row>
    <row r="175" spans="5:9" x14ac:dyDescent="0.45">
      <c r="E175" s="20">
        <v>0.33</v>
      </c>
      <c r="F175">
        <v>111</v>
      </c>
      <c r="G175">
        <v>70.8</v>
      </c>
      <c r="H175">
        <v>6</v>
      </c>
      <c r="I175">
        <v>0.18538256526219188</v>
      </c>
    </row>
    <row r="176" spans="5:9" x14ac:dyDescent="0.45">
      <c r="E176" s="20">
        <v>0.33</v>
      </c>
      <c r="F176">
        <v>111</v>
      </c>
      <c r="G176">
        <v>70.8</v>
      </c>
      <c r="H176">
        <v>6</v>
      </c>
      <c r="I176">
        <v>0.21190959406641136</v>
      </c>
    </row>
    <row r="177" spans="5:9" x14ac:dyDescent="0.45">
      <c r="E177" s="20">
        <v>0.33</v>
      </c>
      <c r="F177">
        <v>112</v>
      </c>
      <c r="G177">
        <v>54.9</v>
      </c>
      <c r="H177">
        <v>1</v>
      </c>
      <c r="I177">
        <v>0.2118777935860795</v>
      </c>
    </row>
    <row r="178" spans="5:9" x14ac:dyDescent="0.45">
      <c r="E178" s="20">
        <v>0.33</v>
      </c>
      <c r="F178">
        <v>112</v>
      </c>
      <c r="G178">
        <v>50.81</v>
      </c>
      <c r="H178">
        <v>4</v>
      </c>
      <c r="I178">
        <v>0.23663869022405754</v>
      </c>
    </row>
    <row r="179" spans="5:9" x14ac:dyDescent="0.45">
      <c r="E179" s="20">
        <v>0.33</v>
      </c>
      <c r="F179">
        <v>118</v>
      </c>
      <c r="G179">
        <v>62.45</v>
      </c>
      <c r="H179">
        <v>9</v>
      </c>
      <c r="I179">
        <v>0.31851549554600672</v>
      </c>
    </row>
    <row r="180" spans="5:9" x14ac:dyDescent="0.45">
      <c r="E180" s="20">
        <v>0.33</v>
      </c>
      <c r="F180">
        <v>118</v>
      </c>
      <c r="G180">
        <v>54</v>
      </c>
      <c r="H180">
        <v>2</v>
      </c>
      <c r="I180">
        <v>0.2543707401492078</v>
      </c>
    </row>
    <row r="181" spans="5:9" x14ac:dyDescent="0.45">
      <c r="E181" s="20">
        <v>0.33</v>
      </c>
      <c r="F181">
        <v>128</v>
      </c>
      <c r="G181">
        <v>51.1</v>
      </c>
      <c r="H181">
        <v>13</v>
      </c>
      <c r="I181">
        <v>0.21008150441154769</v>
      </c>
    </row>
    <row r="182" spans="5:9" x14ac:dyDescent="0.45">
      <c r="E182" s="20">
        <v>0.33</v>
      </c>
      <c r="F182">
        <v>132</v>
      </c>
      <c r="G182">
        <v>52.8</v>
      </c>
      <c r="H182">
        <v>13</v>
      </c>
      <c r="I182">
        <v>0.22343819502983087</v>
      </c>
    </row>
    <row r="183" spans="5:9" x14ac:dyDescent="0.45">
      <c r="E183" s="20">
        <v>0.33</v>
      </c>
      <c r="F183">
        <v>133</v>
      </c>
      <c r="G183">
        <v>53.3</v>
      </c>
      <c r="H183">
        <v>11</v>
      </c>
      <c r="I183">
        <v>0.20367632418710474</v>
      </c>
    </row>
    <row r="184" spans="5:9" x14ac:dyDescent="0.45">
      <c r="E184" s="20">
        <v>0.33</v>
      </c>
      <c r="F184">
        <v>136</v>
      </c>
      <c r="G184">
        <v>59.82</v>
      </c>
      <c r="H184">
        <v>10</v>
      </c>
      <c r="I184">
        <v>0.27499917025573234</v>
      </c>
    </row>
    <row r="185" spans="5:9" x14ac:dyDescent="0.45">
      <c r="E185" s="20">
        <v>0.33</v>
      </c>
      <c r="F185">
        <v>136</v>
      </c>
      <c r="G185">
        <v>60.59</v>
      </c>
      <c r="H185">
        <v>13</v>
      </c>
      <c r="I185">
        <v>0.18222457800621145</v>
      </c>
    </row>
    <row r="186" spans="5:9" x14ac:dyDescent="0.45">
      <c r="E186" s="20">
        <v>0.33</v>
      </c>
      <c r="F186">
        <v>137</v>
      </c>
      <c r="G186">
        <v>62.5</v>
      </c>
      <c r="H186">
        <v>10</v>
      </c>
      <c r="I186">
        <v>0.20043860872407615</v>
      </c>
    </row>
    <row r="187" spans="5:9" x14ac:dyDescent="0.45">
      <c r="E187" s="20">
        <v>0.33</v>
      </c>
      <c r="F187">
        <v>138</v>
      </c>
      <c r="G187">
        <v>52.4</v>
      </c>
      <c r="H187">
        <v>0</v>
      </c>
      <c r="I187">
        <v>0.25984941709224441</v>
      </c>
    </row>
    <row r="188" spans="5:9" x14ac:dyDescent="0.45">
      <c r="E188" s="20">
        <v>0.33</v>
      </c>
      <c r="F188">
        <v>144</v>
      </c>
      <c r="G188">
        <v>61.5</v>
      </c>
      <c r="H188">
        <v>9</v>
      </c>
      <c r="I188">
        <v>0.20505267033601404</v>
      </c>
    </row>
    <row r="189" spans="5:9" x14ac:dyDescent="0.45">
      <c r="E189" s="20">
        <v>0.33</v>
      </c>
      <c r="F189">
        <v>149</v>
      </c>
      <c r="G189">
        <v>62</v>
      </c>
      <c r="H189">
        <v>13</v>
      </c>
      <c r="I189">
        <v>0.20209982661056194</v>
      </c>
    </row>
    <row r="190" spans="5:9" x14ac:dyDescent="0.45">
      <c r="E190" s="20">
        <v>0.33</v>
      </c>
      <c r="F190">
        <v>152</v>
      </c>
      <c r="G190">
        <v>52</v>
      </c>
      <c r="H190">
        <v>14</v>
      </c>
      <c r="I190">
        <v>0.200798835442762</v>
      </c>
    </row>
    <row r="191" spans="5:9" x14ac:dyDescent="0.45">
      <c r="E191" s="20">
        <v>0.33</v>
      </c>
      <c r="F191">
        <v>157</v>
      </c>
      <c r="G191">
        <v>52</v>
      </c>
      <c r="H191">
        <v>12</v>
      </c>
      <c r="I191">
        <v>0.11808510638297874</v>
      </c>
    </row>
    <row r="192" spans="5:9" x14ac:dyDescent="0.45">
      <c r="E192" s="20">
        <v>0.33</v>
      </c>
      <c r="F192">
        <v>160</v>
      </c>
      <c r="G192">
        <v>60.58</v>
      </c>
      <c r="H192">
        <v>13</v>
      </c>
      <c r="I192">
        <v>0.229243090272223</v>
      </c>
    </row>
    <row r="193" spans="5:9" x14ac:dyDescent="0.45">
      <c r="E193" s="20">
        <v>0.33</v>
      </c>
      <c r="F193">
        <v>171</v>
      </c>
      <c r="G193">
        <v>50.6</v>
      </c>
      <c r="H193">
        <v>10</v>
      </c>
      <c r="I193">
        <v>0.26247268132725649</v>
      </c>
    </row>
    <row r="194" spans="5:9" x14ac:dyDescent="0.45">
      <c r="E194" s="20">
        <v>0.33</v>
      </c>
      <c r="F194">
        <v>171</v>
      </c>
      <c r="G194">
        <v>54.3</v>
      </c>
      <c r="H194">
        <v>13</v>
      </c>
      <c r="I194">
        <v>0.12051282051282051</v>
      </c>
    </row>
    <row r="195" spans="5:9" x14ac:dyDescent="0.45">
      <c r="E195" s="20">
        <v>0.33</v>
      </c>
      <c r="F195">
        <v>172</v>
      </c>
      <c r="G195">
        <v>70.8</v>
      </c>
      <c r="H195">
        <v>13</v>
      </c>
      <c r="I195">
        <v>0.23148133195592988</v>
      </c>
    </row>
    <row r="196" spans="5:9" x14ac:dyDescent="0.45">
      <c r="E196" s="20">
        <v>0.33</v>
      </c>
      <c r="F196">
        <v>190</v>
      </c>
      <c r="G196">
        <v>51.4</v>
      </c>
      <c r="H196">
        <v>10</v>
      </c>
      <c r="I196">
        <v>0.10999999999999999</v>
      </c>
    </row>
    <row r="197" spans="5:9" x14ac:dyDescent="0.45">
      <c r="E197" s="20">
        <v>0.33</v>
      </c>
      <c r="F197">
        <v>230</v>
      </c>
      <c r="G197">
        <v>55</v>
      </c>
      <c r="H197">
        <v>9</v>
      </c>
      <c r="I197">
        <v>0.21080000000000002</v>
      </c>
    </row>
    <row r="198" spans="5:9" x14ac:dyDescent="0.45">
      <c r="E198" s="20">
        <v>0.34</v>
      </c>
      <c r="F198">
        <v>106</v>
      </c>
      <c r="G198">
        <v>50.1</v>
      </c>
      <c r="H198">
        <v>12</v>
      </c>
      <c r="I198">
        <v>0.28775304740212032</v>
      </c>
    </row>
    <row r="199" spans="5:9" x14ac:dyDescent="0.45">
      <c r="E199" s="20">
        <v>0.34</v>
      </c>
      <c r="F199">
        <v>106</v>
      </c>
      <c r="G199">
        <v>53</v>
      </c>
      <c r="H199">
        <v>1</v>
      </c>
      <c r="I199">
        <v>8.2549019607843138E-2</v>
      </c>
    </row>
    <row r="200" spans="5:9" x14ac:dyDescent="0.45">
      <c r="E200" s="20">
        <v>0.34</v>
      </c>
      <c r="F200">
        <v>107</v>
      </c>
      <c r="G200">
        <v>56</v>
      </c>
      <c r="H200">
        <v>2</v>
      </c>
      <c r="I200">
        <v>8.2962962962962961E-2</v>
      </c>
    </row>
    <row r="201" spans="5:9" x14ac:dyDescent="0.45">
      <c r="E201" s="20">
        <v>0.34</v>
      </c>
      <c r="F201">
        <v>107</v>
      </c>
      <c r="G201">
        <v>56</v>
      </c>
      <c r="H201">
        <v>7</v>
      </c>
      <c r="I201">
        <v>0.14472222222222222</v>
      </c>
    </row>
    <row r="202" spans="5:9" x14ac:dyDescent="0.45">
      <c r="E202" s="20">
        <v>0.34</v>
      </c>
      <c r="F202">
        <v>108</v>
      </c>
      <c r="G202">
        <v>57.3</v>
      </c>
      <c r="H202">
        <v>7</v>
      </c>
      <c r="I202">
        <v>0.3269299798300882</v>
      </c>
    </row>
    <row r="203" spans="5:9" x14ac:dyDescent="0.45">
      <c r="E203" s="20">
        <v>0.34</v>
      </c>
      <c r="F203">
        <v>108</v>
      </c>
      <c r="G203">
        <v>57.3</v>
      </c>
      <c r="H203">
        <v>7</v>
      </c>
      <c r="I203">
        <v>0.24679616228315732</v>
      </c>
    </row>
    <row r="204" spans="5:9" x14ac:dyDescent="0.45">
      <c r="E204" s="20">
        <v>0.34</v>
      </c>
      <c r="F204">
        <v>108</v>
      </c>
      <c r="G204">
        <v>51</v>
      </c>
      <c r="H204">
        <v>11</v>
      </c>
      <c r="I204">
        <v>0.17982875254255784</v>
      </c>
    </row>
    <row r="205" spans="5:9" x14ac:dyDescent="0.45">
      <c r="E205" s="20">
        <v>0.34</v>
      </c>
      <c r="F205">
        <v>113</v>
      </c>
      <c r="G205">
        <v>52.5</v>
      </c>
      <c r="H205">
        <v>7</v>
      </c>
      <c r="I205">
        <v>0.31892905887672024</v>
      </c>
    </row>
    <row r="206" spans="5:9" x14ac:dyDescent="0.45">
      <c r="E206" s="20">
        <v>0.34</v>
      </c>
      <c r="F206">
        <v>113</v>
      </c>
      <c r="G206">
        <v>52.5</v>
      </c>
      <c r="H206">
        <v>7</v>
      </c>
      <c r="I206">
        <v>0.28048631056258083</v>
      </c>
    </row>
    <row r="207" spans="5:9" x14ac:dyDescent="0.45">
      <c r="E207" s="20">
        <v>0.34</v>
      </c>
      <c r="F207">
        <v>115</v>
      </c>
      <c r="G207">
        <v>53.8</v>
      </c>
      <c r="H207">
        <v>9</v>
      </c>
      <c r="I207">
        <v>0.25658924713164483</v>
      </c>
    </row>
    <row r="208" spans="5:9" x14ac:dyDescent="0.45">
      <c r="E208" s="20">
        <v>0.34</v>
      </c>
      <c r="F208">
        <v>126</v>
      </c>
      <c r="G208">
        <v>62.5</v>
      </c>
      <c r="H208">
        <v>0</v>
      </c>
      <c r="I208">
        <v>0.20652975248235758</v>
      </c>
    </row>
    <row r="209" spans="5:9" x14ac:dyDescent="0.45">
      <c r="E209" s="20">
        <v>0.34</v>
      </c>
      <c r="F209">
        <v>130</v>
      </c>
      <c r="G209">
        <v>52.5</v>
      </c>
      <c r="H209">
        <v>6</v>
      </c>
      <c r="I209">
        <v>0.23693647044809554</v>
      </c>
    </row>
    <row r="210" spans="5:9" x14ac:dyDescent="0.45">
      <c r="E210" s="20">
        <v>0.34</v>
      </c>
      <c r="F210">
        <v>134</v>
      </c>
      <c r="G210">
        <v>61.5</v>
      </c>
      <c r="H210">
        <v>9</v>
      </c>
      <c r="I210">
        <v>0.25882888649898422</v>
      </c>
    </row>
    <row r="211" spans="5:9" x14ac:dyDescent="0.45">
      <c r="E211" s="20">
        <v>0.34</v>
      </c>
      <c r="F211">
        <v>134</v>
      </c>
      <c r="G211">
        <v>60.58</v>
      </c>
      <c r="H211">
        <v>14</v>
      </c>
      <c r="I211">
        <v>0.22745350189033089</v>
      </c>
    </row>
    <row r="212" spans="5:9" x14ac:dyDescent="0.45">
      <c r="E212" s="20">
        <v>0.34</v>
      </c>
      <c r="F212">
        <v>134</v>
      </c>
      <c r="G212">
        <v>53.3</v>
      </c>
      <c r="H212">
        <v>6</v>
      </c>
      <c r="I212">
        <v>0.26919615937234215</v>
      </c>
    </row>
    <row r="213" spans="5:9" x14ac:dyDescent="0.45">
      <c r="E213" s="20">
        <v>0.34</v>
      </c>
      <c r="F213">
        <v>136</v>
      </c>
      <c r="G213">
        <v>53.2</v>
      </c>
      <c r="H213">
        <v>14</v>
      </c>
      <c r="I213">
        <v>0.2733853338608343</v>
      </c>
    </row>
    <row r="214" spans="5:9" x14ac:dyDescent="0.45">
      <c r="E214" s="20">
        <v>0.34</v>
      </c>
      <c r="F214">
        <v>137</v>
      </c>
      <c r="G214">
        <v>58.3</v>
      </c>
      <c r="H214">
        <v>12</v>
      </c>
      <c r="I214">
        <v>0.25191137606026903</v>
      </c>
    </row>
    <row r="215" spans="5:9" x14ac:dyDescent="0.45">
      <c r="E215" s="20">
        <v>0.34</v>
      </c>
      <c r="F215">
        <v>138</v>
      </c>
      <c r="G215">
        <v>50.7</v>
      </c>
      <c r="H215">
        <v>1</v>
      </c>
      <c r="I215">
        <v>0.16106757152371884</v>
      </c>
    </row>
    <row r="216" spans="5:9" x14ac:dyDescent="0.45">
      <c r="E216" s="20">
        <v>0.34</v>
      </c>
      <c r="F216">
        <v>140</v>
      </c>
      <c r="G216">
        <v>60.2</v>
      </c>
      <c r="H216">
        <v>5</v>
      </c>
      <c r="I216">
        <v>0.20638907890755739</v>
      </c>
    </row>
    <row r="217" spans="5:9" x14ac:dyDescent="0.45">
      <c r="E217" s="20">
        <v>0.34</v>
      </c>
      <c r="F217">
        <v>140</v>
      </c>
      <c r="G217">
        <v>54.9</v>
      </c>
      <c r="H217">
        <v>11</v>
      </c>
      <c r="I217">
        <v>0.28787517865520673</v>
      </c>
    </row>
    <row r="218" spans="5:9" x14ac:dyDescent="0.45">
      <c r="E218" s="20">
        <v>0.34</v>
      </c>
      <c r="F218">
        <v>140</v>
      </c>
      <c r="G218">
        <v>50.7</v>
      </c>
      <c r="H218">
        <v>9</v>
      </c>
      <c r="I218">
        <v>0.23227376838756733</v>
      </c>
    </row>
    <row r="219" spans="5:9" x14ac:dyDescent="0.45">
      <c r="E219" s="20">
        <v>0.34</v>
      </c>
      <c r="F219">
        <v>146</v>
      </c>
      <c r="G219">
        <v>60.2</v>
      </c>
      <c r="H219">
        <v>7</v>
      </c>
      <c r="I219">
        <v>0.19992973707765657</v>
      </c>
    </row>
    <row r="220" spans="5:9" x14ac:dyDescent="0.45">
      <c r="E220" s="20">
        <v>0.34</v>
      </c>
      <c r="F220">
        <v>150</v>
      </c>
      <c r="G220">
        <v>58.24</v>
      </c>
      <c r="H220">
        <v>4</v>
      </c>
      <c r="I220">
        <v>0.28264919174810788</v>
      </c>
    </row>
    <row r="221" spans="5:9" x14ac:dyDescent="0.45">
      <c r="E221" s="20">
        <v>0.34</v>
      </c>
      <c r="F221">
        <v>151</v>
      </c>
      <c r="G221">
        <v>60.1</v>
      </c>
      <c r="H221">
        <v>6</v>
      </c>
      <c r="I221">
        <v>0.33425423393786396</v>
      </c>
    </row>
    <row r="222" spans="5:9" x14ac:dyDescent="0.45">
      <c r="E222" s="20">
        <v>0.34</v>
      </c>
      <c r="F222">
        <v>154</v>
      </c>
      <c r="G222">
        <v>64.28</v>
      </c>
      <c r="H222">
        <v>4</v>
      </c>
      <c r="I222">
        <v>0.25065846250905649</v>
      </c>
    </row>
    <row r="223" spans="5:9" x14ac:dyDescent="0.45">
      <c r="E223" s="20">
        <v>0.34</v>
      </c>
      <c r="F223">
        <v>176</v>
      </c>
      <c r="G223">
        <v>52.1</v>
      </c>
      <c r="H223">
        <v>12</v>
      </c>
      <c r="I223">
        <v>0.23875262748144208</v>
      </c>
    </row>
    <row r="224" spans="5:9" x14ac:dyDescent="0.45">
      <c r="E224" s="20">
        <v>0.34</v>
      </c>
      <c r="F224">
        <v>179</v>
      </c>
      <c r="G224">
        <v>63.74</v>
      </c>
      <c r="H224">
        <v>7</v>
      </c>
      <c r="I224">
        <v>0.30719944424090712</v>
      </c>
    </row>
    <row r="225" spans="5:9" x14ac:dyDescent="0.45">
      <c r="E225" s="20">
        <v>0.34</v>
      </c>
      <c r="F225">
        <v>206</v>
      </c>
      <c r="G225">
        <v>73</v>
      </c>
      <c r="H225">
        <v>12</v>
      </c>
      <c r="I225">
        <v>0.10460000000000001</v>
      </c>
    </row>
    <row r="226" spans="5:9" x14ac:dyDescent="0.45">
      <c r="E226" s="20">
        <v>0.35</v>
      </c>
      <c r="F226">
        <v>108</v>
      </c>
      <c r="G226">
        <v>50.3</v>
      </c>
      <c r="H226">
        <v>2</v>
      </c>
      <c r="I226">
        <v>0.17427057241055383</v>
      </c>
    </row>
    <row r="227" spans="5:9" x14ac:dyDescent="0.45">
      <c r="E227" s="20">
        <v>0.35</v>
      </c>
      <c r="F227">
        <v>110</v>
      </c>
      <c r="G227">
        <v>52</v>
      </c>
      <c r="H227">
        <v>3</v>
      </c>
      <c r="I227">
        <v>0.20483254954418625</v>
      </c>
    </row>
    <row r="228" spans="5:9" x14ac:dyDescent="0.45">
      <c r="E228" s="20">
        <v>0.35</v>
      </c>
      <c r="F228">
        <v>112</v>
      </c>
      <c r="G228">
        <v>50.6</v>
      </c>
      <c r="H228">
        <v>3</v>
      </c>
      <c r="I228">
        <v>0.16202047966407523</v>
      </c>
    </row>
    <row r="229" spans="5:9" x14ac:dyDescent="0.45">
      <c r="E229" s="20">
        <v>0.35</v>
      </c>
      <c r="F229">
        <v>112</v>
      </c>
      <c r="G229">
        <v>54</v>
      </c>
      <c r="H229">
        <v>0</v>
      </c>
      <c r="I229">
        <v>0.12275</v>
      </c>
    </row>
    <row r="230" spans="5:9" x14ac:dyDescent="0.45">
      <c r="E230" s="20">
        <v>0.35</v>
      </c>
      <c r="F230">
        <v>114</v>
      </c>
      <c r="G230">
        <v>54.8</v>
      </c>
      <c r="H230">
        <v>7</v>
      </c>
      <c r="I230">
        <v>0.19110913774295155</v>
      </c>
    </row>
    <row r="231" spans="5:9" x14ac:dyDescent="0.45">
      <c r="E231" s="20">
        <v>0.35</v>
      </c>
      <c r="F231">
        <v>127</v>
      </c>
      <c r="G231">
        <v>54.1</v>
      </c>
      <c r="H231">
        <v>7</v>
      </c>
      <c r="I231">
        <v>0.23945726304567189</v>
      </c>
    </row>
    <row r="232" spans="5:9" x14ac:dyDescent="0.45">
      <c r="E232" s="20">
        <v>0.35</v>
      </c>
      <c r="F232">
        <v>129</v>
      </c>
      <c r="G232">
        <v>52.8</v>
      </c>
      <c r="H232">
        <v>13</v>
      </c>
      <c r="I232">
        <v>0.21474146446499592</v>
      </c>
    </row>
    <row r="233" spans="5:9" x14ac:dyDescent="0.45">
      <c r="E233" s="20">
        <v>0.35</v>
      </c>
      <c r="F233">
        <v>133</v>
      </c>
      <c r="G233">
        <v>63.25</v>
      </c>
      <c r="H233">
        <v>10</v>
      </c>
      <c r="I233">
        <v>0.21931998000698338</v>
      </c>
    </row>
    <row r="234" spans="5:9" x14ac:dyDescent="0.45">
      <c r="E234" s="20">
        <v>0.35</v>
      </c>
      <c r="F234">
        <v>141</v>
      </c>
      <c r="G234">
        <v>53</v>
      </c>
      <c r="H234">
        <v>12</v>
      </c>
      <c r="I234">
        <v>0.22611592500608002</v>
      </c>
    </row>
    <row r="235" spans="5:9" x14ac:dyDescent="0.45">
      <c r="E235" s="20">
        <v>0.35</v>
      </c>
      <c r="F235">
        <v>147</v>
      </c>
      <c r="G235">
        <v>53.3</v>
      </c>
      <c r="H235">
        <v>12</v>
      </c>
      <c r="I235">
        <v>0.27752828275240221</v>
      </c>
    </row>
    <row r="236" spans="5:9" x14ac:dyDescent="0.45">
      <c r="E236" s="20">
        <v>0.35</v>
      </c>
      <c r="F236">
        <v>153</v>
      </c>
      <c r="G236">
        <v>53.1</v>
      </c>
      <c r="H236">
        <v>9</v>
      </c>
      <c r="I236">
        <v>0.25691215714521448</v>
      </c>
    </row>
    <row r="237" spans="5:9" x14ac:dyDescent="0.45">
      <c r="E237" s="20">
        <v>0.35</v>
      </c>
      <c r="F237">
        <v>157</v>
      </c>
      <c r="G237">
        <v>52.3</v>
      </c>
      <c r="H237">
        <v>12</v>
      </c>
      <c r="I237">
        <v>0.19293879461590588</v>
      </c>
    </row>
    <row r="238" spans="5:9" x14ac:dyDescent="0.45">
      <c r="E238" s="20">
        <v>0.35</v>
      </c>
      <c r="F238">
        <v>160</v>
      </c>
      <c r="G238">
        <v>61.2</v>
      </c>
      <c r="H238">
        <v>10</v>
      </c>
      <c r="I238">
        <v>0.15085539117505301</v>
      </c>
    </row>
    <row r="239" spans="5:9" x14ac:dyDescent="0.45">
      <c r="E239" s="20">
        <v>0.35</v>
      </c>
      <c r="F239">
        <v>162</v>
      </c>
      <c r="G239">
        <v>65.89</v>
      </c>
      <c r="H239">
        <v>13</v>
      </c>
      <c r="I239">
        <v>0.25212236540287181</v>
      </c>
    </row>
    <row r="240" spans="5:9" x14ac:dyDescent="0.45">
      <c r="E240" s="20">
        <v>0.35</v>
      </c>
      <c r="F240">
        <v>165</v>
      </c>
      <c r="G240">
        <v>60.83</v>
      </c>
      <c r="H240">
        <v>7</v>
      </c>
      <c r="I240">
        <v>0.23268339677573538</v>
      </c>
    </row>
    <row r="241" spans="5:9" x14ac:dyDescent="0.45">
      <c r="E241" s="20">
        <v>0.35</v>
      </c>
      <c r="F241">
        <v>172</v>
      </c>
      <c r="G241">
        <v>61.25</v>
      </c>
      <c r="H241">
        <v>15</v>
      </c>
      <c r="I241">
        <v>0.19261704627526424</v>
      </c>
    </row>
    <row r="242" spans="5:9" x14ac:dyDescent="0.45">
      <c r="E242" s="20">
        <v>0.35</v>
      </c>
      <c r="F242">
        <v>173</v>
      </c>
      <c r="G242">
        <v>54.9</v>
      </c>
      <c r="H242">
        <v>6</v>
      </c>
      <c r="I242">
        <v>0.2531608843145991</v>
      </c>
    </row>
    <row r="243" spans="5:9" x14ac:dyDescent="0.45">
      <c r="E243" s="20">
        <v>0.35</v>
      </c>
      <c r="F243">
        <v>274</v>
      </c>
      <c r="G243">
        <v>67.3</v>
      </c>
      <c r="H243">
        <v>12</v>
      </c>
      <c r="I243">
        <v>0.22909508191886416</v>
      </c>
    </row>
    <row r="244" spans="5:9" x14ac:dyDescent="0.45">
      <c r="E244" s="20">
        <v>0.36</v>
      </c>
      <c r="F244">
        <v>115</v>
      </c>
      <c r="G244">
        <v>70.900000000000006</v>
      </c>
      <c r="H244">
        <v>10</v>
      </c>
      <c r="I244">
        <v>0.24738188192096169</v>
      </c>
    </row>
    <row r="245" spans="5:9" x14ac:dyDescent="0.45">
      <c r="E245" s="20">
        <v>0.36</v>
      </c>
      <c r="F245">
        <v>115</v>
      </c>
      <c r="G245">
        <v>70.900000000000006</v>
      </c>
      <c r="H245">
        <v>10</v>
      </c>
      <c r="I245">
        <v>0.23599589051889883</v>
      </c>
    </row>
    <row r="246" spans="5:9" x14ac:dyDescent="0.45">
      <c r="E246" s="20">
        <v>0.36</v>
      </c>
      <c r="F246">
        <v>131</v>
      </c>
      <c r="G246">
        <v>52.5</v>
      </c>
      <c r="H246">
        <v>3</v>
      </c>
      <c r="I246">
        <v>0.10461538461538464</v>
      </c>
    </row>
    <row r="247" spans="5:9" x14ac:dyDescent="0.45">
      <c r="E247" s="20">
        <v>0.36</v>
      </c>
      <c r="F247">
        <v>132</v>
      </c>
      <c r="G247">
        <v>51.6</v>
      </c>
      <c r="H247">
        <v>0</v>
      </c>
      <c r="I247">
        <v>0.20275182511694476</v>
      </c>
    </row>
    <row r="248" spans="5:9" x14ac:dyDescent="0.45">
      <c r="E248" s="20">
        <v>0.36</v>
      </c>
      <c r="F248">
        <v>136</v>
      </c>
      <c r="G248">
        <v>61</v>
      </c>
      <c r="H248">
        <v>11</v>
      </c>
      <c r="I248">
        <v>0.21790904300007033</v>
      </c>
    </row>
    <row r="249" spans="5:9" x14ac:dyDescent="0.45">
      <c r="E249" s="20">
        <v>0.36</v>
      </c>
      <c r="F249">
        <v>136</v>
      </c>
      <c r="G249">
        <v>62.3</v>
      </c>
      <c r="H249">
        <v>13</v>
      </c>
      <c r="I249">
        <v>0.1909600662006892</v>
      </c>
    </row>
    <row r="250" spans="5:9" x14ac:dyDescent="0.45">
      <c r="E250" s="20">
        <v>0.36</v>
      </c>
      <c r="F250">
        <v>137</v>
      </c>
      <c r="G250">
        <v>61.3</v>
      </c>
      <c r="H250">
        <v>6</v>
      </c>
      <c r="I250">
        <v>0.22014836482633182</v>
      </c>
    </row>
    <row r="251" spans="5:9" x14ac:dyDescent="0.45">
      <c r="E251" s="20">
        <v>0.36</v>
      </c>
      <c r="F251">
        <v>144</v>
      </c>
      <c r="G251">
        <v>54.6</v>
      </c>
      <c r="H251">
        <v>8</v>
      </c>
      <c r="I251">
        <v>0.18518767814529249</v>
      </c>
    </row>
    <row r="252" spans="5:9" x14ac:dyDescent="0.45">
      <c r="E252" s="20">
        <v>0.36</v>
      </c>
      <c r="F252">
        <v>147</v>
      </c>
      <c r="G252">
        <v>59</v>
      </c>
      <c r="H252">
        <v>11</v>
      </c>
      <c r="I252">
        <v>0.17885278755487197</v>
      </c>
    </row>
    <row r="253" spans="5:9" x14ac:dyDescent="0.45">
      <c r="E253" s="20">
        <v>0.36</v>
      </c>
      <c r="F253">
        <v>149</v>
      </c>
      <c r="G253">
        <v>53.8</v>
      </c>
      <c r="H253">
        <v>6</v>
      </c>
      <c r="I253">
        <v>0.21888476513953714</v>
      </c>
    </row>
    <row r="254" spans="5:9" x14ac:dyDescent="0.45">
      <c r="E254" s="20">
        <v>0.36</v>
      </c>
      <c r="F254">
        <v>195</v>
      </c>
      <c r="G254">
        <v>60.1</v>
      </c>
      <c r="H254">
        <v>14</v>
      </c>
      <c r="I254">
        <v>0.11326699217613535</v>
      </c>
    </row>
    <row r="255" spans="5:9" x14ac:dyDescent="0.45">
      <c r="E255" s="20">
        <v>0.36</v>
      </c>
      <c r="F255">
        <v>339</v>
      </c>
      <c r="G255">
        <v>61.3</v>
      </c>
      <c r="H255">
        <v>13</v>
      </c>
      <c r="I255">
        <v>0.26909304238545478</v>
      </c>
    </row>
    <row r="256" spans="5:9" x14ac:dyDescent="0.45">
      <c r="E256" s="20">
        <v>0.37</v>
      </c>
      <c r="F256">
        <v>119</v>
      </c>
      <c r="G256">
        <v>63.6</v>
      </c>
      <c r="H256">
        <v>9</v>
      </c>
      <c r="I256">
        <v>0.23499393465882049</v>
      </c>
    </row>
    <row r="257" spans="5:9" x14ac:dyDescent="0.45">
      <c r="E257" s="20">
        <v>0.37</v>
      </c>
      <c r="F257">
        <v>122</v>
      </c>
      <c r="G257">
        <v>60.22</v>
      </c>
      <c r="H257">
        <v>13</v>
      </c>
      <c r="I257">
        <v>0.25210986401321728</v>
      </c>
    </row>
    <row r="258" spans="5:9" x14ac:dyDescent="0.45">
      <c r="E258" s="20">
        <v>0.37</v>
      </c>
      <c r="F258">
        <v>128</v>
      </c>
      <c r="G258">
        <v>60.21</v>
      </c>
      <c r="H258">
        <v>12</v>
      </c>
      <c r="I258">
        <v>0.25256691752498867</v>
      </c>
    </row>
    <row r="259" spans="5:9" x14ac:dyDescent="0.45">
      <c r="E259" s="20">
        <v>0.37</v>
      </c>
      <c r="F259">
        <v>131</v>
      </c>
      <c r="G259">
        <v>54.9</v>
      </c>
      <c r="H259">
        <v>14</v>
      </c>
      <c r="I259">
        <v>0.24530270566074297</v>
      </c>
    </row>
    <row r="260" spans="5:9" x14ac:dyDescent="0.45">
      <c r="E260" s="20">
        <v>0.37</v>
      </c>
      <c r="F260">
        <v>134</v>
      </c>
      <c r="G260">
        <v>51.8</v>
      </c>
      <c r="H260">
        <v>14</v>
      </c>
      <c r="I260">
        <v>0.19441495874024536</v>
      </c>
    </row>
    <row r="261" spans="5:9" x14ac:dyDescent="0.45">
      <c r="E261" s="20">
        <v>0.37</v>
      </c>
      <c r="F261">
        <v>137</v>
      </c>
      <c r="G261">
        <v>50.3</v>
      </c>
      <c r="H261">
        <v>10</v>
      </c>
      <c r="I261">
        <v>0.24505344159529538</v>
      </c>
    </row>
    <row r="262" spans="5:9" x14ac:dyDescent="0.45">
      <c r="E262" s="20">
        <v>0.37</v>
      </c>
      <c r="F262">
        <v>140</v>
      </c>
      <c r="G262">
        <v>51.4</v>
      </c>
      <c r="H262">
        <v>13</v>
      </c>
      <c r="I262">
        <v>0.18941943341174378</v>
      </c>
    </row>
    <row r="263" spans="5:9" x14ac:dyDescent="0.45">
      <c r="E263" s="20">
        <v>0.37</v>
      </c>
      <c r="F263">
        <v>141</v>
      </c>
      <c r="G263">
        <v>50.7</v>
      </c>
      <c r="H263">
        <v>12</v>
      </c>
      <c r="I263">
        <v>0.28404821435756999</v>
      </c>
    </row>
    <row r="264" spans="5:9" x14ac:dyDescent="0.45">
      <c r="E264" s="20">
        <v>0.37</v>
      </c>
      <c r="F264">
        <v>145</v>
      </c>
      <c r="G264">
        <v>59.68</v>
      </c>
      <c r="H264">
        <v>7</v>
      </c>
      <c r="I264">
        <v>0.2310246164421885</v>
      </c>
    </row>
    <row r="265" spans="5:9" x14ac:dyDescent="0.45">
      <c r="E265" s="20">
        <v>0.37</v>
      </c>
      <c r="F265">
        <v>149</v>
      </c>
      <c r="G265">
        <v>53</v>
      </c>
      <c r="H265">
        <v>5</v>
      </c>
      <c r="I265">
        <v>0.25071837244154793</v>
      </c>
    </row>
    <row r="266" spans="5:9" x14ac:dyDescent="0.45">
      <c r="E266" s="20">
        <v>0.37</v>
      </c>
      <c r="F266">
        <v>162</v>
      </c>
      <c r="G266">
        <v>60.1</v>
      </c>
      <c r="H266">
        <v>6</v>
      </c>
      <c r="I266">
        <v>0.1827738871454746</v>
      </c>
    </row>
    <row r="267" spans="5:9" x14ac:dyDescent="0.45">
      <c r="E267" s="20">
        <v>0.37</v>
      </c>
      <c r="F267">
        <v>169</v>
      </c>
      <c r="G267">
        <v>71.5</v>
      </c>
      <c r="H267">
        <v>11</v>
      </c>
      <c r="I267">
        <v>0.2942388914344431</v>
      </c>
    </row>
    <row r="268" spans="5:9" x14ac:dyDescent="0.45">
      <c r="E268" s="20">
        <v>0.37</v>
      </c>
      <c r="F268">
        <v>171</v>
      </c>
      <c r="G268">
        <v>62.6</v>
      </c>
      <c r="H268">
        <v>6</v>
      </c>
      <c r="I268">
        <v>0.18234905029449441</v>
      </c>
    </row>
    <row r="269" spans="5:9" x14ac:dyDescent="0.45">
      <c r="E269" s="20">
        <v>0.38</v>
      </c>
      <c r="F269">
        <v>113</v>
      </c>
      <c r="G269">
        <v>50.7</v>
      </c>
      <c r="H269">
        <v>2</v>
      </c>
      <c r="I269">
        <v>0.14661266303167428</v>
      </c>
    </row>
    <row r="270" spans="5:9" x14ac:dyDescent="0.45">
      <c r="E270" s="20">
        <v>0.38</v>
      </c>
      <c r="F270">
        <v>115</v>
      </c>
      <c r="G270">
        <v>52.3</v>
      </c>
      <c r="H270">
        <v>7</v>
      </c>
      <c r="I270">
        <v>0.19297244304569117</v>
      </c>
    </row>
    <row r="271" spans="5:9" x14ac:dyDescent="0.45">
      <c r="E271" s="20">
        <v>0.38</v>
      </c>
      <c r="F271">
        <v>126</v>
      </c>
      <c r="G271">
        <v>60.1</v>
      </c>
      <c r="H271">
        <v>7</v>
      </c>
      <c r="I271">
        <v>0.2031561126420002</v>
      </c>
    </row>
    <row r="272" spans="5:9" x14ac:dyDescent="0.45">
      <c r="E272" s="20">
        <v>0.38</v>
      </c>
      <c r="F272">
        <v>131</v>
      </c>
      <c r="G272">
        <v>52.6</v>
      </c>
      <c r="H272">
        <v>8</v>
      </c>
      <c r="I272">
        <v>0.31096623911658799</v>
      </c>
    </row>
    <row r="273" spans="5:9" x14ac:dyDescent="0.45">
      <c r="E273" s="20">
        <v>0.38</v>
      </c>
      <c r="F273">
        <v>137</v>
      </c>
      <c r="G273">
        <v>51.7</v>
      </c>
      <c r="H273">
        <v>13</v>
      </c>
      <c r="I273">
        <v>0.26135138003103381</v>
      </c>
    </row>
    <row r="274" spans="5:9" x14ac:dyDescent="0.45">
      <c r="E274" s="20">
        <v>0.38</v>
      </c>
      <c r="F274">
        <v>144</v>
      </c>
      <c r="G274">
        <v>59</v>
      </c>
      <c r="H274">
        <v>12</v>
      </c>
      <c r="I274">
        <v>0.20405766696387062</v>
      </c>
    </row>
    <row r="275" spans="5:9" x14ac:dyDescent="0.45">
      <c r="E275" s="20">
        <v>0.38</v>
      </c>
      <c r="F275">
        <v>160</v>
      </c>
      <c r="G275">
        <v>63.2</v>
      </c>
      <c r="H275">
        <v>4</v>
      </c>
      <c r="I275">
        <v>0.21298024165329218</v>
      </c>
    </row>
    <row r="276" spans="5:9" x14ac:dyDescent="0.45">
      <c r="E276" s="20">
        <v>0.38</v>
      </c>
      <c r="F276">
        <v>165</v>
      </c>
      <c r="G276">
        <v>59.66</v>
      </c>
      <c r="H276">
        <v>10</v>
      </c>
      <c r="I276">
        <v>0.18839165429563071</v>
      </c>
    </row>
    <row r="277" spans="5:9" x14ac:dyDescent="0.45">
      <c r="E277" s="20">
        <v>0.38</v>
      </c>
      <c r="F277">
        <v>188</v>
      </c>
      <c r="G277">
        <v>52.2</v>
      </c>
      <c r="H277">
        <v>8</v>
      </c>
      <c r="I277">
        <v>0.1943669432670701</v>
      </c>
    </row>
    <row r="278" spans="5:9" x14ac:dyDescent="0.45">
      <c r="E278" s="20">
        <v>0.39</v>
      </c>
      <c r="F278">
        <v>139</v>
      </c>
      <c r="G278">
        <v>72.3</v>
      </c>
      <c r="H278">
        <v>10</v>
      </c>
      <c r="I278">
        <v>0.30309838903453334</v>
      </c>
    </row>
    <row r="279" spans="5:9" x14ac:dyDescent="0.45">
      <c r="E279" s="20">
        <v>0.39</v>
      </c>
      <c r="F279">
        <v>144</v>
      </c>
      <c r="G279">
        <v>52.8</v>
      </c>
      <c r="H279">
        <v>0</v>
      </c>
      <c r="I279">
        <v>0.22099690313637757</v>
      </c>
    </row>
    <row r="280" spans="5:9" x14ac:dyDescent="0.45">
      <c r="E280" s="20">
        <v>0.39</v>
      </c>
      <c r="F280">
        <v>150</v>
      </c>
      <c r="G280">
        <v>51.5</v>
      </c>
      <c r="H280">
        <v>12</v>
      </c>
      <c r="I280">
        <v>0.25303555516494491</v>
      </c>
    </row>
    <row r="281" spans="5:9" x14ac:dyDescent="0.45">
      <c r="E281" s="20">
        <v>0.39</v>
      </c>
      <c r="F281">
        <v>157</v>
      </c>
      <c r="G281">
        <v>61.3</v>
      </c>
      <c r="H281">
        <v>9</v>
      </c>
      <c r="I281">
        <v>0.26822856481931245</v>
      </c>
    </row>
    <row r="282" spans="5:9" x14ac:dyDescent="0.45">
      <c r="E282" s="20">
        <v>0.4</v>
      </c>
      <c r="F282">
        <v>133</v>
      </c>
      <c r="G282">
        <v>51.7</v>
      </c>
      <c r="H282">
        <v>13</v>
      </c>
      <c r="I282">
        <v>0.24019596625762191</v>
      </c>
    </row>
    <row r="283" spans="5:9" x14ac:dyDescent="0.45">
      <c r="E283" s="20">
        <v>0.4</v>
      </c>
      <c r="F283">
        <v>151</v>
      </c>
      <c r="G283">
        <v>65.3</v>
      </c>
      <c r="H283">
        <v>11</v>
      </c>
      <c r="I283">
        <v>0.21565420504422525</v>
      </c>
    </row>
    <row r="284" spans="5:9" x14ac:dyDescent="0.45">
      <c r="E284" s="20">
        <v>0.4</v>
      </c>
      <c r="F284">
        <v>159</v>
      </c>
      <c r="G284">
        <v>61.5</v>
      </c>
      <c r="H284">
        <v>8</v>
      </c>
      <c r="I284">
        <v>0.17227253667081538</v>
      </c>
    </row>
    <row r="285" spans="5:9" x14ac:dyDescent="0.45">
      <c r="E285" s="20">
        <v>0.4</v>
      </c>
      <c r="F285">
        <v>174</v>
      </c>
      <c r="G285">
        <v>52.1</v>
      </c>
      <c r="H285">
        <v>6</v>
      </c>
      <c r="I285">
        <v>0.22816200191603195</v>
      </c>
    </row>
    <row r="286" spans="5:9" x14ac:dyDescent="0.45">
      <c r="E286" s="20">
        <v>0.4</v>
      </c>
      <c r="F286">
        <v>182</v>
      </c>
      <c r="G286">
        <v>57.5</v>
      </c>
      <c r="H286">
        <v>8</v>
      </c>
      <c r="I286">
        <v>0.22315207097031869</v>
      </c>
    </row>
    <row r="287" spans="5:9" x14ac:dyDescent="0.45">
      <c r="E287" s="20">
        <v>0.4</v>
      </c>
      <c r="F287">
        <v>190</v>
      </c>
      <c r="G287">
        <v>62.8</v>
      </c>
      <c r="H287">
        <v>8</v>
      </c>
      <c r="I287">
        <v>0.33057104939296339</v>
      </c>
    </row>
    <row r="288" spans="5:9" x14ac:dyDescent="0.45">
      <c r="E288" s="20">
        <v>0.4</v>
      </c>
      <c r="F288">
        <v>194</v>
      </c>
      <c r="G288">
        <v>57.3</v>
      </c>
      <c r="H288">
        <v>15</v>
      </c>
      <c r="I288">
        <v>0.21325034789961816</v>
      </c>
    </row>
    <row r="289" spans="5:9" x14ac:dyDescent="0.45">
      <c r="E289" s="20">
        <v>0.41</v>
      </c>
      <c r="F289">
        <v>119</v>
      </c>
      <c r="G289">
        <v>50.7</v>
      </c>
      <c r="H289">
        <v>9</v>
      </c>
      <c r="I289">
        <v>0.23406211168374469</v>
      </c>
    </row>
    <row r="290" spans="5:9" x14ac:dyDescent="0.45">
      <c r="E290" s="20">
        <v>0.41</v>
      </c>
      <c r="F290">
        <v>120</v>
      </c>
      <c r="G290">
        <v>49.5</v>
      </c>
      <c r="H290">
        <v>15</v>
      </c>
      <c r="I290">
        <v>0.26012672731501163</v>
      </c>
    </row>
    <row r="291" spans="5:9" x14ac:dyDescent="0.45">
      <c r="E291" s="20">
        <v>0.41</v>
      </c>
      <c r="F291">
        <v>146</v>
      </c>
      <c r="G291">
        <v>50.9</v>
      </c>
      <c r="H291">
        <v>9</v>
      </c>
      <c r="I291">
        <v>0.26190542676279022</v>
      </c>
    </row>
    <row r="292" spans="5:9" x14ac:dyDescent="0.45">
      <c r="E292" s="20">
        <v>0.41</v>
      </c>
      <c r="F292">
        <v>161</v>
      </c>
      <c r="G292">
        <v>64.5</v>
      </c>
      <c r="H292">
        <v>11</v>
      </c>
      <c r="I292">
        <v>0.18212560101551833</v>
      </c>
    </row>
    <row r="293" spans="5:9" x14ac:dyDescent="0.45">
      <c r="E293" s="20">
        <v>0.41</v>
      </c>
      <c r="F293">
        <v>164</v>
      </c>
      <c r="G293">
        <v>63.8</v>
      </c>
      <c r="H293">
        <v>9</v>
      </c>
      <c r="I293">
        <v>0.21834308445754944</v>
      </c>
    </row>
    <row r="294" spans="5:9" x14ac:dyDescent="0.45">
      <c r="E294" s="20">
        <v>0.42</v>
      </c>
      <c r="F294">
        <v>158</v>
      </c>
      <c r="G294">
        <v>52.6</v>
      </c>
      <c r="H294">
        <v>10</v>
      </c>
      <c r="I294">
        <v>0.23421761581413472</v>
      </c>
    </row>
    <row r="295" spans="5:9" x14ac:dyDescent="0.45">
      <c r="E295" s="20">
        <v>0.42</v>
      </c>
      <c r="F295">
        <v>163</v>
      </c>
      <c r="G295">
        <v>60.21</v>
      </c>
      <c r="H295">
        <v>5</v>
      </c>
      <c r="I295">
        <v>0.20395202803242082</v>
      </c>
    </row>
    <row r="296" spans="5:9" x14ac:dyDescent="0.45">
      <c r="E296" s="20">
        <v>0.42</v>
      </c>
      <c r="F296">
        <v>255</v>
      </c>
      <c r="G296">
        <v>65.3</v>
      </c>
      <c r="H296">
        <v>12</v>
      </c>
      <c r="I296">
        <v>0.13812060496739284</v>
      </c>
    </row>
    <row r="297" spans="5:9" x14ac:dyDescent="0.45">
      <c r="E297" s="20">
        <v>0.43</v>
      </c>
      <c r="F297">
        <v>138</v>
      </c>
      <c r="G297">
        <v>51.1</v>
      </c>
      <c r="H297">
        <v>12</v>
      </c>
      <c r="I297">
        <v>0.21462015398451922</v>
      </c>
    </row>
    <row r="298" spans="5:9" x14ac:dyDescent="0.45">
      <c r="E298" s="20">
        <v>0.44</v>
      </c>
      <c r="F298">
        <v>158</v>
      </c>
      <c r="G298">
        <v>60.25</v>
      </c>
      <c r="H298">
        <v>8</v>
      </c>
      <c r="I298">
        <v>0.19391176945088878</v>
      </c>
    </row>
    <row r="299" spans="5:9" x14ac:dyDescent="0.45">
      <c r="E299" s="20">
        <v>0.44</v>
      </c>
      <c r="F299">
        <v>162</v>
      </c>
      <c r="G299">
        <v>59.3</v>
      </c>
      <c r="H299">
        <v>10</v>
      </c>
      <c r="I299">
        <v>0.18170324817072214</v>
      </c>
    </row>
    <row r="300" spans="5:9" x14ac:dyDescent="0.45">
      <c r="E300" s="20">
        <v>0.45</v>
      </c>
      <c r="F300">
        <v>136</v>
      </c>
      <c r="G300">
        <v>56.4</v>
      </c>
      <c r="H300">
        <v>9</v>
      </c>
      <c r="I300">
        <v>0.24828366127352161</v>
      </c>
    </row>
    <row r="301" spans="5:9" x14ac:dyDescent="0.45">
      <c r="E301" s="20">
        <v>0.46</v>
      </c>
      <c r="F301">
        <v>127</v>
      </c>
      <c r="G301">
        <v>72.400000000000006</v>
      </c>
      <c r="H301">
        <v>9</v>
      </c>
      <c r="I301">
        <v>0.20243221530929009</v>
      </c>
    </row>
    <row r="302" spans="5:9" x14ac:dyDescent="0.45">
      <c r="E302" s="20">
        <v>0.46</v>
      </c>
      <c r="F302">
        <v>128</v>
      </c>
      <c r="G302">
        <v>71.900000000000006</v>
      </c>
      <c r="H302">
        <v>11</v>
      </c>
      <c r="I302">
        <v>0.23206832296798213</v>
      </c>
    </row>
    <row r="303" spans="5:9" x14ac:dyDescent="0.45">
      <c r="E303" s="20">
        <v>0.46</v>
      </c>
      <c r="F303">
        <v>163</v>
      </c>
      <c r="G303">
        <v>67.099999999999994</v>
      </c>
      <c r="H303">
        <v>13</v>
      </c>
      <c r="I303">
        <v>0.20305531369468352</v>
      </c>
    </row>
    <row r="304" spans="5:9" x14ac:dyDescent="0.45">
      <c r="E304" s="20">
        <v>0.47</v>
      </c>
      <c r="F304">
        <v>161</v>
      </c>
      <c r="G304">
        <v>61.2</v>
      </c>
      <c r="H304">
        <v>8</v>
      </c>
      <c r="I304">
        <v>0.21463706072897612</v>
      </c>
    </row>
    <row r="305" spans="5:9" x14ac:dyDescent="0.45">
      <c r="E305" s="20">
        <v>0.47</v>
      </c>
      <c r="F305">
        <v>163</v>
      </c>
      <c r="G305">
        <v>63.2</v>
      </c>
      <c r="H305">
        <v>9</v>
      </c>
      <c r="I305">
        <v>0.24329454914526846</v>
      </c>
    </row>
    <row r="306" spans="5:9" x14ac:dyDescent="0.45">
      <c r="E306" s="20">
        <v>0.49</v>
      </c>
      <c r="F306">
        <v>175</v>
      </c>
      <c r="G306">
        <v>64.2</v>
      </c>
      <c r="H306">
        <v>11</v>
      </c>
      <c r="I306">
        <v>0.19832207198008295</v>
      </c>
    </row>
    <row r="307" spans="5:9" x14ac:dyDescent="0.45">
      <c r="E307" s="20">
        <v>0.5</v>
      </c>
      <c r="F307">
        <v>168</v>
      </c>
      <c r="G307">
        <v>59.9</v>
      </c>
      <c r="H307">
        <v>3</v>
      </c>
      <c r="I307">
        <v>0.19176926863858759</v>
      </c>
    </row>
  </sheetData>
  <sortState xmlns:xlrd2="http://schemas.microsoft.com/office/spreadsheetml/2017/richdata2" ref="E3:I312">
    <sortCondition ref="E3:E312"/>
    <sortCondition ref="F3:F3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一级 (3)</vt:lpstr>
      <vt:lpstr>Sheet1</vt:lpstr>
      <vt:lpstr>Sheet3</vt:lpstr>
      <vt:lpstr>一级</vt:lpstr>
      <vt:lpstr>一级 (2)</vt:lpstr>
      <vt:lpstr>Sheet3 (2)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Zhihui</dc:creator>
  <cp:lastModifiedBy>Wang Zhihui</cp:lastModifiedBy>
  <dcterms:created xsi:type="dcterms:W3CDTF">2026-01-06T06:50:54Z</dcterms:created>
  <dcterms:modified xsi:type="dcterms:W3CDTF">2026-01-07T03:09:07Z</dcterms:modified>
</cp:coreProperties>
</file>